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featurePropertyBag/featurePropertyBag.xml" ContentType="application/vnd.ms-excel.featurepropertyba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microsoft-my.sharepoint.com/personal/nickbear_microsoft_com/Documents/Desktop/Sensitivity Label Workbook Project/"/>
    </mc:Choice>
  </mc:AlternateContent>
  <xr:revisionPtr revIDLastSave="5" documentId="8_{F4B55EEB-7033-47FF-972A-431609F1843A}" xr6:coauthVersionLast="47" xr6:coauthVersionMax="47" xr10:uidLastSave="{256A463B-3ECC-4D29-8EAE-0A1B4A8378FE}"/>
  <bookViews>
    <workbookView xWindow="37590" yWindow="190" windowWidth="38940" windowHeight="20650" tabRatio="803" firstSheet="1" activeTab="1" xr2:uid="{F4B56DED-936E-4B7E-BC45-7E573EBE2EDA}"/>
  </bookViews>
  <sheets>
    <sheet name="INputs" sheetId="4" state="hidden" r:id="rId1"/>
    <sheet name="How to Use" sheetId="12" r:id="rId2"/>
    <sheet name="Sensitivity Labels" sheetId="2" r:id="rId3"/>
    <sheet name="Emails, Files, &amp; Other Data" sheetId="3" r:id="rId4"/>
    <sheet name="Teams meetings and chats" sheetId="6" r:id="rId5"/>
    <sheet name="Groups &amp; Sites" sheetId="7" r:id="rId6"/>
    <sheet name="Summary" sheetId="13" r:id="rId7"/>
    <sheet name="Publishing" sheetId="8" r:id="rId8"/>
    <sheet name="Service-side Auto-Labeling" sheetId="9" r:id="rId9"/>
    <sheet name="Data Loss Prevention (DLP)" sheetId="10" r:id="rId10"/>
    <sheet name="Search" sheetId="11" r:id="rId11"/>
  </sheets>
  <definedNames>
    <definedName name="_xlnm._FilterDatabase" localSheetId="6" hidden="1">Summary!$B$10:$V$90</definedName>
    <definedName name="Arecord">INputs!$AD$3:$AD$6</definedName>
    <definedName name="color">INputs!$S$12:$S$22</definedName>
    <definedName name="emaillabel">INputs!$BB$3:$BB$5</definedName>
    <definedName name="encrypt">INputs!$AF$3:$AF$6</definedName>
    <definedName name="Groupsaccess">INputs!$AR$3:$AR$6</definedName>
    <definedName name="GroupsDef">INputs!$AN$3:$AN$6</definedName>
    <definedName name="Groupsshare">INputs!$AP$3:$AP$7</definedName>
    <definedName name="Label">INputs!$A$3:$A$7</definedName>
    <definedName name="LabelE">INputs!$M$24:$M$44</definedName>
    <definedName name="LabelG">INputs!$O$24:$O$44</definedName>
    <definedName name="LabelM">INputs!$N$24:$N$44</definedName>
    <definedName name="Lobby">INputs!$X$3:$X$10</definedName>
    <definedName name="meetchat">INputs!$AJ$3:$AJ$6</definedName>
    <definedName name="OutL">INputs!$V$3:$V$6</definedName>
    <definedName name="policy">INputs!$AZ$3:$AZ$8</definedName>
    <definedName name="Policymode">INputs!$AV$3:$AV$7</definedName>
    <definedName name="present">INputs!$Z$3:$Z$8</definedName>
    <definedName name="prevent">INputs!$AL$3:$AL$5</definedName>
    <definedName name="publabel">INputs!$AT$3:$AT$6</definedName>
    <definedName name="record">INputs!$AB$3:$AB$6</definedName>
    <definedName name="rules">INputs!$AX$3:$AX$5</definedName>
    <definedName name="Sens">INputs!$D$2:$D$22</definedName>
    <definedName name="sett">INputs!$S$3:$S$7</definedName>
    <definedName name="Slabel">INputs!$C$99:$T$106</definedName>
    <definedName name="SubL">INputs!$E$24:$E$44</definedName>
    <definedName name="Vlabel">INputs!$B$3:$C$22</definedName>
    <definedName name="WaterA">INputs!$AH$3:$AH$6</definedName>
    <definedName name="waterB">INputs!$AH$8:$AH$12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4" l="1"/>
  <c r="M6" i="4"/>
  <c r="M7" i="4"/>
  <c r="M8" i="4"/>
  <c r="M9" i="4"/>
  <c r="M10" i="4"/>
  <c r="M11" i="4"/>
  <c r="M12" i="4"/>
  <c r="M13" i="4"/>
  <c r="M14" i="4"/>
  <c r="M15" i="4"/>
  <c r="M16" i="4"/>
  <c r="M17" i="4"/>
  <c r="M18" i="4"/>
  <c r="M19" i="4"/>
  <c r="M20" i="4"/>
  <c r="M21" i="4"/>
  <c r="O5" i="4"/>
  <c r="O6" i="4"/>
  <c r="O7" i="4"/>
  <c r="O8" i="4"/>
  <c r="O9" i="4"/>
  <c r="O10" i="4"/>
  <c r="O11" i="4"/>
  <c r="O12" i="4"/>
  <c r="O13" i="4"/>
  <c r="O14" i="4"/>
  <c r="O15" i="4"/>
  <c r="O16" i="4"/>
  <c r="O17" i="4"/>
  <c r="O18" i="4"/>
  <c r="O19" i="4"/>
  <c r="O20" i="4"/>
  <c r="O21" i="4"/>
  <c r="N5" i="4"/>
  <c r="N6" i="4"/>
  <c r="N7" i="4"/>
  <c r="N8" i="4"/>
  <c r="N9" i="4"/>
  <c r="N10" i="4"/>
  <c r="N11" i="4"/>
  <c r="N12" i="4"/>
  <c r="N13" i="4"/>
  <c r="N14" i="4"/>
  <c r="N15" i="4"/>
  <c r="N16" i="4"/>
  <c r="N17" i="4"/>
  <c r="N18" i="4"/>
  <c r="N19" i="4"/>
  <c r="N20" i="4"/>
  <c r="N21" i="4"/>
  <c r="D11" i="13"/>
  <c r="A25" i="8"/>
  <c r="D31" i="13"/>
  <c r="B31" i="13"/>
  <c r="B22" i="4"/>
  <c r="B21" i="4"/>
  <c r="B20" i="4"/>
  <c r="B19" i="4"/>
  <c r="B18" i="4"/>
  <c r="B17" i="4"/>
  <c r="B16" i="4"/>
  <c r="B15" i="4"/>
  <c r="B14" i="4"/>
  <c r="B13" i="4"/>
  <c r="B12" i="4"/>
  <c r="B11" i="4"/>
  <c r="B10" i="4"/>
  <c r="B9" i="4"/>
  <c r="B8" i="4"/>
  <c r="B7" i="4"/>
  <c r="B6" i="4"/>
  <c r="B5" i="4"/>
  <c r="B4" i="4"/>
  <c r="B3" i="4"/>
  <c r="G11" i="13"/>
  <c r="J238" i="3"/>
  <c r="J226" i="3"/>
  <c r="J214" i="3"/>
  <c r="J202" i="3"/>
  <c r="J190" i="3"/>
  <c r="J178" i="3"/>
  <c r="J166" i="3"/>
  <c r="J154" i="3"/>
  <c r="J142" i="3"/>
  <c r="J130" i="3"/>
  <c r="J118" i="3"/>
  <c r="J106" i="3"/>
  <c r="J94" i="3"/>
  <c r="J82" i="3"/>
  <c r="J70" i="3"/>
  <c r="J58" i="3"/>
  <c r="J46" i="3"/>
  <c r="J34" i="3"/>
  <c r="J22" i="3"/>
  <c r="U89" i="13"/>
  <c r="O19" i="13"/>
  <c r="O20" i="13"/>
  <c r="O21" i="13"/>
  <c r="O23" i="13"/>
  <c r="O24" i="13"/>
  <c r="O25" i="13"/>
  <c r="O27" i="13"/>
  <c r="O28" i="13"/>
  <c r="O29" i="13"/>
  <c r="O31" i="13"/>
  <c r="O32" i="13"/>
  <c r="O33" i="13"/>
  <c r="O35" i="13"/>
  <c r="O36" i="13"/>
  <c r="O37" i="13"/>
  <c r="O39" i="13"/>
  <c r="O40" i="13"/>
  <c r="O41" i="13"/>
  <c r="O43" i="13"/>
  <c r="O44" i="13"/>
  <c r="O45" i="13"/>
  <c r="O47" i="13"/>
  <c r="O48" i="13"/>
  <c r="O49" i="13"/>
  <c r="O51" i="13"/>
  <c r="O52" i="13"/>
  <c r="O53" i="13"/>
  <c r="O55" i="13"/>
  <c r="O56" i="13"/>
  <c r="O57" i="13"/>
  <c r="O59" i="13"/>
  <c r="O60" i="13"/>
  <c r="O61" i="13"/>
  <c r="O63" i="13"/>
  <c r="O64" i="13"/>
  <c r="O65" i="13"/>
  <c r="O67" i="13"/>
  <c r="O68" i="13"/>
  <c r="O69" i="13"/>
  <c r="O71" i="13"/>
  <c r="O72" i="13"/>
  <c r="O73" i="13"/>
  <c r="O75" i="13"/>
  <c r="O76" i="13"/>
  <c r="O77" i="13"/>
  <c r="O79" i="13"/>
  <c r="O80" i="13"/>
  <c r="O81" i="13"/>
  <c r="O83" i="13"/>
  <c r="O84" i="13"/>
  <c r="O85" i="13"/>
  <c r="O87" i="13"/>
  <c r="O88" i="13"/>
  <c r="O89" i="13"/>
  <c r="O17" i="13"/>
  <c r="O16" i="13"/>
  <c r="O15" i="13"/>
  <c r="S29" i="13"/>
  <c r="S30" i="13"/>
  <c r="Q11" i="13"/>
  <c r="U61" i="13"/>
  <c r="U87" i="13"/>
  <c r="U85" i="13"/>
  <c r="U83" i="13"/>
  <c r="U81" i="13"/>
  <c r="U79" i="13"/>
  <c r="U77" i="13"/>
  <c r="U75" i="13"/>
  <c r="U73" i="13"/>
  <c r="U71" i="13"/>
  <c r="U69" i="13"/>
  <c r="U67" i="13"/>
  <c r="U65" i="13"/>
  <c r="U63" i="13"/>
  <c r="U59" i="13"/>
  <c r="U57" i="13"/>
  <c r="U55" i="13"/>
  <c r="U53" i="13"/>
  <c r="U51" i="13"/>
  <c r="U49" i="13"/>
  <c r="U47" i="13"/>
  <c r="U45" i="13"/>
  <c r="U43" i="13"/>
  <c r="U41" i="13"/>
  <c r="U39" i="13"/>
  <c r="U37" i="13"/>
  <c r="U35" i="13"/>
  <c r="U33" i="13"/>
  <c r="U31" i="13"/>
  <c r="U29" i="13"/>
  <c r="U27" i="13"/>
  <c r="U25" i="13"/>
  <c r="U23" i="13"/>
  <c r="U21" i="13"/>
  <c r="U19" i="13"/>
  <c r="U17" i="13"/>
  <c r="U15" i="13"/>
  <c r="S89" i="13"/>
  <c r="S87" i="13"/>
  <c r="S85" i="13"/>
  <c r="S83" i="13"/>
  <c r="S81" i="13"/>
  <c r="S79" i="13"/>
  <c r="S77" i="13"/>
  <c r="S75" i="13"/>
  <c r="S73" i="13"/>
  <c r="S71" i="13"/>
  <c r="S69" i="13"/>
  <c r="S67" i="13"/>
  <c r="S65" i="13"/>
  <c r="S63" i="13"/>
  <c r="S61" i="13"/>
  <c r="S59" i="13"/>
  <c r="S57" i="13"/>
  <c r="S55" i="13"/>
  <c r="S53" i="13"/>
  <c r="S51" i="13"/>
  <c r="S49" i="13"/>
  <c r="S47" i="13"/>
  <c r="S45" i="13"/>
  <c r="S43" i="13"/>
  <c r="S41" i="13"/>
  <c r="S39" i="13"/>
  <c r="F90" i="13"/>
  <c r="E90" i="13"/>
  <c r="F89" i="13"/>
  <c r="E89" i="13"/>
  <c r="P87" i="13" s="1"/>
  <c r="Q89" i="13"/>
  <c r="M88" i="13"/>
  <c r="F88" i="13"/>
  <c r="E88" i="13"/>
  <c r="Q87" i="13"/>
  <c r="J89" i="13"/>
  <c r="J88" i="13"/>
  <c r="M87" i="13"/>
  <c r="K87" i="13"/>
  <c r="I87" i="13"/>
  <c r="H87" i="13"/>
  <c r="G87" i="13"/>
  <c r="F87" i="13"/>
  <c r="E87" i="13"/>
  <c r="D87" i="13"/>
  <c r="C87" i="13"/>
  <c r="B87" i="13"/>
  <c r="F86" i="13"/>
  <c r="E86" i="13"/>
  <c r="F85" i="13"/>
  <c r="E85" i="13"/>
  <c r="P83" i="13" s="1"/>
  <c r="Q85" i="13"/>
  <c r="M84" i="13"/>
  <c r="F84" i="13"/>
  <c r="E84" i="13"/>
  <c r="Q83" i="13"/>
  <c r="J85" i="13"/>
  <c r="J84" i="13"/>
  <c r="M83" i="13"/>
  <c r="K83" i="13"/>
  <c r="I83" i="13"/>
  <c r="H83" i="13"/>
  <c r="G83" i="13"/>
  <c r="F83" i="13"/>
  <c r="E83" i="13"/>
  <c r="D83" i="13"/>
  <c r="C83" i="13"/>
  <c r="B83" i="13"/>
  <c r="F82" i="13"/>
  <c r="E82" i="13"/>
  <c r="F81" i="13"/>
  <c r="E81" i="13"/>
  <c r="P79" i="13" s="1"/>
  <c r="Q81" i="13"/>
  <c r="M80" i="13"/>
  <c r="F80" i="13"/>
  <c r="E80" i="13"/>
  <c r="Q79" i="13"/>
  <c r="J81" i="13"/>
  <c r="J80" i="13"/>
  <c r="M79" i="13"/>
  <c r="K79" i="13"/>
  <c r="I79" i="13"/>
  <c r="H79" i="13"/>
  <c r="G79" i="13"/>
  <c r="F79" i="13"/>
  <c r="E79" i="13"/>
  <c r="D79" i="13"/>
  <c r="C79" i="13"/>
  <c r="B79" i="13"/>
  <c r="F78" i="13"/>
  <c r="E78" i="13"/>
  <c r="F77" i="13"/>
  <c r="E77" i="13"/>
  <c r="P75" i="13" s="1"/>
  <c r="Q77" i="13"/>
  <c r="M76" i="13"/>
  <c r="F76" i="13"/>
  <c r="E76" i="13"/>
  <c r="Q75" i="13"/>
  <c r="J77" i="13"/>
  <c r="J76" i="13"/>
  <c r="M75" i="13"/>
  <c r="K75" i="13"/>
  <c r="I75" i="13"/>
  <c r="H75" i="13"/>
  <c r="G75" i="13"/>
  <c r="F75" i="13"/>
  <c r="E75" i="13"/>
  <c r="D75" i="13"/>
  <c r="C75" i="13"/>
  <c r="B75" i="13"/>
  <c r="F74" i="13"/>
  <c r="E74" i="13"/>
  <c r="F73" i="13"/>
  <c r="E73" i="13"/>
  <c r="P71" i="13" s="1"/>
  <c r="Q73" i="13"/>
  <c r="M72" i="13"/>
  <c r="F72" i="13"/>
  <c r="E72" i="13"/>
  <c r="Q71" i="13"/>
  <c r="J73" i="13"/>
  <c r="J72" i="13"/>
  <c r="M71" i="13"/>
  <c r="K71" i="13"/>
  <c r="I71" i="13"/>
  <c r="H71" i="13"/>
  <c r="G71" i="13"/>
  <c r="F71" i="13"/>
  <c r="E71" i="13"/>
  <c r="D71" i="13"/>
  <c r="C71" i="13"/>
  <c r="B71" i="13"/>
  <c r="F70" i="13"/>
  <c r="E70" i="13"/>
  <c r="F69" i="13"/>
  <c r="E69" i="13"/>
  <c r="P67" i="13" s="1"/>
  <c r="Q69" i="13"/>
  <c r="M68" i="13"/>
  <c r="F68" i="13"/>
  <c r="E68" i="13"/>
  <c r="Q67" i="13"/>
  <c r="J69" i="13"/>
  <c r="J68" i="13"/>
  <c r="M67" i="13"/>
  <c r="K67" i="13"/>
  <c r="I67" i="13"/>
  <c r="H67" i="13"/>
  <c r="G67" i="13"/>
  <c r="F67" i="13"/>
  <c r="E67" i="13"/>
  <c r="D67" i="13"/>
  <c r="C67" i="13"/>
  <c r="B67" i="13"/>
  <c r="F66" i="13"/>
  <c r="E66" i="13"/>
  <c r="F65" i="13"/>
  <c r="E65" i="13"/>
  <c r="P63" i="13" s="1"/>
  <c r="Q65" i="13"/>
  <c r="M64" i="13"/>
  <c r="F64" i="13"/>
  <c r="E64" i="13"/>
  <c r="Q63" i="13"/>
  <c r="J65" i="13"/>
  <c r="J64" i="13"/>
  <c r="M63" i="13"/>
  <c r="K63" i="13"/>
  <c r="I63" i="13"/>
  <c r="H63" i="13"/>
  <c r="G63" i="13"/>
  <c r="F63" i="13"/>
  <c r="E63" i="13"/>
  <c r="D63" i="13"/>
  <c r="C63" i="13"/>
  <c r="B63" i="13"/>
  <c r="F62" i="13"/>
  <c r="E62" i="13"/>
  <c r="F61" i="13"/>
  <c r="E61" i="13"/>
  <c r="P59" i="13" s="1"/>
  <c r="Q61" i="13"/>
  <c r="M60" i="13"/>
  <c r="F60" i="13"/>
  <c r="E60" i="13"/>
  <c r="Q59" i="13"/>
  <c r="J61" i="13"/>
  <c r="J60" i="13"/>
  <c r="M59" i="13"/>
  <c r="K59" i="13"/>
  <c r="I59" i="13"/>
  <c r="H59" i="13"/>
  <c r="G59" i="13"/>
  <c r="F59" i="13"/>
  <c r="E59" i="13"/>
  <c r="D59" i="13"/>
  <c r="C59" i="13"/>
  <c r="B59" i="13"/>
  <c r="F58" i="13"/>
  <c r="E58" i="13"/>
  <c r="F57" i="13"/>
  <c r="E57" i="13"/>
  <c r="P55" i="13" s="1"/>
  <c r="Q57" i="13"/>
  <c r="M56" i="13"/>
  <c r="F56" i="13"/>
  <c r="E56" i="13"/>
  <c r="Q55" i="13"/>
  <c r="J57" i="13"/>
  <c r="J56" i="13"/>
  <c r="M55" i="13"/>
  <c r="K55" i="13"/>
  <c r="I55" i="13"/>
  <c r="H55" i="13"/>
  <c r="G55" i="13"/>
  <c r="F55" i="13"/>
  <c r="E55" i="13"/>
  <c r="D55" i="13"/>
  <c r="C55" i="13"/>
  <c r="B55" i="13"/>
  <c r="F54" i="13"/>
  <c r="E54" i="13"/>
  <c r="F53" i="13"/>
  <c r="E53" i="13"/>
  <c r="P51" i="13" s="1"/>
  <c r="Q53" i="13"/>
  <c r="M52" i="13"/>
  <c r="F52" i="13"/>
  <c r="E52" i="13"/>
  <c r="Q51" i="13"/>
  <c r="J53" i="13"/>
  <c r="J52" i="13"/>
  <c r="M51" i="13"/>
  <c r="K51" i="13"/>
  <c r="I51" i="13"/>
  <c r="H51" i="13"/>
  <c r="G51" i="13"/>
  <c r="F51" i="13"/>
  <c r="E51" i="13"/>
  <c r="D51" i="13"/>
  <c r="C51" i="13"/>
  <c r="B51" i="13"/>
  <c r="F50" i="13"/>
  <c r="E50" i="13"/>
  <c r="F49" i="13"/>
  <c r="E49" i="13"/>
  <c r="P47" i="13" s="1"/>
  <c r="Q49" i="13"/>
  <c r="M48" i="13"/>
  <c r="F48" i="13"/>
  <c r="E48" i="13"/>
  <c r="Q47" i="13"/>
  <c r="J49" i="13"/>
  <c r="J48" i="13"/>
  <c r="M47" i="13"/>
  <c r="K47" i="13"/>
  <c r="I47" i="13"/>
  <c r="H47" i="13"/>
  <c r="G47" i="13"/>
  <c r="F47" i="13"/>
  <c r="E47" i="13"/>
  <c r="D47" i="13"/>
  <c r="C47" i="13"/>
  <c r="B47" i="13"/>
  <c r="F46" i="13"/>
  <c r="E46" i="13"/>
  <c r="F45" i="13"/>
  <c r="E45" i="13"/>
  <c r="P43" i="13" s="1"/>
  <c r="Q45" i="13"/>
  <c r="M44" i="13"/>
  <c r="F44" i="13"/>
  <c r="E44" i="13"/>
  <c r="Q43" i="13"/>
  <c r="J45" i="13"/>
  <c r="J44" i="13"/>
  <c r="M43" i="13"/>
  <c r="K43" i="13"/>
  <c r="I43" i="13"/>
  <c r="H43" i="13"/>
  <c r="G43" i="13"/>
  <c r="F43" i="13"/>
  <c r="E43" i="13"/>
  <c r="D43" i="13"/>
  <c r="C43" i="13"/>
  <c r="B43" i="13"/>
  <c r="F42" i="13"/>
  <c r="E42" i="13"/>
  <c r="F41" i="13"/>
  <c r="E41" i="13"/>
  <c r="P39" i="13" s="1"/>
  <c r="Q41" i="13"/>
  <c r="M40" i="13"/>
  <c r="F40" i="13"/>
  <c r="E40" i="13"/>
  <c r="Q39" i="13"/>
  <c r="J41" i="13"/>
  <c r="J40" i="13"/>
  <c r="M39" i="13"/>
  <c r="K39" i="13"/>
  <c r="I39" i="13"/>
  <c r="H39" i="13"/>
  <c r="G39" i="13"/>
  <c r="F39" i="13"/>
  <c r="E39" i="13"/>
  <c r="D39" i="13"/>
  <c r="C39" i="13"/>
  <c r="B39" i="13"/>
  <c r="F38" i="13"/>
  <c r="E38" i="13"/>
  <c r="F37" i="13"/>
  <c r="E37" i="13"/>
  <c r="P35" i="13" s="1"/>
  <c r="S37" i="13"/>
  <c r="Q37" i="13"/>
  <c r="M36" i="13"/>
  <c r="F36" i="13"/>
  <c r="E36" i="13"/>
  <c r="S35" i="13"/>
  <c r="Q35" i="13"/>
  <c r="J37" i="13"/>
  <c r="J36" i="13"/>
  <c r="M35" i="13"/>
  <c r="K35" i="13"/>
  <c r="I35" i="13"/>
  <c r="H35" i="13"/>
  <c r="G35" i="13"/>
  <c r="F35" i="13"/>
  <c r="E35" i="13"/>
  <c r="D35" i="13"/>
  <c r="C35" i="13"/>
  <c r="B35" i="13"/>
  <c r="F34" i="13"/>
  <c r="E34" i="13"/>
  <c r="F33" i="13"/>
  <c r="E33" i="13"/>
  <c r="P31" i="13" s="1"/>
  <c r="S33" i="13"/>
  <c r="Q33" i="13"/>
  <c r="M32" i="13"/>
  <c r="F32" i="13"/>
  <c r="E32" i="13"/>
  <c r="D32" i="13"/>
  <c r="C32" i="13"/>
  <c r="B32" i="13"/>
  <c r="S31" i="13"/>
  <c r="Q31" i="13"/>
  <c r="J33" i="13"/>
  <c r="J32" i="13"/>
  <c r="M31" i="13"/>
  <c r="K31" i="13"/>
  <c r="I31" i="13"/>
  <c r="H31" i="13"/>
  <c r="G31" i="13"/>
  <c r="F31" i="13"/>
  <c r="E31" i="13"/>
  <c r="F30" i="13"/>
  <c r="E30" i="13"/>
  <c r="F29" i="13"/>
  <c r="E29" i="13"/>
  <c r="P27" i="13" s="1"/>
  <c r="S28" i="13"/>
  <c r="Q29" i="13"/>
  <c r="M28" i="13"/>
  <c r="F28" i="13"/>
  <c r="E28" i="13"/>
  <c r="S27" i="13"/>
  <c r="Q27" i="13"/>
  <c r="J29" i="13"/>
  <c r="J28" i="13"/>
  <c r="M27" i="13"/>
  <c r="K27" i="13"/>
  <c r="I27" i="13"/>
  <c r="H27" i="13"/>
  <c r="G27" i="13"/>
  <c r="F27" i="13"/>
  <c r="E27" i="13"/>
  <c r="D27" i="13"/>
  <c r="C27" i="13"/>
  <c r="B27" i="13"/>
  <c r="F26" i="13"/>
  <c r="E26" i="13"/>
  <c r="F25" i="13"/>
  <c r="E25" i="13"/>
  <c r="P23" i="13" s="1"/>
  <c r="S25" i="13"/>
  <c r="Q25" i="13"/>
  <c r="M24" i="13"/>
  <c r="F24" i="13"/>
  <c r="E24" i="13"/>
  <c r="S23" i="13"/>
  <c r="Q23" i="13"/>
  <c r="J25" i="13"/>
  <c r="J24" i="13"/>
  <c r="M23" i="13"/>
  <c r="K23" i="13"/>
  <c r="I23" i="13"/>
  <c r="H23" i="13"/>
  <c r="G23" i="13"/>
  <c r="F23" i="13"/>
  <c r="E23" i="13"/>
  <c r="D23" i="13"/>
  <c r="C23" i="13"/>
  <c r="B23" i="13"/>
  <c r="F22" i="13"/>
  <c r="E22" i="13"/>
  <c r="F21" i="13"/>
  <c r="E21" i="13"/>
  <c r="P19" i="13" s="1"/>
  <c r="S21" i="13"/>
  <c r="Q21" i="13"/>
  <c r="M20" i="13"/>
  <c r="F20" i="13"/>
  <c r="E20" i="13"/>
  <c r="S19" i="13"/>
  <c r="Q19" i="13"/>
  <c r="J21" i="13"/>
  <c r="J20" i="13"/>
  <c r="M19" i="13"/>
  <c r="K19" i="13"/>
  <c r="I19" i="13"/>
  <c r="H19" i="13"/>
  <c r="G19" i="13"/>
  <c r="F19" i="13"/>
  <c r="E19" i="13"/>
  <c r="D19" i="13"/>
  <c r="C19" i="13"/>
  <c r="B19" i="13"/>
  <c r="F18" i="13"/>
  <c r="E18" i="13"/>
  <c r="F17" i="13"/>
  <c r="E17" i="13"/>
  <c r="P15" i="13" s="1"/>
  <c r="S17" i="13"/>
  <c r="Q17" i="13"/>
  <c r="M16" i="13"/>
  <c r="F16" i="13"/>
  <c r="E16" i="13"/>
  <c r="S15" i="13"/>
  <c r="Q15" i="13"/>
  <c r="J17" i="13"/>
  <c r="J16" i="13"/>
  <c r="M15" i="13"/>
  <c r="K15" i="13"/>
  <c r="I15" i="13"/>
  <c r="H15" i="13"/>
  <c r="G15" i="13"/>
  <c r="F15" i="13"/>
  <c r="E15" i="13"/>
  <c r="D15" i="13"/>
  <c r="C15" i="13"/>
  <c r="B15" i="13"/>
  <c r="A15" i="13"/>
  <c r="A19" i="13" s="1"/>
  <c r="A23" i="13" s="1"/>
  <c r="A27" i="13" s="1"/>
  <c r="A31" i="13" s="1"/>
  <c r="A35" i="13" s="1"/>
  <c r="A39" i="13" s="1"/>
  <c r="A43" i="13" s="1"/>
  <c r="A47" i="13" s="1"/>
  <c r="A51" i="13" s="1"/>
  <c r="A55" i="13" s="1"/>
  <c r="A59" i="13" s="1"/>
  <c r="A63" i="13" s="1"/>
  <c r="A67" i="13" s="1"/>
  <c r="A71" i="13" s="1"/>
  <c r="A75" i="13" s="1"/>
  <c r="A79" i="13" s="1"/>
  <c r="A83" i="13" s="1"/>
  <c r="A87" i="13" s="1"/>
  <c r="F14" i="13"/>
  <c r="E14" i="13"/>
  <c r="V13" i="13"/>
  <c r="F13" i="13"/>
  <c r="E13" i="13"/>
  <c r="P11" i="13" s="1"/>
  <c r="U13" i="13"/>
  <c r="T13" i="13"/>
  <c r="T29" i="13" s="1"/>
  <c r="S13" i="13"/>
  <c r="R13" i="13"/>
  <c r="Q13" i="13"/>
  <c r="N12" i="13"/>
  <c r="N16" i="13" s="1"/>
  <c r="N20" i="13" s="1"/>
  <c r="N24" i="13" s="1"/>
  <c r="N28" i="13" s="1"/>
  <c r="N32" i="13" s="1"/>
  <c r="N36" i="13" s="1"/>
  <c r="N40" i="13" s="1"/>
  <c r="N44" i="13" s="1"/>
  <c r="N48" i="13" s="1"/>
  <c r="N52" i="13" s="1"/>
  <c r="N56" i="13" s="1"/>
  <c r="N60" i="13" s="1"/>
  <c r="N64" i="13" s="1"/>
  <c r="N68" i="13" s="1"/>
  <c r="N72" i="13" s="1"/>
  <c r="N76" i="13" s="1"/>
  <c r="N80" i="13" s="1"/>
  <c r="N84" i="13" s="1"/>
  <c r="N88" i="13" s="1"/>
  <c r="M12" i="13"/>
  <c r="F12" i="13"/>
  <c r="E12" i="13"/>
  <c r="V11" i="13"/>
  <c r="U11" i="13"/>
  <c r="T11" i="13"/>
  <c r="S11" i="13"/>
  <c r="R11" i="13"/>
  <c r="J13" i="13"/>
  <c r="J12" i="13"/>
  <c r="N11" i="13"/>
  <c r="N15" i="13" s="1"/>
  <c r="N19" i="13" s="1"/>
  <c r="N23" i="13" s="1"/>
  <c r="N27" i="13" s="1"/>
  <c r="N31" i="13" s="1"/>
  <c r="N35" i="13" s="1"/>
  <c r="N39" i="13" s="1"/>
  <c r="N43" i="13" s="1"/>
  <c r="N47" i="13" s="1"/>
  <c r="N51" i="13" s="1"/>
  <c r="N55" i="13" s="1"/>
  <c r="N59" i="13" s="1"/>
  <c r="N63" i="13" s="1"/>
  <c r="N67" i="13" s="1"/>
  <c r="N71" i="13" s="1"/>
  <c r="N75" i="13" s="1"/>
  <c r="N79" i="13" s="1"/>
  <c r="N83" i="13" s="1"/>
  <c r="N87" i="13" s="1"/>
  <c r="M11" i="13"/>
  <c r="L11" i="13"/>
  <c r="L15" i="13" s="1"/>
  <c r="L19" i="13" s="1"/>
  <c r="L23" i="13" s="1"/>
  <c r="L27" i="13" s="1"/>
  <c r="L31" i="13" s="1"/>
  <c r="L35" i="13" s="1"/>
  <c r="L39" i="13" s="1"/>
  <c r="L43" i="13" s="1"/>
  <c r="L47" i="13" s="1"/>
  <c r="L51" i="13" s="1"/>
  <c r="L55" i="13" s="1"/>
  <c r="L59" i="13" s="1"/>
  <c r="L63" i="13" s="1"/>
  <c r="L67" i="13" s="1"/>
  <c r="L71" i="13" s="1"/>
  <c r="L75" i="13" s="1"/>
  <c r="L79" i="13" s="1"/>
  <c r="L83" i="13" s="1"/>
  <c r="L87" i="13" s="1"/>
  <c r="K11" i="13"/>
  <c r="I11" i="13"/>
  <c r="H11" i="13"/>
  <c r="F11" i="13"/>
  <c r="E11" i="13"/>
  <c r="C11" i="13"/>
  <c r="B11" i="13"/>
  <c r="B66" i="11"/>
  <c r="A66" i="11" s="1"/>
  <c r="K65" i="11"/>
  <c r="I65" i="11"/>
  <c r="G65" i="11"/>
  <c r="E65" i="11"/>
  <c r="D65" i="11"/>
  <c r="D64" i="11"/>
  <c r="B60" i="11"/>
  <c r="AE58" i="11"/>
  <c r="AB58" i="11"/>
  <c r="Y58" i="11"/>
  <c r="W58" i="11"/>
  <c r="U58" i="11"/>
  <c r="Q58" i="11"/>
  <c r="P58" i="11"/>
  <c r="M58" i="11"/>
  <c r="K58" i="11"/>
  <c r="I58" i="11"/>
  <c r="G58" i="11"/>
  <c r="E58" i="11"/>
  <c r="D58" i="11"/>
  <c r="A58" i="11"/>
  <c r="A60" i="11" s="1"/>
  <c r="D57" i="11"/>
  <c r="B45" i="11"/>
  <c r="AE44" i="11"/>
  <c r="AB44" i="11"/>
  <c r="X44" i="11"/>
  <c r="V44" i="11"/>
  <c r="R44" i="11"/>
  <c r="M44" i="11"/>
  <c r="K44" i="11"/>
  <c r="I44" i="11"/>
  <c r="G44" i="11"/>
  <c r="E44" i="11"/>
  <c r="D44" i="11"/>
  <c r="D43" i="11"/>
  <c r="B36" i="11"/>
  <c r="R35" i="11"/>
  <c r="M35" i="11"/>
  <c r="L35" i="11"/>
  <c r="I35" i="11"/>
  <c r="G35" i="11"/>
  <c r="E35" i="11"/>
  <c r="D35" i="11"/>
  <c r="D34" i="11"/>
  <c r="B31" i="11"/>
  <c r="AE30" i="11"/>
  <c r="AB30" i="11"/>
  <c r="Z30" i="11"/>
  <c r="V30" i="11"/>
  <c r="Q30" i="11"/>
  <c r="N30" i="11"/>
  <c r="K30" i="11"/>
  <c r="I30" i="11"/>
  <c r="E30" i="11"/>
  <c r="D30" i="11"/>
  <c r="D29" i="11"/>
  <c r="B19" i="11"/>
  <c r="AA18" i="11"/>
  <c r="X18" i="11"/>
  <c r="V18" i="11"/>
  <c r="R18" i="11"/>
  <c r="O18" i="11"/>
  <c r="K18" i="11"/>
  <c r="I18" i="11"/>
  <c r="G18" i="11"/>
  <c r="E18" i="11"/>
  <c r="D18" i="11"/>
  <c r="D17" i="11"/>
  <c r="B9" i="11"/>
  <c r="A9" i="11" s="1"/>
  <c r="X8" i="11"/>
  <c r="V8" i="11"/>
  <c r="R8" i="11"/>
  <c r="I8" i="11"/>
  <c r="G8" i="11"/>
  <c r="E8" i="11"/>
  <c r="D8" i="11"/>
  <c r="D7" i="11"/>
  <c r="N2" i="11"/>
  <c r="L2" i="11"/>
  <c r="J2" i="11"/>
  <c r="H2" i="11"/>
  <c r="B130" i="10"/>
  <c r="B129" i="10"/>
  <c r="B128" i="10"/>
  <c r="B127" i="10"/>
  <c r="B126" i="10"/>
  <c r="A126" i="10"/>
  <c r="B124" i="10"/>
  <c r="B123" i="10"/>
  <c r="B122" i="10"/>
  <c r="B121" i="10"/>
  <c r="B120" i="10"/>
  <c r="A120" i="10"/>
  <c r="B118" i="10"/>
  <c r="B117" i="10"/>
  <c r="B116" i="10"/>
  <c r="B115" i="10"/>
  <c r="B114" i="10"/>
  <c r="A114" i="10"/>
  <c r="B112" i="10"/>
  <c r="B111" i="10"/>
  <c r="B110" i="10"/>
  <c r="B109" i="10"/>
  <c r="B108" i="10"/>
  <c r="A108" i="10"/>
  <c r="B106" i="10"/>
  <c r="B105" i="10"/>
  <c r="B104" i="10"/>
  <c r="B103" i="10"/>
  <c r="B102" i="10"/>
  <c r="A102" i="10"/>
  <c r="B100" i="10"/>
  <c r="B99" i="10"/>
  <c r="B98" i="10"/>
  <c r="B97" i="10"/>
  <c r="B96" i="10"/>
  <c r="A96" i="10"/>
  <c r="B94" i="10"/>
  <c r="B93" i="10"/>
  <c r="B92" i="10"/>
  <c r="B91" i="10"/>
  <c r="B90" i="10"/>
  <c r="A90" i="10"/>
  <c r="B88" i="10"/>
  <c r="B87" i="10"/>
  <c r="B86" i="10"/>
  <c r="B85" i="10"/>
  <c r="B84" i="10"/>
  <c r="A84" i="10"/>
  <c r="B82" i="10"/>
  <c r="B81" i="10"/>
  <c r="B80" i="10"/>
  <c r="B79" i="10"/>
  <c r="B78" i="10"/>
  <c r="A78" i="10"/>
  <c r="B76" i="10"/>
  <c r="B75" i="10"/>
  <c r="B74" i="10"/>
  <c r="B73" i="10"/>
  <c r="B72" i="10"/>
  <c r="A72" i="10"/>
  <c r="B70" i="10"/>
  <c r="B69" i="10"/>
  <c r="B68" i="10"/>
  <c r="B67" i="10"/>
  <c r="B66" i="10"/>
  <c r="A66" i="10"/>
  <c r="B64" i="10"/>
  <c r="B63" i="10"/>
  <c r="B62" i="10"/>
  <c r="B61" i="10"/>
  <c r="B60" i="10"/>
  <c r="A60" i="10"/>
  <c r="B58" i="10"/>
  <c r="B57" i="10"/>
  <c r="B56" i="10"/>
  <c r="B55" i="10"/>
  <c r="B54" i="10"/>
  <c r="A54" i="10"/>
  <c r="B52" i="10"/>
  <c r="B51" i="10"/>
  <c r="B50" i="10"/>
  <c r="B49" i="10"/>
  <c r="B48" i="10"/>
  <c r="A48" i="10"/>
  <c r="B46" i="10"/>
  <c r="B45" i="10"/>
  <c r="B44" i="10"/>
  <c r="B43" i="10"/>
  <c r="B42" i="10"/>
  <c r="A42" i="10"/>
  <c r="B40" i="10"/>
  <c r="B39" i="10"/>
  <c r="B38" i="10"/>
  <c r="B37" i="10"/>
  <c r="B36" i="10"/>
  <c r="A36" i="10"/>
  <c r="B34" i="10"/>
  <c r="B33" i="10"/>
  <c r="B32" i="10"/>
  <c r="B31" i="10"/>
  <c r="B30" i="10"/>
  <c r="A30" i="10"/>
  <c r="B28" i="10"/>
  <c r="B27" i="10"/>
  <c r="B26" i="10"/>
  <c r="B25" i="10"/>
  <c r="B24" i="10"/>
  <c r="A24" i="10"/>
  <c r="B22" i="10"/>
  <c r="B21" i="10"/>
  <c r="B20" i="10"/>
  <c r="B19" i="10"/>
  <c r="B18" i="10"/>
  <c r="A18" i="10"/>
  <c r="B16" i="10"/>
  <c r="B15" i="10"/>
  <c r="B14" i="10"/>
  <c r="B13" i="10"/>
  <c r="B12" i="10"/>
  <c r="B109" i="9"/>
  <c r="B108" i="9"/>
  <c r="B107" i="9"/>
  <c r="B106" i="9"/>
  <c r="A106" i="9"/>
  <c r="B104" i="9"/>
  <c r="B103" i="9"/>
  <c r="B102" i="9"/>
  <c r="B101" i="9"/>
  <c r="A101" i="9"/>
  <c r="B99" i="9"/>
  <c r="B98" i="9"/>
  <c r="B97" i="9"/>
  <c r="B96" i="9"/>
  <c r="A96" i="9"/>
  <c r="B94" i="9"/>
  <c r="B93" i="9"/>
  <c r="B92" i="9"/>
  <c r="B91" i="9"/>
  <c r="A91" i="9"/>
  <c r="B89" i="9"/>
  <c r="B88" i="9"/>
  <c r="B87" i="9"/>
  <c r="B86" i="9"/>
  <c r="A86" i="9"/>
  <c r="B84" i="9"/>
  <c r="B83" i="9"/>
  <c r="B82" i="9"/>
  <c r="B81" i="9"/>
  <c r="A81" i="9"/>
  <c r="B79" i="9"/>
  <c r="B78" i="9"/>
  <c r="B77" i="9"/>
  <c r="B76" i="9"/>
  <c r="A76" i="9"/>
  <c r="B74" i="9"/>
  <c r="B73" i="9"/>
  <c r="B72" i="9"/>
  <c r="B71" i="9"/>
  <c r="A71" i="9"/>
  <c r="B69" i="9"/>
  <c r="B68" i="9"/>
  <c r="B67" i="9"/>
  <c r="B66" i="9"/>
  <c r="A66" i="9"/>
  <c r="B64" i="9"/>
  <c r="B63" i="9"/>
  <c r="B62" i="9"/>
  <c r="B61" i="9"/>
  <c r="A61" i="9"/>
  <c r="B59" i="9"/>
  <c r="B58" i="9"/>
  <c r="B57" i="9"/>
  <c r="B56" i="9"/>
  <c r="A56" i="9"/>
  <c r="B54" i="9"/>
  <c r="B53" i="9"/>
  <c r="B52" i="9"/>
  <c r="B51" i="9"/>
  <c r="A51" i="9"/>
  <c r="B49" i="9"/>
  <c r="B48" i="9"/>
  <c r="B47" i="9"/>
  <c r="B46" i="9"/>
  <c r="A46" i="9"/>
  <c r="B44" i="9"/>
  <c r="B43" i="9"/>
  <c r="B42" i="9"/>
  <c r="B41" i="9"/>
  <c r="A41" i="9"/>
  <c r="B39" i="9"/>
  <c r="B38" i="9"/>
  <c r="B37" i="9"/>
  <c r="B36" i="9"/>
  <c r="A36" i="9"/>
  <c r="B34" i="9"/>
  <c r="B33" i="9"/>
  <c r="B32" i="9"/>
  <c r="B31" i="9"/>
  <c r="A31" i="9"/>
  <c r="B29" i="9"/>
  <c r="B28" i="9"/>
  <c r="B27" i="9"/>
  <c r="B26" i="9"/>
  <c r="A26" i="9"/>
  <c r="B24" i="9"/>
  <c r="B23" i="9"/>
  <c r="B22" i="9"/>
  <c r="B21" i="9"/>
  <c r="A21" i="9"/>
  <c r="B19" i="9"/>
  <c r="B18" i="9"/>
  <c r="B17" i="9"/>
  <c r="B16" i="9"/>
  <c r="A16" i="9"/>
  <c r="B14" i="9"/>
  <c r="B13" i="9"/>
  <c r="B12" i="9"/>
  <c r="B11" i="9"/>
  <c r="T1" i="9"/>
  <c r="B13" i="8"/>
  <c r="B14" i="8" s="1"/>
  <c r="B15" i="8" s="1"/>
  <c r="B16" i="8" s="1"/>
  <c r="B17" i="8" s="1"/>
  <c r="B18" i="8" s="1"/>
  <c r="B19" i="8" s="1"/>
  <c r="B20" i="8" s="1"/>
  <c r="B21" i="8" s="1"/>
  <c r="B22" i="8" s="1"/>
  <c r="A22" i="7"/>
  <c r="B13" i="7"/>
  <c r="A49" i="6"/>
  <c r="A47" i="6"/>
  <c r="A45" i="6"/>
  <c r="A43" i="6"/>
  <c r="A41" i="6"/>
  <c r="A39" i="6"/>
  <c r="A37" i="6"/>
  <c r="A35" i="6"/>
  <c r="A33" i="6"/>
  <c r="A31" i="6"/>
  <c r="A22" i="3"/>
  <c r="A34" i="3" s="1"/>
  <c r="A46" i="3" s="1"/>
  <c r="A58" i="3" s="1"/>
  <c r="A70" i="3" s="1"/>
  <c r="A82" i="3" s="1"/>
  <c r="A94" i="3" s="1"/>
  <c r="B10" i="3"/>
  <c r="B169" i="2"/>
  <c r="B168" i="2"/>
  <c r="B167" i="2"/>
  <c r="B166" i="2"/>
  <c r="B165" i="2"/>
  <c r="B164" i="2"/>
  <c r="B163" i="2"/>
  <c r="A163" i="2"/>
  <c r="B161" i="2"/>
  <c r="B160" i="2"/>
  <c r="B159" i="2"/>
  <c r="B158" i="2"/>
  <c r="B157" i="2"/>
  <c r="B156" i="2"/>
  <c r="B155" i="2"/>
  <c r="A155" i="2"/>
  <c r="B153" i="2"/>
  <c r="B152" i="2"/>
  <c r="B151" i="2"/>
  <c r="B150" i="2"/>
  <c r="B149" i="2"/>
  <c r="B148" i="2"/>
  <c r="B147" i="2"/>
  <c r="A147" i="2"/>
  <c r="B145" i="2"/>
  <c r="B144" i="2"/>
  <c r="B143" i="2"/>
  <c r="B142" i="2"/>
  <c r="B141" i="2"/>
  <c r="B140" i="2"/>
  <c r="B139" i="2"/>
  <c r="A139" i="2"/>
  <c r="B137" i="2"/>
  <c r="B136" i="2"/>
  <c r="B135" i="2"/>
  <c r="B134" i="2"/>
  <c r="B133" i="2"/>
  <c r="B132" i="2"/>
  <c r="B131" i="2"/>
  <c r="A131" i="2"/>
  <c r="B129" i="2"/>
  <c r="B128" i="2"/>
  <c r="B127" i="2"/>
  <c r="B126" i="2"/>
  <c r="B125" i="2"/>
  <c r="B124" i="2"/>
  <c r="B123" i="2"/>
  <c r="A123" i="2"/>
  <c r="B121" i="2"/>
  <c r="B120" i="2"/>
  <c r="B119" i="2"/>
  <c r="B118" i="2"/>
  <c r="B117" i="2"/>
  <c r="B116" i="2"/>
  <c r="B115" i="2"/>
  <c r="A115" i="2"/>
  <c r="B113" i="2"/>
  <c r="B112" i="2"/>
  <c r="B111" i="2"/>
  <c r="B110" i="2"/>
  <c r="B109" i="2"/>
  <c r="B108" i="2"/>
  <c r="B107" i="2"/>
  <c r="A107" i="2"/>
  <c r="B105" i="2"/>
  <c r="B104" i="2"/>
  <c r="B103" i="2"/>
  <c r="B102" i="2"/>
  <c r="B101" i="2"/>
  <c r="B100" i="2"/>
  <c r="B99" i="2"/>
  <c r="A99" i="2"/>
  <c r="B97" i="2"/>
  <c r="B96" i="2"/>
  <c r="B95" i="2"/>
  <c r="B94" i="2"/>
  <c r="B93" i="2"/>
  <c r="B92" i="2"/>
  <c r="B91" i="2"/>
  <c r="A91" i="2"/>
  <c r="B89" i="2"/>
  <c r="B88" i="2"/>
  <c r="B87" i="2"/>
  <c r="B86" i="2"/>
  <c r="B85" i="2"/>
  <c r="B84" i="2"/>
  <c r="B83" i="2"/>
  <c r="A83" i="2"/>
  <c r="B81" i="2"/>
  <c r="B80" i="2"/>
  <c r="B79" i="2"/>
  <c r="B78" i="2"/>
  <c r="B77" i="2"/>
  <c r="B76" i="2"/>
  <c r="B75" i="2"/>
  <c r="A75" i="2"/>
  <c r="B73" i="2"/>
  <c r="B72" i="2"/>
  <c r="B71" i="2"/>
  <c r="B70" i="2"/>
  <c r="B69" i="2"/>
  <c r="B68" i="2"/>
  <c r="B67" i="2"/>
  <c r="B65" i="2"/>
  <c r="B64" i="2"/>
  <c r="B63" i="2"/>
  <c r="B62" i="2"/>
  <c r="B61" i="2"/>
  <c r="B60" i="2"/>
  <c r="B59" i="2"/>
  <c r="B57" i="2"/>
  <c r="B56" i="2"/>
  <c r="B55" i="2"/>
  <c r="B54" i="2"/>
  <c r="B53" i="2"/>
  <c r="B52" i="2"/>
  <c r="B51" i="2"/>
  <c r="B49" i="2"/>
  <c r="B48" i="2"/>
  <c r="B47" i="2"/>
  <c r="B46" i="2"/>
  <c r="B45" i="2"/>
  <c r="B44" i="2"/>
  <c r="B43" i="2"/>
  <c r="B41" i="2"/>
  <c r="B40" i="2"/>
  <c r="B39" i="2"/>
  <c r="B38" i="2"/>
  <c r="B37" i="2"/>
  <c r="B36" i="2"/>
  <c r="B35" i="2"/>
  <c r="B33" i="2"/>
  <c r="B32" i="2"/>
  <c r="B31" i="2"/>
  <c r="B30" i="2"/>
  <c r="B29" i="2"/>
  <c r="B28" i="2"/>
  <c r="B27" i="2"/>
  <c r="B25" i="2"/>
  <c r="B24" i="2"/>
  <c r="B23" i="2"/>
  <c r="B22" i="2"/>
  <c r="B21" i="2"/>
  <c r="B20" i="2"/>
  <c r="B19" i="2"/>
  <c r="B17" i="2"/>
  <c r="B16" i="2"/>
  <c r="B15" i="2"/>
  <c r="B14" i="2"/>
  <c r="B13" i="2"/>
  <c r="B12" i="2"/>
  <c r="B11" i="2"/>
  <c r="R44" i="4"/>
  <c r="R43" i="4"/>
  <c r="R42" i="4"/>
  <c r="R41" i="4"/>
  <c r="R40" i="4"/>
  <c r="R39" i="4"/>
  <c r="R38" i="4"/>
  <c r="R37" i="4"/>
  <c r="R36" i="4"/>
  <c r="R35" i="4"/>
  <c r="R34" i="4"/>
  <c r="R33" i="4"/>
  <c r="R32" i="4"/>
  <c r="R31" i="4"/>
  <c r="R30" i="4"/>
  <c r="R29" i="4"/>
  <c r="R28" i="4"/>
  <c r="R27" i="4"/>
  <c r="R26" i="4"/>
  <c r="L22" i="4"/>
  <c r="K22" i="4"/>
  <c r="J22" i="4"/>
  <c r="I22" i="4"/>
  <c r="G22" i="4"/>
  <c r="C22" i="4"/>
  <c r="L21" i="4"/>
  <c r="K21" i="4"/>
  <c r="J21" i="4"/>
  <c r="I21" i="4"/>
  <c r="G21" i="4"/>
  <c r="D21" i="4"/>
  <c r="C21" i="4"/>
  <c r="L20" i="4"/>
  <c r="K20" i="4"/>
  <c r="J20" i="4"/>
  <c r="I20" i="4"/>
  <c r="G20" i="4"/>
  <c r="D20" i="4"/>
  <c r="C20" i="4"/>
  <c r="L19" i="4"/>
  <c r="K19" i="4"/>
  <c r="J19" i="4"/>
  <c r="I19" i="4"/>
  <c r="G19" i="4"/>
  <c r="D19" i="4"/>
  <c r="C19" i="4"/>
  <c r="H19" i="4" s="1"/>
  <c r="L18" i="4"/>
  <c r="K18" i="4"/>
  <c r="J18" i="4"/>
  <c r="I18" i="4"/>
  <c r="G18" i="4"/>
  <c r="D18" i="4"/>
  <c r="C18" i="4"/>
  <c r="L17" i="4"/>
  <c r="K17" i="4"/>
  <c r="J17" i="4"/>
  <c r="I17" i="4"/>
  <c r="G17" i="4"/>
  <c r="D17" i="4"/>
  <c r="C17" i="4"/>
  <c r="L16" i="4"/>
  <c r="K16" i="4"/>
  <c r="J16" i="4"/>
  <c r="I16" i="4"/>
  <c r="G16" i="4"/>
  <c r="D16" i="4"/>
  <c r="C16" i="4"/>
  <c r="L15" i="4"/>
  <c r="K15" i="4"/>
  <c r="J15" i="4"/>
  <c r="I15" i="4"/>
  <c r="G15" i="4"/>
  <c r="D15" i="4"/>
  <c r="C15" i="4"/>
  <c r="H15" i="4" s="1"/>
  <c r="L14" i="4"/>
  <c r="K14" i="4"/>
  <c r="J14" i="4"/>
  <c r="I14" i="4"/>
  <c r="G14" i="4"/>
  <c r="D14" i="4"/>
  <c r="C14" i="4"/>
  <c r="H14" i="4" s="1"/>
  <c r="L13" i="4"/>
  <c r="K13" i="4"/>
  <c r="J13" i="4"/>
  <c r="I13" i="4"/>
  <c r="G13" i="4"/>
  <c r="D13" i="4"/>
  <c r="C13" i="4"/>
  <c r="H13" i="4" s="1"/>
  <c r="L12" i="4"/>
  <c r="K12" i="4"/>
  <c r="J12" i="4"/>
  <c r="I12" i="4"/>
  <c r="G12" i="4"/>
  <c r="D12" i="4"/>
  <c r="C12" i="4"/>
  <c r="L11" i="4"/>
  <c r="K11" i="4"/>
  <c r="J11" i="4"/>
  <c r="I11" i="4"/>
  <c r="G11" i="4"/>
  <c r="D11" i="4"/>
  <c r="C11" i="4"/>
  <c r="L10" i="4"/>
  <c r="K10" i="4"/>
  <c r="J10" i="4"/>
  <c r="I10" i="4"/>
  <c r="G10" i="4"/>
  <c r="D10" i="4"/>
  <c r="C10" i="4"/>
  <c r="L9" i="4"/>
  <c r="K9" i="4"/>
  <c r="J9" i="4"/>
  <c r="I9" i="4"/>
  <c r="G9" i="4"/>
  <c r="D9" i="4"/>
  <c r="C9" i="4"/>
  <c r="H9" i="4" s="1"/>
  <c r="L8" i="4"/>
  <c r="K8" i="4"/>
  <c r="J8" i="4"/>
  <c r="I8" i="4"/>
  <c r="G8" i="4"/>
  <c r="C8" i="4"/>
  <c r="L7" i="4"/>
  <c r="K7" i="4"/>
  <c r="J7" i="4"/>
  <c r="I7" i="4"/>
  <c r="G7" i="4"/>
  <c r="D7" i="4"/>
  <c r="C7" i="4"/>
  <c r="H7" i="4" s="1"/>
  <c r="L6" i="4"/>
  <c r="K6" i="4"/>
  <c r="J6" i="4"/>
  <c r="I6" i="4"/>
  <c r="G6" i="4"/>
  <c r="C6" i="4"/>
  <c r="H6" i="4" s="1"/>
  <c r="L5" i="4"/>
  <c r="K5" i="4"/>
  <c r="J5" i="4"/>
  <c r="I5" i="4"/>
  <c r="G5" i="4"/>
  <c r="C5" i="4"/>
  <c r="L4" i="4"/>
  <c r="K4" i="4"/>
  <c r="J4" i="4"/>
  <c r="I4" i="4"/>
  <c r="G4" i="4"/>
  <c r="C4" i="4"/>
  <c r="H4" i="4" s="1"/>
  <c r="L3" i="4"/>
  <c r="K3" i="4"/>
  <c r="J3" i="4"/>
  <c r="I3" i="4"/>
  <c r="C3" i="4"/>
  <c r="BB2" i="4"/>
  <c r="AZ2" i="4"/>
  <c r="AX2" i="4"/>
  <c r="AV2" i="4"/>
  <c r="AT2" i="4"/>
  <c r="AR2" i="4"/>
  <c r="AP2" i="4"/>
  <c r="AN2" i="4"/>
  <c r="AL2" i="4"/>
  <c r="AJ2" i="4"/>
  <c r="AH2" i="4"/>
  <c r="AF2" i="4"/>
  <c r="AD2" i="4"/>
  <c r="AB2" i="4"/>
  <c r="Z2" i="4"/>
  <c r="X2" i="4"/>
  <c r="V2" i="4"/>
  <c r="L2" i="4"/>
  <c r="K2" i="4"/>
  <c r="J2" i="4"/>
  <c r="I2" i="4"/>
  <c r="A1" i="4"/>
  <c r="B22" i="3" l="1"/>
  <c r="B11" i="3"/>
  <c r="B12" i="3" s="1"/>
  <c r="B13" i="3" s="1"/>
  <c r="B14" i="3" s="1"/>
  <c r="B15" i="3" s="1"/>
  <c r="B16" i="3" s="1"/>
  <c r="B17" i="3" s="1"/>
  <c r="B18" i="3" s="1"/>
  <c r="B23" i="6"/>
  <c r="B33" i="6"/>
  <c r="B35" i="6"/>
  <c r="D22" i="4"/>
  <c r="H22" i="4"/>
  <c r="B47" i="6"/>
  <c r="E21" i="4"/>
  <c r="H21" i="4"/>
  <c r="B45" i="6"/>
  <c r="E20" i="4"/>
  <c r="H20" i="4"/>
  <c r="B43" i="6"/>
  <c r="B41" i="6"/>
  <c r="E18" i="4"/>
  <c r="H18" i="4"/>
  <c r="B39" i="6"/>
  <c r="E17" i="4"/>
  <c r="H17" i="4"/>
  <c r="B37" i="6"/>
  <c r="E16" i="4"/>
  <c r="H16" i="4"/>
  <c r="E13" i="4"/>
  <c r="B31" i="6"/>
  <c r="B29" i="6"/>
  <c r="E12" i="4"/>
  <c r="H12" i="4"/>
  <c r="B27" i="6"/>
  <c r="E11" i="4"/>
  <c r="H11" i="4"/>
  <c r="B25" i="6"/>
  <c r="C94" i="3"/>
  <c r="E10" i="4"/>
  <c r="H10" i="4"/>
  <c r="B19" i="6"/>
  <c r="C58" i="3"/>
  <c r="D8" i="4"/>
  <c r="H8" i="4"/>
  <c r="D5" i="4"/>
  <c r="H5" i="4"/>
  <c r="D3" i="4"/>
  <c r="N3" i="4" s="1"/>
  <c r="H3" i="4"/>
  <c r="E19" i="4"/>
  <c r="J63" i="13"/>
  <c r="E14" i="4"/>
  <c r="A37" i="8"/>
  <c r="B25" i="8"/>
  <c r="I66" i="11"/>
  <c r="E66" i="11"/>
  <c r="K66" i="11"/>
  <c r="G66" i="11"/>
  <c r="D66" i="11"/>
  <c r="W60" i="11"/>
  <c r="Q60" i="11"/>
  <c r="K60" i="11"/>
  <c r="G60" i="11"/>
  <c r="AB60" i="11"/>
  <c r="U60" i="11"/>
  <c r="I60" i="11"/>
  <c r="E60" i="11"/>
  <c r="Y60" i="11"/>
  <c r="G9" i="11"/>
  <c r="R9" i="11"/>
  <c r="V9" i="11"/>
  <c r="D9" i="11"/>
  <c r="E9" i="11"/>
  <c r="N31" i="11"/>
  <c r="AE31" i="11"/>
  <c r="AB31" i="11"/>
  <c r="Z31" i="11"/>
  <c r="X31" i="11"/>
  <c r="V31" i="11"/>
  <c r="Q31" i="11"/>
  <c r="K31" i="11"/>
  <c r="I31" i="11"/>
  <c r="E31" i="11"/>
  <c r="D60" i="11"/>
  <c r="E7" i="4"/>
  <c r="J27" i="13"/>
  <c r="J23" i="13"/>
  <c r="E15" i="4"/>
  <c r="A19" i="11"/>
  <c r="A106" i="3"/>
  <c r="A67" i="11"/>
  <c r="A68" i="11" s="1"/>
  <c r="E9" i="4"/>
  <c r="J87" i="13"/>
  <c r="J75" i="13"/>
  <c r="C82" i="3"/>
  <c r="J39" i="13"/>
  <c r="J83" i="13"/>
  <c r="J59" i="13"/>
  <c r="J35" i="13"/>
  <c r="J11" i="13"/>
  <c r="M60" i="11"/>
  <c r="AE60" i="11"/>
  <c r="A61" i="11"/>
  <c r="AG61" i="11" s="1"/>
  <c r="M62" i="11"/>
  <c r="J15" i="13"/>
  <c r="D4" i="4"/>
  <c r="D6" i="4"/>
  <c r="G31" i="11"/>
  <c r="X9" i="11"/>
  <c r="I9" i="11"/>
  <c r="A10" i="11"/>
  <c r="A11" i="11" s="1"/>
  <c r="J79" i="13"/>
  <c r="J31" i="13"/>
  <c r="J51" i="13"/>
  <c r="J71" i="13"/>
  <c r="J55" i="13"/>
  <c r="J43" i="13"/>
  <c r="J19" i="13"/>
  <c r="J47" i="13"/>
  <c r="J67" i="13"/>
  <c r="V89" i="13"/>
  <c r="V49" i="13"/>
  <c r="V37" i="13"/>
  <c r="V29" i="13"/>
  <c r="V81" i="13"/>
  <c r="V33" i="13"/>
  <c r="V85" i="13"/>
  <c r="V57" i="13"/>
  <c r="V61" i="13"/>
  <c r="V77" i="13"/>
  <c r="V41" i="13"/>
  <c r="V73" i="13"/>
  <c r="V45" i="13"/>
  <c r="V17" i="13"/>
  <c r="V21" i="13"/>
  <c r="V69" i="13"/>
  <c r="V53" i="13"/>
  <c r="V25" i="13"/>
  <c r="V65" i="13"/>
  <c r="T77" i="13"/>
  <c r="T49" i="13"/>
  <c r="T89" i="13"/>
  <c r="T45" i="13"/>
  <c r="T17" i="13"/>
  <c r="T53" i="13"/>
  <c r="T73" i="13"/>
  <c r="T33" i="13"/>
  <c r="T85" i="13"/>
  <c r="T21" i="13"/>
  <c r="T61" i="13"/>
  <c r="T41" i="13"/>
  <c r="T69" i="13"/>
  <c r="T81" i="13"/>
  <c r="T25" i="13"/>
  <c r="T37" i="13"/>
  <c r="T28" i="13"/>
  <c r="T57" i="13"/>
  <c r="T65" i="13"/>
  <c r="R89" i="13"/>
  <c r="R57" i="13"/>
  <c r="R53" i="13"/>
  <c r="R21" i="13"/>
  <c r="R85" i="13"/>
  <c r="R49" i="13"/>
  <c r="R45" i="13"/>
  <c r="R41" i="13"/>
  <c r="R81" i="13"/>
  <c r="R37" i="13"/>
  <c r="R33" i="13"/>
  <c r="R29" i="13"/>
  <c r="R77" i="13"/>
  <c r="R25" i="13"/>
  <c r="R17" i="13"/>
  <c r="R73" i="13"/>
  <c r="R69" i="13"/>
  <c r="R65" i="13"/>
  <c r="R61" i="13"/>
  <c r="V87" i="13"/>
  <c r="V27" i="13"/>
  <c r="V23" i="13"/>
  <c r="V83" i="13"/>
  <c r="V67" i="13"/>
  <c r="V63" i="13"/>
  <c r="V79" i="13"/>
  <c r="V15" i="13"/>
  <c r="V71" i="13"/>
  <c r="V75" i="13"/>
  <c r="V47" i="13"/>
  <c r="V51" i="13"/>
  <c r="V43" i="13"/>
  <c r="V35" i="13"/>
  <c r="V19" i="13"/>
  <c r="V55" i="13"/>
  <c r="V59" i="13"/>
  <c r="V31" i="13"/>
  <c r="V39" i="13"/>
  <c r="T87" i="13"/>
  <c r="T31" i="13"/>
  <c r="T83" i="13"/>
  <c r="T15" i="13"/>
  <c r="T75" i="13"/>
  <c r="T43" i="13"/>
  <c r="T51" i="13"/>
  <c r="T39" i="13"/>
  <c r="T59" i="13"/>
  <c r="T35" i="13"/>
  <c r="T63" i="13"/>
  <c r="T47" i="13"/>
  <c r="T79" i="13"/>
  <c r="T27" i="13"/>
  <c r="T67" i="13"/>
  <c r="T23" i="13"/>
  <c r="T71" i="13"/>
  <c r="T19" i="13"/>
  <c r="T55" i="13"/>
  <c r="R87" i="13"/>
  <c r="R83" i="13"/>
  <c r="R59" i="13"/>
  <c r="R55" i="13"/>
  <c r="R39" i="13"/>
  <c r="R67" i="13"/>
  <c r="R23" i="13"/>
  <c r="R71" i="13"/>
  <c r="R47" i="13"/>
  <c r="R51" i="13"/>
  <c r="R43" i="13"/>
  <c r="R35" i="13"/>
  <c r="R19" i="13"/>
  <c r="R79" i="13"/>
  <c r="R75" i="13"/>
  <c r="R31" i="13"/>
  <c r="R27" i="13"/>
  <c r="R63" i="13"/>
  <c r="R15" i="13"/>
  <c r="A31" i="7"/>
  <c r="A36" i="11"/>
  <c r="B22" i="7"/>
  <c r="B14" i="7"/>
  <c r="B15" i="7" s="1"/>
  <c r="B16" i="7" s="1"/>
  <c r="B17" i="7" s="1"/>
  <c r="B18" i="7" s="1"/>
  <c r="E22" i="4" l="1"/>
  <c r="M22" i="4"/>
  <c r="O22" i="4"/>
  <c r="N22" i="4"/>
  <c r="B49" i="6" s="1"/>
  <c r="M4" i="4"/>
  <c r="C22" i="3" s="1"/>
  <c r="O4" i="4"/>
  <c r="C22" i="7" s="1"/>
  <c r="N4" i="4"/>
  <c r="B13" i="6" s="1"/>
  <c r="E3" i="4"/>
  <c r="M3" i="4"/>
  <c r="C10" i="3" s="1"/>
  <c r="O3" i="4"/>
  <c r="C13" i="7" s="1"/>
  <c r="B11" i="6"/>
  <c r="B23" i="3"/>
  <c r="B24" i="3" s="1"/>
  <c r="B25" i="3" s="1"/>
  <c r="B26" i="3" s="1"/>
  <c r="B27" i="3" s="1"/>
  <c r="B28" i="3" s="1"/>
  <c r="B29" i="3" s="1"/>
  <c r="B30" i="3" s="1"/>
  <c r="B34" i="3"/>
  <c r="E8" i="4"/>
  <c r="B21" i="6"/>
  <c r="C70" i="3"/>
  <c r="C46" i="3"/>
  <c r="C31" i="7"/>
  <c r="B15" i="6"/>
  <c r="C34" i="3"/>
  <c r="E5" i="4"/>
  <c r="E4" i="4"/>
  <c r="A49" i="8"/>
  <c r="B37" i="8"/>
  <c r="B38" i="8" s="1"/>
  <c r="B39" i="8" s="1"/>
  <c r="B40" i="8" s="1"/>
  <c r="B41" i="8" s="1"/>
  <c r="B42" i="8" s="1"/>
  <c r="B43" i="8" s="1"/>
  <c r="B44" i="8" s="1"/>
  <c r="B45" i="8" s="1"/>
  <c r="B46" i="8" s="1"/>
  <c r="A45" i="11"/>
  <c r="B26" i="8"/>
  <c r="B27" i="8" s="1"/>
  <c r="B28" i="8" s="1"/>
  <c r="B29" i="8" s="1"/>
  <c r="B30" i="8" s="1"/>
  <c r="B31" i="8" s="1"/>
  <c r="B32" i="8" s="1"/>
  <c r="B33" i="8" s="1"/>
  <c r="B34" i="8" s="1"/>
  <c r="A20" i="11"/>
  <c r="S20" i="11" s="1"/>
  <c r="G36" i="11"/>
  <c r="E6" i="4"/>
  <c r="A118" i="3"/>
  <c r="C106" i="3"/>
  <c r="C118" i="3"/>
  <c r="A130" i="3"/>
  <c r="A69" i="11"/>
  <c r="A70" i="11" s="1"/>
  <c r="M61" i="11"/>
  <c r="AE61" i="11"/>
  <c r="A62" i="11"/>
  <c r="I11" i="11"/>
  <c r="A12" i="11"/>
  <c r="A13" i="11" s="1"/>
  <c r="E36" i="11"/>
  <c r="A37" i="11"/>
  <c r="I36" i="11"/>
  <c r="A40" i="7"/>
  <c r="B23" i="7"/>
  <c r="B24" i="7" s="1"/>
  <c r="B25" i="7" s="1"/>
  <c r="B26" i="7" s="1"/>
  <c r="B27" i="7" s="1"/>
  <c r="B31" i="7"/>
  <c r="B46" i="3" l="1"/>
  <c r="B35" i="3"/>
  <c r="B36" i="3" s="1"/>
  <c r="B37" i="3" s="1"/>
  <c r="B38" i="3" s="1"/>
  <c r="B39" i="3" s="1"/>
  <c r="B40" i="3" s="1"/>
  <c r="B41" i="3" s="1"/>
  <c r="B42" i="3" s="1"/>
  <c r="D36" i="11"/>
  <c r="E24" i="4" a="1"/>
  <c r="D19" i="11"/>
  <c r="D31" i="11"/>
  <c r="M45" i="11"/>
  <c r="K45" i="11"/>
  <c r="I45" i="11"/>
  <c r="G45" i="11"/>
  <c r="E45" i="11"/>
  <c r="D45" i="11"/>
  <c r="A61" i="8"/>
  <c r="B49" i="8"/>
  <c r="B50" i="8" s="1"/>
  <c r="B51" i="8" s="1"/>
  <c r="B52" i="8" s="1"/>
  <c r="B53" i="8" s="1"/>
  <c r="B54" i="8" s="1"/>
  <c r="B55" i="8" s="1"/>
  <c r="B56" i="8" s="1"/>
  <c r="B57" i="8" s="1"/>
  <c r="B58" i="8" s="1"/>
  <c r="A46" i="11"/>
  <c r="M46" i="11" s="1"/>
  <c r="A21" i="11"/>
  <c r="AF21" i="11" s="1"/>
  <c r="A142" i="3"/>
  <c r="C130" i="3"/>
  <c r="O24" i="4" a="1"/>
  <c r="M24" i="4" a="1"/>
  <c r="N24" i="4" a="1"/>
  <c r="B17" i="6"/>
  <c r="I13" i="11"/>
  <c r="A14" i="11"/>
  <c r="A15" i="11" s="1"/>
  <c r="I15" i="11" s="1"/>
  <c r="E37" i="11"/>
  <c r="M37" i="11"/>
  <c r="R37" i="11"/>
  <c r="I37" i="11"/>
  <c r="A38" i="11"/>
  <c r="C40" i="7"/>
  <c r="A49" i="7"/>
  <c r="B32" i="7"/>
  <c r="B33" i="7" s="1"/>
  <c r="B34" i="7" s="1"/>
  <c r="B35" i="7" s="1"/>
  <c r="B36" i="7" s="1"/>
  <c r="B40" i="7"/>
  <c r="B58" i="3" l="1"/>
  <c r="B47" i="3"/>
  <c r="B48" i="3" s="1"/>
  <c r="B49" i="3" s="1"/>
  <c r="B50" i="3" s="1"/>
  <c r="B51" i="3" s="1"/>
  <c r="B52" i="3" s="1"/>
  <c r="B53" i="3" s="1"/>
  <c r="B54" i="3" s="1"/>
  <c r="O24" i="4"/>
  <c r="N24" i="4"/>
  <c r="E24" i="4"/>
  <c r="A73" i="8"/>
  <c r="B61" i="8"/>
  <c r="B62" i="8" s="1"/>
  <c r="B63" i="8" s="1"/>
  <c r="B64" i="8" s="1"/>
  <c r="B65" i="8" s="1"/>
  <c r="B66" i="8" s="1"/>
  <c r="B67" i="8" s="1"/>
  <c r="B68" i="8" s="1"/>
  <c r="B69" i="8" s="1"/>
  <c r="B70" i="8" s="1"/>
  <c r="A47" i="11"/>
  <c r="X21" i="11"/>
  <c r="W20" i="11"/>
  <c r="Z21" i="11"/>
  <c r="G21" i="11"/>
  <c r="AB21" i="11"/>
  <c r="K21" i="11"/>
  <c r="E21" i="11"/>
  <c r="I21" i="11"/>
  <c r="O21" i="11"/>
  <c r="A22" i="11"/>
  <c r="L37" i="11"/>
  <c r="N38" i="11"/>
  <c r="A154" i="3"/>
  <c r="C142" i="3"/>
  <c r="M24" i="4"/>
  <c r="G38" i="11"/>
  <c r="E38" i="11"/>
  <c r="A39" i="11"/>
  <c r="C49" i="7"/>
  <c r="A58" i="7"/>
  <c r="B41" i="7"/>
  <c r="B42" i="7" s="1"/>
  <c r="B43" i="7" s="1"/>
  <c r="B44" i="7" s="1"/>
  <c r="B45" i="7" s="1"/>
  <c r="B49" i="7"/>
  <c r="B70" i="3" l="1"/>
  <c r="B59" i="3"/>
  <c r="B60" i="3" s="1"/>
  <c r="B61" i="3" s="1"/>
  <c r="B62" i="3" s="1"/>
  <c r="B63" i="3" s="1"/>
  <c r="B64" i="3" s="1"/>
  <c r="B65" i="3" s="1"/>
  <c r="B66" i="3" s="1"/>
  <c r="E22" i="11"/>
  <c r="V21" i="11"/>
  <c r="AF47" i="11"/>
  <c r="M47" i="11"/>
  <c r="AC46" i="11"/>
  <c r="Y46" i="11"/>
  <c r="W46" i="11"/>
  <c r="S46" i="11"/>
  <c r="K22" i="11"/>
  <c r="M22" i="11"/>
  <c r="X22" i="11"/>
  <c r="Z22" i="11"/>
  <c r="O22" i="11"/>
  <c r="I22" i="11"/>
  <c r="R22" i="11"/>
  <c r="A23" i="11"/>
  <c r="A85" i="8"/>
  <c r="B73" i="8"/>
  <c r="B74" i="8" s="1"/>
  <c r="B75" i="8" s="1"/>
  <c r="B76" i="8" s="1"/>
  <c r="B77" i="8" s="1"/>
  <c r="B78" i="8" s="1"/>
  <c r="B79" i="8" s="1"/>
  <c r="B80" i="8" s="1"/>
  <c r="B81" i="8" s="1"/>
  <c r="B82" i="8" s="1"/>
  <c r="A48" i="11"/>
  <c r="A49" i="11" s="1"/>
  <c r="A166" i="3"/>
  <c r="C154" i="3"/>
  <c r="R39" i="11"/>
  <c r="M39" i="11"/>
  <c r="A40" i="11"/>
  <c r="A67" i="7"/>
  <c r="C58" i="7"/>
  <c r="B58" i="7"/>
  <c r="B50" i="7"/>
  <c r="B51" i="7" s="1"/>
  <c r="B52" i="7" s="1"/>
  <c r="B53" i="7" s="1"/>
  <c r="B54" i="7" s="1"/>
  <c r="B82" i="3" l="1"/>
  <c r="B71" i="3"/>
  <c r="B72" i="3" s="1"/>
  <c r="B73" i="3" s="1"/>
  <c r="B74" i="3" s="1"/>
  <c r="B75" i="3" s="1"/>
  <c r="B76" i="3" s="1"/>
  <c r="B77" i="3" s="1"/>
  <c r="B78" i="3" s="1"/>
  <c r="X23" i="11"/>
  <c r="Z23" i="11"/>
  <c r="AB23" i="11"/>
  <c r="AF23" i="11"/>
  <c r="K23" i="11"/>
  <c r="O23" i="11"/>
  <c r="E23" i="11"/>
  <c r="G23" i="11"/>
  <c r="M23" i="11"/>
  <c r="Q23" i="11"/>
  <c r="A24" i="11"/>
  <c r="S23" i="11"/>
  <c r="AB49" i="11"/>
  <c r="X49" i="11"/>
  <c r="V49" i="11"/>
  <c r="M49" i="11"/>
  <c r="B85" i="8"/>
  <c r="B86" i="8" s="1"/>
  <c r="B87" i="8" s="1"/>
  <c r="B88" i="8" s="1"/>
  <c r="B89" i="8" s="1"/>
  <c r="B90" i="8" s="1"/>
  <c r="B91" i="8" s="1"/>
  <c r="B92" i="8" s="1"/>
  <c r="B93" i="8" s="1"/>
  <c r="B94" i="8" s="1"/>
  <c r="A97" i="8"/>
  <c r="A50" i="11"/>
  <c r="A51" i="11" s="1"/>
  <c r="A52" i="11" s="1"/>
  <c r="C166" i="3"/>
  <c r="A178" i="3"/>
  <c r="R40" i="11"/>
  <c r="A41" i="11"/>
  <c r="N40" i="11" s="1"/>
  <c r="C67" i="7"/>
  <c r="A76" i="7"/>
  <c r="B67" i="7"/>
  <c r="B59" i="7"/>
  <c r="B60" i="7" s="1"/>
  <c r="B61" i="7" s="1"/>
  <c r="B62" i="7" s="1"/>
  <c r="B63" i="7" s="1"/>
  <c r="B94" i="3" l="1"/>
  <c r="B83" i="3"/>
  <c r="B84" i="3" s="1"/>
  <c r="B85" i="3" s="1"/>
  <c r="B86" i="3" s="1"/>
  <c r="B87" i="3" s="1"/>
  <c r="B88" i="3" s="1"/>
  <c r="B89" i="3" s="1"/>
  <c r="B90" i="3" s="1"/>
  <c r="V23" i="11"/>
  <c r="A25" i="11"/>
  <c r="V52" i="11"/>
  <c r="N51" i="11"/>
  <c r="B97" i="8"/>
  <c r="B98" i="8" s="1"/>
  <c r="B99" i="8" s="1"/>
  <c r="B100" i="8" s="1"/>
  <c r="B101" i="8" s="1"/>
  <c r="B102" i="8" s="1"/>
  <c r="B103" i="8" s="1"/>
  <c r="B104" i="8" s="1"/>
  <c r="B105" i="8" s="1"/>
  <c r="B106" i="8" s="1"/>
  <c r="A109" i="8"/>
  <c r="A53" i="11"/>
  <c r="A54" i="11" s="1"/>
  <c r="C178" i="3"/>
  <c r="A190" i="3"/>
  <c r="R41" i="11"/>
  <c r="C76" i="7"/>
  <c r="A85" i="7"/>
  <c r="B68" i="7"/>
  <c r="B69" i="7" s="1"/>
  <c r="B70" i="7" s="1"/>
  <c r="B71" i="7" s="1"/>
  <c r="B72" i="7" s="1"/>
  <c r="B76" i="7"/>
  <c r="B106" i="3" l="1"/>
  <c r="B95" i="3"/>
  <c r="B96" i="3" s="1"/>
  <c r="B97" i="3" s="1"/>
  <c r="B98" i="3" s="1"/>
  <c r="B99" i="3" s="1"/>
  <c r="B100" i="3" s="1"/>
  <c r="B101" i="3" s="1"/>
  <c r="B102" i="3" s="1"/>
  <c r="W24" i="11"/>
  <c r="R25" i="11"/>
  <c r="A26" i="11"/>
  <c r="Y53" i="11"/>
  <c r="V53" i="11"/>
  <c r="B109" i="8"/>
  <c r="B110" i="8" s="1"/>
  <c r="B111" i="8" s="1"/>
  <c r="B112" i="8" s="1"/>
  <c r="B113" i="8" s="1"/>
  <c r="B114" i="8" s="1"/>
  <c r="B115" i="8" s="1"/>
  <c r="B116" i="8" s="1"/>
  <c r="B117" i="8" s="1"/>
  <c r="B118" i="8" s="1"/>
  <c r="A121" i="8"/>
  <c r="C190" i="3"/>
  <c r="A202" i="3"/>
  <c r="C85" i="7"/>
  <c r="A94" i="7"/>
  <c r="B77" i="7"/>
  <c r="B78" i="7" s="1"/>
  <c r="B79" i="7" s="1"/>
  <c r="B80" i="7" s="1"/>
  <c r="B81" i="7" s="1"/>
  <c r="B85" i="7"/>
  <c r="B118" i="3" l="1"/>
  <c r="B107" i="3"/>
  <c r="B108" i="3" s="1"/>
  <c r="B109" i="3" s="1"/>
  <c r="B110" i="3" s="1"/>
  <c r="B111" i="3" s="1"/>
  <c r="B112" i="3" s="1"/>
  <c r="B113" i="3" s="1"/>
  <c r="B114" i="3" s="1"/>
  <c r="S26" i="11"/>
  <c r="V25" i="11"/>
  <c r="A27" i="11"/>
  <c r="W26" i="11" s="1"/>
  <c r="A133" i="8"/>
  <c r="B121" i="8"/>
  <c r="B122" i="8" s="1"/>
  <c r="B123" i="8" s="1"/>
  <c r="B124" i="8" s="1"/>
  <c r="B125" i="8" s="1"/>
  <c r="B126" i="8" s="1"/>
  <c r="B127" i="8" s="1"/>
  <c r="B128" i="8" s="1"/>
  <c r="B129" i="8" s="1"/>
  <c r="B130" i="8" s="1"/>
  <c r="C202" i="3"/>
  <c r="A214" i="3"/>
  <c r="C94" i="7"/>
  <c r="A103" i="7"/>
  <c r="B94" i="7"/>
  <c r="B86" i="7"/>
  <c r="B87" i="7" s="1"/>
  <c r="B88" i="7" s="1"/>
  <c r="B89" i="7" s="1"/>
  <c r="B90" i="7" s="1"/>
  <c r="B130" i="3" l="1"/>
  <c r="B119" i="3"/>
  <c r="B120" i="3" s="1"/>
  <c r="B121" i="3" s="1"/>
  <c r="B122" i="3" s="1"/>
  <c r="B123" i="3" s="1"/>
  <c r="B124" i="3" s="1"/>
  <c r="B125" i="3" s="1"/>
  <c r="B126" i="3" s="1"/>
  <c r="A145" i="8"/>
  <c r="B133" i="8"/>
  <c r="B134" i="8" s="1"/>
  <c r="B135" i="8" s="1"/>
  <c r="B136" i="8" s="1"/>
  <c r="B137" i="8" s="1"/>
  <c r="B138" i="8" s="1"/>
  <c r="B139" i="8" s="1"/>
  <c r="B140" i="8" s="1"/>
  <c r="B141" i="8" s="1"/>
  <c r="B142" i="8" s="1"/>
  <c r="C214" i="3"/>
  <c r="A226" i="3"/>
  <c r="A112" i="7"/>
  <c r="C103" i="7"/>
  <c r="B95" i="7"/>
  <c r="B96" i="7" s="1"/>
  <c r="B97" i="7" s="1"/>
  <c r="B98" i="7" s="1"/>
  <c r="B99" i="7" s="1"/>
  <c r="B103" i="7"/>
  <c r="B142" i="3" l="1"/>
  <c r="B131" i="3"/>
  <c r="B132" i="3" s="1"/>
  <c r="B133" i="3" s="1"/>
  <c r="B134" i="3" s="1"/>
  <c r="B135" i="3" s="1"/>
  <c r="B136" i="3" s="1"/>
  <c r="B137" i="3" s="1"/>
  <c r="B138" i="3" s="1"/>
  <c r="A157" i="8"/>
  <c r="B145" i="8"/>
  <c r="B146" i="8" s="1"/>
  <c r="B147" i="8" s="1"/>
  <c r="B148" i="8" s="1"/>
  <c r="B149" i="8" s="1"/>
  <c r="B150" i="8" s="1"/>
  <c r="B151" i="8" s="1"/>
  <c r="B152" i="8" s="1"/>
  <c r="B153" i="8" s="1"/>
  <c r="B154" i="8" s="1"/>
  <c r="A238" i="3"/>
  <c r="C238" i="3" s="1"/>
  <c r="C226" i="3"/>
  <c r="C112" i="7"/>
  <c r="A121" i="7"/>
  <c r="B112" i="7"/>
  <c r="B104" i="7"/>
  <c r="B105" i="7" s="1"/>
  <c r="B106" i="7" s="1"/>
  <c r="B107" i="7" s="1"/>
  <c r="B108" i="7" s="1"/>
  <c r="B154" i="3" l="1"/>
  <c r="B143" i="3"/>
  <c r="B144" i="3" s="1"/>
  <c r="B145" i="3" s="1"/>
  <c r="B146" i="3" s="1"/>
  <c r="B147" i="3" s="1"/>
  <c r="B148" i="3" s="1"/>
  <c r="B149" i="3" s="1"/>
  <c r="B150" i="3" s="1"/>
  <c r="A169" i="8"/>
  <c r="B157" i="8"/>
  <c r="B158" i="8" s="1"/>
  <c r="B159" i="8" s="1"/>
  <c r="B160" i="8" s="1"/>
  <c r="B161" i="8" s="1"/>
  <c r="B162" i="8" s="1"/>
  <c r="B163" i="8" s="1"/>
  <c r="B164" i="8" s="1"/>
  <c r="B165" i="8" s="1"/>
  <c r="B166" i="8" s="1"/>
  <c r="C121" i="7"/>
  <c r="A130" i="7"/>
  <c r="B121" i="7"/>
  <c r="B113" i="7"/>
  <c r="B114" i="7" s="1"/>
  <c r="B115" i="7" s="1"/>
  <c r="B116" i="7" s="1"/>
  <c r="B117" i="7" s="1"/>
  <c r="B166" i="3" l="1"/>
  <c r="B155" i="3"/>
  <c r="B156" i="3" s="1"/>
  <c r="B157" i="3" s="1"/>
  <c r="B158" i="3" s="1"/>
  <c r="B159" i="3" s="1"/>
  <c r="B160" i="3" s="1"/>
  <c r="B161" i="3" s="1"/>
  <c r="B162" i="3" s="1"/>
  <c r="A181" i="8"/>
  <c r="B169" i="8"/>
  <c r="B170" i="8" s="1"/>
  <c r="B171" i="8" s="1"/>
  <c r="B172" i="8" s="1"/>
  <c r="B173" i="8" s="1"/>
  <c r="B174" i="8" s="1"/>
  <c r="B175" i="8" s="1"/>
  <c r="B176" i="8" s="1"/>
  <c r="B177" i="8" s="1"/>
  <c r="B178" i="8" s="1"/>
  <c r="C130" i="7"/>
  <c r="A139" i="7"/>
  <c r="B122" i="7"/>
  <c r="B123" i="7" s="1"/>
  <c r="B124" i="7" s="1"/>
  <c r="B125" i="7" s="1"/>
  <c r="B126" i="7" s="1"/>
  <c r="B130" i="7"/>
  <c r="B178" i="3" l="1"/>
  <c r="B167" i="3"/>
  <c r="B168" i="3" s="1"/>
  <c r="B169" i="3" s="1"/>
  <c r="B170" i="3" s="1"/>
  <c r="B171" i="3" s="1"/>
  <c r="B172" i="3" s="1"/>
  <c r="B173" i="3" s="1"/>
  <c r="B174" i="3" s="1"/>
  <c r="A193" i="8"/>
  <c r="B181" i="8"/>
  <c r="B182" i="8" s="1"/>
  <c r="B183" i="8" s="1"/>
  <c r="B184" i="8" s="1"/>
  <c r="B185" i="8" s="1"/>
  <c r="B186" i="8" s="1"/>
  <c r="B187" i="8" s="1"/>
  <c r="B188" i="8" s="1"/>
  <c r="B189" i="8" s="1"/>
  <c r="B190" i="8" s="1"/>
  <c r="C139" i="7"/>
  <c r="A148" i="7"/>
  <c r="B131" i="7"/>
  <c r="B132" i="7" s="1"/>
  <c r="B133" i="7" s="1"/>
  <c r="B134" i="7" s="1"/>
  <c r="B135" i="7" s="1"/>
  <c r="B139" i="7"/>
  <c r="B190" i="3" l="1"/>
  <c r="B179" i="3"/>
  <c r="B180" i="3" s="1"/>
  <c r="B181" i="3" s="1"/>
  <c r="B182" i="3" s="1"/>
  <c r="B183" i="3" s="1"/>
  <c r="B184" i="3" s="1"/>
  <c r="B185" i="3" s="1"/>
  <c r="B186" i="3" s="1"/>
  <c r="A205" i="8"/>
  <c r="B193" i="8"/>
  <c r="B194" i="8" s="1"/>
  <c r="B195" i="8" s="1"/>
  <c r="B196" i="8" s="1"/>
  <c r="B197" i="8" s="1"/>
  <c r="B198" i="8" s="1"/>
  <c r="B199" i="8" s="1"/>
  <c r="B200" i="8" s="1"/>
  <c r="B201" i="8" s="1"/>
  <c r="B202" i="8" s="1"/>
  <c r="C148" i="7"/>
  <c r="A157" i="7"/>
  <c r="B140" i="7"/>
  <c r="B141" i="7" s="1"/>
  <c r="B142" i="7" s="1"/>
  <c r="B143" i="7" s="1"/>
  <c r="B144" i="7" s="1"/>
  <c r="B148" i="7"/>
  <c r="B202" i="3" l="1"/>
  <c r="B191" i="3"/>
  <c r="B192" i="3" s="1"/>
  <c r="B193" i="3" s="1"/>
  <c r="B194" i="3" s="1"/>
  <c r="B195" i="3" s="1"/>
  <c r="B196" i="3" s="1"/>
  <c r="B197" i="3" s="1"/>
  <c r="B198" i="3" s="1"/>
  <c r="A217" i="8"/>
  <c r="B205" i="8"/>
  <c r="B206" i="8" s="1"/>
  <c r="B207" i="8" s="1"/>
  <c r="B208" i="8" s="1"/>
  <c r="B209" i="8" s="1"/>
  <c r="B210" i="8" s="1"/>
  <c r="B211" i="8" s="1"/>
  <c r="B212" i="8" s="1"/>
  <c r="B213" i="8" s="1"/>
  <c r="B214" i="8" s="1"/>
  <c r="C157" i="7"/>
  <c r="A166" i="7"/>
  <c r="B149" i="7"/>
  <c r="B150" i="7" s="1"/>
  <c r="B151" i="7" s="1"/>
  <c r="B152" i="7" s="1"/>
  <c r="B153" i="7" s="1"/>
  <c r="B157" i="7"/>
  <c r="B214" i="3" l="1"/>
  <c r="B203" i="3"/>
  <c r="B204" i="3" s="1"/>
  <c r="B205" i="3" s="1"/>
  <c r="B206" i="3" s="1"/>
  <c r="B207" i="3" s="1"/>
  <c r="B208" i="3" s="1"/>
  <c r="B209" i="3" s="1"/>
  <c r="B210" i="3" s="1"/>
  <c r="A229" i="8"/>
  <c r="B217" i="8"/>
  <c r="B218" i="8" s="1"/>
  <c r="B219" i="8" s="1"/>
  <c r="B220" i="8" s="1"/>
  <c r="B221" i="8" s="1"/>
  <c r="B222" i="8" s="1"/>
  <c r="B223" i="8" s="1"/>
  <c r="B224" i="8" s="1"/>
  <c r="B225" i="8" s="1"/>
  <c r="B226" i="8" s="1"/>
  <c r="C166" i="7"/>
  <c r="A175" i="7"/>
  <c r="B158" i="7"/>
  <c r="B159" i="7" s="1"/>
  <c r="B160" i="7" s="1"/>
  <c r="B161" i="7" s="1"/>
  <c r="B162" i="7" s="1"/>
  <c r="B166" i="7"/>
  <c r="B226" i="3" l="1"/>
  <c r="B215" i="3"/>
  <c r="B216" i="3" s="1"/>
  <c r="B217" i="3" s="1"/>
  <c r="B218" i="3" s="1"/>
  <c r="B219" i="3" s="1"/>
  <c r="B220" i="3" s="1"/>
  <c r="B221" i="3" s="1"/>
  <c r="B222" i="3" s="1"/>
  <c r="A241" i="8"/>
  <c r="B241" i="8" s="1"/>
  <c r="B242" i="8" s="1"/>
  <c r="B243" i="8" s="1"/>
  <c r="B244" i="8" s="1"/>
  <c r="B245" i="8" s="1"/>
  <c r="B246" i="8" s="1"/>
  <c r="B247" i="8" s="1"/>
  <c r="B248" i="8" s="1"/>
  <c r="B249" i="8" s="1"/>
  <c r="B250" i="8" s="1"/>
  <c r="B229" i="8"/>
  <c r="B230" i="8" s="1"/>
  <c r="B231" i="8" s="1"/>
  <c r="B232" i="8" s="1"/>
  <c r="B233" i="8" s="1"/>
  <c r="B234" i="8" s="1"/>
  <c r="B235" i="8" s="1"/>
  <c r="B236" i="8" s="1"/>
  <c r="B237" i="8" s="1"/>
  <c r="B238" i="8" s="1"/>
  <c r="C175" i="7"/>
  <c r="A184" i="7"/>
  <c r="C184" i="7" s="1"/>
  <c r="B167" i="7"/>
  <c r="B168" i="7" s="1"/>
  <c r="B169" i="7" s="1"/>
  <c r="B170" i="7" s="1"/>
  <c r="B171" i="7" s="1"/>
  <c r="B175" i="7"/>
  <c r="B238" i="3" l="1"/>
  <c r="B239" i="3" s="1"/>
  <c r="B240" i="3" s="1"/>
  <c r="B241" i="3" s="1"/>
  <c r="B242" i="3" s="1"/>
  <c r="B243" i="3" s="1"/>
  <c r="B244" i="3" s="1"/>
  <c r="B245" i="3" s="1"/>
  <c r="B246" i="3" s="1"/>
  <c r="B227" i="3"/>
  <c r="B228" i="3" s="1"/>
  <c r="B229" i="3" s="1"/>
  <c r="B230" i="3" s="1"/>
  <c r="B231" i="3" s="1"/>
  <c r="B232" i="3" s="1"/>
  <c r="B233" i="3" s="1"/>
  <c r="B234" i="3" s="1"/>
  <c r="B176" i="7"/>
  <c r="B177" i="7" s="1"/>
  <c r="B178" i="7" s="1"/>
  <c r="B179" i="7" s="1"/>
  <c r="B180" i="7" s="1"/>
  <c r="B184" i="7"/>
  <c r="B185" i="7" s="1"/>
  <c r="B186" i="7" s="1"/>
  <c r="B187" i="7" s="1"/>
  <c r="B188" i="7" s="1"/>
  <c r="B189"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<sst xmlns="http://schemas.openxmlformats.org/spreadsheetml/2006/main" count="2534" uniqueCount="378">
  <si>
    <t>Sens</t>
  </si>
  <si>
    <t>Tab Location</t>
  </si>
  <si>
    <t>Emails</t>
  </si>
  <si>
    <t>Teams</t>
  </si>
  <si>
    <t>Group Check</t>
  </si>
  <si>
    <t>List Name</t>
  </si>
  <si>
    <t>Settings</t>
  </si>
  <si>
    <t>Parent Label</t>
  </si>
  <si>
    <t>Please fill out Sensitivity Labels Tab</t>
  </si>
  <si>
    <t>List Selection</t>
  </si>
  <si>
    <t>Control Access
Control who can access and view labels</t>
  </si>
  <si>
    <t>Do not Forward</t>
  </si>
  <si>
    <t>Everyone</t>
  </si>
  <si>
    <t>Organizers and presenters</t>
  </si>
  <si>
    <t>Record Automatically</t>
  </si>
  <si>
    <t>Apply end-to-end encryption</t>
  </si>
  <si>
    <t>Apply watermark to shared content</t>
  </si>
  <si>
    <t>On</t>
  </si>
  <si>
    <t>Yes</t>
  </si>
  <si>
    <t>Public</t>
  </si>
  <si>
    <t>Anyone</t>
  </si>
  <si>
    <t>Allow full access from desktop apps, mobile apps, and the web</t>
  </si>
  <si>
    <t>Automatic apply highest priority label</t>
  </si>
  <si>
    <t>Common Rules</t>
  </si>
  <si>
    <t>Run the policy in simulation mode</t>
  </si>
  <si>
    <t>Automatically apply the label</t>
  </si>
  <si>
    <t>Label Group</t>
  </si>
  <si>
    <t xml:space="preserve">Apply Content Marking
</t>
  </si>
  <si>
    <t>Encrypt-Only</t>
  </si>
  <si>
    <t>People in my org, trusted orgs, and guests</t>
  </si>
  <si>
    <t>People in my org and guests</t>
  </si>
  <si>
    <t>Organizers and co-organizers</t>
  </si>
  <si>
    <t>Don't record automatically</t>
  </si>
  <si>
    <t>Don't apply end-to-end encryption</t>
  </si>
  <si>
    <t>Don't apply watermark to shared content</t>
  </si>
  <si>
    <t>Off</t>
  </si>
  <si>
    <t>No</t>
  </si>
  <si>
    <t>Private</t>
  </si>
  <si>
    <t>New and existing guests</t>
  </si>
  <si>
    <t>Allow limited, web-only access</t>
  </si>
  <si>
    <t>Recommend users apply the highest priority label</t>
  </si>
  <si>
    <t>Simulation Mode</t>
  </si>
  <si>
    <t>Advanced Rules</t>
  </si>
  <si>
    <t>Turn the policy on immediately</t>
  </si>
  <si>
    <t>Recommend that users apply the label</t>
  </si>
  <si>
    <t>Label</t>
  </si>
  <si>
    <t>Let meeting organizers select specific people</t>
  </si>
  <si>
    <t>In-Meeting Only</t>
  </si>
  <si>
    <t>None</t>
  </si>
  <si>
    <t>Existing Guests</t>
  </si>
  <si>
    <t>Block Access</t>
  </si>
  <si>
    <t>Do not inherit highest priority label from file</t>
  </si>
  <si>
    <t>Simulation Mode with turn on if not modified in 7 days</t>
  </si>
  <si>
    <t>Leave the policy turned off</t>
  </si>
  <si>
    <t>Sub Label</t>
  </si>
  <si>
    <t>People in my org</t>
  </si>
  <si>
    <t>Only Organizers and co-organizers</t>
  </si>
  <si>
    <t>Only People in your organizations</t>
  </si>
  <si>
    <t>People who were invited</t>
  </si>
  <si>
    <t>Apply watermark to everyone's video feed</t>
  </si>
  <si>
    <t>Don't apply watermark to everyone's video feed</t>
  </si>
  <si>
    <t>Color</t>
  </si>
  <si>
    <t>Black</t>
  </si>
  <si>
    <t>Gray</t>
  </si>
  <si>
    <t>Dark Gray</t>
  </si>
  <si>
    <t>Magenta</t>
  </si>
  <si>
    <t>Purple</t>
  </si>
  <si>
    <t>Blue</t>
  </si>
  <si>
    <t>Green</t>
  </si>
  <si>
    <t>Amber</t>
  </si>
  <si>
    <t>Orange</t>
  </si>
  <si>
    <t>Brown</t>
  </si>
  <si>
    <t>SubL</t>
  </si>
  <si>
    <t>LabelE</t>
  </si>
  <si>
    <t>LabelM</t>
  </si>
  <si>
    <t>LabelG</t>
  </si>
  <si>
    <t>Secure by default with Microsoft Purview</t>
  </si>
  <si>
    <t>https://learn.microsoft.com/en-us/purview/deploymentmodels/depmod-securebydefault-phase1</t>
  </si>
  <si>
    <t>Enabling "Groups &amp; Sites" functionality to Sensitivity Labels</t>
  </si>
  <si>
    <t>https://www.linkedin.com/pulse/how-enable-container-based-groups-sites-sensitivity-label-bear-pberc/</t>
  </si>
  <si>
    <t>Legend:</t>
  </si>
  <si>
    <t>Page:</t>
  </si>
  <si>
    <t>Page Description:</t>
  </si>
  <si>
    <t>Microsoft Description:</t>
  </si>
  <si>
    <t>Links:</t>
  </si>
  <si>
    <t>Sensitivity Labels</t>
  </si>
  <si>
    <r>
      <t xml:space="preserve">This the overview of your </t>
    </r>
    <r>
      <rPr>
        <b/>
        <i/>
        <sz val="11"/>
        <color theme="1"/>
        <rFont val="Aptos Narrow"/>
        <family val="2"/>
        <scheme val="minor"/>
      </rPr>
      <t>"Labels"</t>
    </r>
    <r>
      <rPr>
        <sz val="11"/>
        <color theme="1"/>
        <rFont val="Aptos Narrow"/>
        <family val="2"/>
        <scheme val="minor"/>
      </rPr>
      <t>, what are</t>
    </r>
    <r>
      <rPr>
        <b/>
        <i/>
        <sz val="11"/>
        <color theme="1"/>
        <rFont val="Aptos Narrow"/>
        <family val="2"/>
        <scheme val="minor"/>
      </rPr>
      <t xml:space="preserve"> "Parent"</t>
    </r>
    <r>
      <rPr>
        <sz val="11"/>
        <color theme="1"/>
        <rFont val="Aptos Narrow"/>
        <family val="2"/>
        <scheme val="minor"/>
      </rPr>
      <t xml:space="preserve"> labels or </t>
    </r>
    <r>
      <rPr>
        <b/>
        <i/>
        <sz val="11"/>
        <color theme="1"/>
        <rFont val="Aptos Narrow"/>
        <family val="2"/>
        <scheme val="minor"/>
      </rPr>
      <t>"Sub"</t>
    </r>
    <r>
      <rPr>
        <sz val="11"/>
        <color theme="1"/>
        <rFont val="Aptos Narrow"/>
        <family val="2"/>
        <scheme val="minor"/>
      </rPr>
      <t xml:space="preserve"> labels, </t>
    </r>
    <r>
      <rPr>
        <b/>
        <i/>
        <sz val="11"/>
        <color theme="1"/>
        <rFont val="Aptos Narrow"/>
        <family val="2"/>
        <scheme val="minor"/>
      </rPr>
      <t>"Priority"</t>
    </r>
    <r>
      <rPr>
        <sz val="11"/>
        <color theme="1"/>
        <rFont val="Aptos Narrow"/>
        <family val="2"/>
        <scheme val="minor"/>
      </rPr>
      <t xml:space="preserve">  order, and what they're </t>
    </r>
    <r>
      <rPr>
        <b/>
        <i/>
        <sz val="11"/>
        <color theme="1"/>
        <rFont val="Aptos Narrow"/>
        <family val="2"/>
        <scheme val="minor"/>
      </rPr>
      <t>"Scoped"</t>
    </r>
    <r>
      <rPr>
        <sz val="11"/>
        <color theme="1"/>
        <rFont val="Aptos Narrow"/>
        <family val="2"/>
        <scheme val="minor"/>
      </rPr>
      <t xml:space="preserve"> to. 
Since Sensitivity Labels can have different functionality based on where they're </t>
    </r>
    <r>
      <rPr>
        <b/>
        <i/>
        <sz val="11"/>
        <color theme="1"/>
        <rFont val="Aptos Narrow"/>
        <family val="2"/>
        <scheme val="minor"/>
      </rPr>
      <t>"Scoped"</t>
    </r>
    <r>
      <rPr>
        <sz val="11"/>
        <color theme="1"/>
        <rFont val="Aptos Narrow"/>
        <family val="2"/>
        <scheme val="minor"/>
      </rPr>
      <t xml:space="preserve"> to we broke each section out into the following </t>
    </r>
    <r>
      <rPr>
        <b/>
        <i/>
        <sz val="11"/>
        <color theme="1"/>
        <rFont val="Aptos Narrow"/>
        <family val="2"/>
        <scheme val="minor"/>
      </rPr>
      <t>(Blue)</t>
    </r>
    <r>
      <rPr>
        <sz val="11"/>
        <color theme="1"/>
        <rFont val="Aptos Narrow"/>
        <family val="2"/>
        <scheme val="minor"/>
      </rPr>
      <t xml:space="preserve"> pages even though we configure them in the same place for ease of understanding.
Pay close attention to the big numbers on the left of each page. Under </t>
    </r>
    <r>
      <rPr>
        <b/>
        <i/>
        <sz val="11"/>
        <color theme="1"/>
        <rFont val="Aptos Narrow"/>
        <family val="2"/>
        <scheme val="minor"/>
      </rPr>
      <t>"Scope"</t>
    </r>
    <r>
      <rPr>
        <sz val="11"/>
        <color theme="1"/>
        <rFont val="Aptos Narrow"/>
        <family val="2"/>
        <scheme val="minor"/>
      </rPr>
      <t xml:space="preserve"> here the corresponding </t>
    </r>
    <r>
      <rPr>
        <b/>
        <i/>
        <sz val="11"/>
        <color theme="1"/>
        <rFont val="Aptos Narrow"/>
        <family val="2"/>
        <scheme val="minor"/>
      </rPr>
      <t>“Scope box”</t>
    </r>
    <r>
      <rPr>
        <sz val="11"/>
        <color theme="1"/>
        <rFont val="Aptos Narrow"/>
        <family val="2"/>
        <scheme val="minor"/>
      </rPr>
      <t xml:space="preserve"> </t>
    </r>
    <r>
      <rPr>
        <b/>
        <i/>
        <sz val="11"/>
        <color rgb="FFFF0000"/>
        <rFont val="Aptos Narrow"/>
        <family val="2"/>
        <scheme val="minor"/>
      </rPr>
      <t>MUST</t>
    </r>
    <r>
      <rPr>
        <sz val="11"/>
        <color theme="1"/>
        <rFont val="Aptos Narrow"/>
        <family val="2"/>
        <scheme val="minor"/>
      </rPr>
      <t xml:space="preserve"> be selected with a </t>
    </r>
    <r>
      <rPr>
        <b/>
        <i/>
        <sz val="11"/>
        <color theme="1"/>
        <rFont val="Aptos Narrow"/>
        <family val="2"/>
        <scheme val="minor"/>
      </rPr>
      <t>“Label or Sub-Label”</t>
    </r>
    <r>
      <rPr>
        <sz val="11"/>
        <color theme="1"/>
        <rFont val="Aptos Narrow"/>
        <family val="2"/>
        <scheme val="minor"/>
      </rPr>
      <t xml:space="preserve"> selected for it to be available in the same big number in </t>
    </r>
    <r>
      <rPr>
        <b/>
        <i/>
        <sz val="11"/>
        <color theme="1"/>
        <rFont val="Aptos Narrow"/>
        <family val="2"/>
        <scheme val="minor"/>
      </rPr>
      <t>“Emails, Files, &amp; Other Data Assets, Teams meetings and chats, Groups &amp; Sites”</t>
    </r>
    <r>
      <rPr>
        <sz val="11"/>
        <color theme="1"/>
        <rFont val="Aptos Narrow"/>
        <family val="2"/>
        <scheme val="minor"/>
      </rPr>
      <t xml:space="preserve"> tabs.
The Big numbers on the left side of each page can be referenced in the </t>
    </r>
    <r>
      <rPr>
        <b/>
        <i/>
        <sz val="11"/>
        <color theme="1"/>
        <rFont val="Aptos Narrow"/>
        <family val="2"/>
        <scheme val="minor"/>
      </rPr>
      <t xml:space="preserve">"Search" </t>
    </r>
    <r>
      <rPr>
        <sz val="11"/>
        <color theme="1"/>
        <rFont val="Aptos Narrow"/>
        <family val="2"/>
        <scheme val="minor"/>
      </rPr>
      <t xml:space="preserve">tab. </t>
    </r>
  </si>
  <si>
    <t>Sensitivity labels are used to classify email messages, documents, sites, and more. When a label is applied (automatically or by the user), the content or site is protected based on the settings you choose. For example, you can create labels that encrypt files, add content marking, and control user access to specific sites.
Labels can be applied to data assets and containers (like SharePoint sites and Teams). Let us know where you want this label to be used so we can show you the related protection settings.</t>
  </si>
  <si>
    <t>Learn about sensitivity labels | Microsoft Learn</t>
  </si>
  <si>
    <t>Emails, Files, &amp; Other Data Assets</t>
  </si>
  <si>
    <t xml:space="preserve">These are Sensitivity Label's settings for Object based labeling. </t>
  </si>
  <si>
    <t>Teams meetings and chats</t>
  </si>
  <si>
    <t xml:space="preserve">These are Sensitivity Label's settings for "Teams meetings and chats" labeling. </t>
  </si>
  <si>
    <t>Groups &amp; Sites</t>
  </si>
  <si>
    <t xml:space="preserve">These are Sensitivity Label's settings for Container based labeling. </t>
  </si>
  <si>
    <t>These settings apply to teams, groups, and sites that have this label applied. They don't apply directly to the files stored in those containers.</t>
  </si>
  <si>
    <t>Use sensitivity labels with Microsoft Teams, Microsoft 365 Groups, and SharePoint sites | Microsoft Learn</t>
  </si>
  <si>
    <t>Summary</t>
  </si>
  <si>
    <t>This shows at a higher level the Sensitivity Label settings you have set for your Labels. This is meant for the use case of seeing a friendlier &amp; easier way to read your labels. If you need specifics of the setting or label, then go to that label's functionality tab and check or use the "Search" tab and bring that label up.</t>
  </si>
  <si>
    <t>Publishing</t>
  </si>
  <si>
    <r>
      <t xml:space="preserve">This shows who and what settings you are pushing out Sensitivity Labels to.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</si>
  <si>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Publish one or more labels to users' Microsoft 365 apps (like Outlook and Word), SharePoint sites, and Microsoft 365 groups. Once published, users can apply the labels to protect their content.</t>
  </si>
  <si>
    <t>Service-side Auto-Labeling</t>
  </si>
  <si>
    <r>
      <t xml:space="preserve">This shows what service </t>
    </r>
    <r>
      <rPr>
        <b/>
        <i/>
        <sz val="11"/>
        <color theme="1"/>
        <rFont val="Aptos Narrow"/>
        <family val="2"/>
        <scheme val="minor"/>
      </rPr>
      <t>(Exchange Online, SharePoint Online, OneDrive)</t>
    </r>
    <r>
      <rPr>
        <sz val="11"/>
        <color theme="1"/>
        <rFont val="Aptos Narrow"/>
        <family val="2"/>
        <scheme val="minor"/>
      </rPr>
      <t xml:space="preserve"> locations and conditions you are using to target </t>
    </r>
    <r>
      <rPr>
        <b/>
        <i/>
        <sz val="11"/>
        <color theme="1"/>
        <rFont val="Aptos Narrow"/>
        <family val="2"/>
        <scheme val="minor"/>
      </rPr>
      <t>"Cold Data"</t>
    </r>
    <r>
      <rPr>
        <sz val="11"/>
        <color theme="1"/>
        <rFont val="Aptos Narrow"/>
        <family val="2"/>
        <scheme val="minor"/>
      </rPr>
      <t xml:space="preserve"> to auto-label with a Sensitivity Label.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</si>
  <si>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Automatically apply sensitivity labels to sensitive emails, files, and other data assets. In addition to these policies, you can automatically apply labels to Office client apps by editing the "Auto-labeling" settings for a specific label.</t>
  </si>
  <si>
    <t>Automatically apply a sensitivity label to Microsoft 365 data | Microsoft Learn</t>
  </si>
  <si>
    <t>Data Loss Prevention</t>
  </si>
  <si>
    <r>
      <t xml:space="preserve">This is to show what Data Loss Prevention (DLP) policies you're using the Sensitivity Label with. 
The Big numbers on the left side of each page can be referenced in the </t>
    </r>
    <r>
      <rPr>
        <b/>
        <i/>
        <sz val="11"/>
        <color theme="1"/>
        <rFont val="Aptos Narrow"/>
        <family val="2"/>
        <scheme val="minor"/>
      </rPr>
      <t>"Search"</t>
    </r>
    <r>
      <rPr>
        <sz val="11"/>
        <color theme="1"/>
        <rFont val="Aptos Narrow"/>
        <family val="2"/>
        <scheme val="minor"/>
      </rPr>
      <t xml:space="preserve"> tab.</t>
    </r>
  </si>
  <si>
    <t>Use data loss prevention (DLP) policies to help identify and protect your organization's sensitive info. For example you can set up policies to help make sure information in email and docs isn't shared with the wrong people.</t>
  </si>
  <si>
    <t>Learn about data loss prevention | Microsoft Learn</t>
  </si>
  <si>
    <t>Search</t>
  </si>
  <si>
    <t>This is for you to be able to search the Label, Publishing, Service-side Auto-Labeling, and or Data Loss Prevention (DLP) policy you're looking for. You would use the boxes at the top with numbers which are drop downs to select the numbered Label and or Policies you wish to review the configurations of.</t>
  </si>
  <si>
    <t>Label/Parent Label/Label Group/Sub-Label:</t>
  </si>
  <si>
    <t>Name:</t>
  </si>
  <si>
    <t>Display Name:</t>
  </si>
  <si>
    <t>Scope:</t>
  </si>
  <si>
    <t>Description for users:</t>
  </si>
  <si>
    <t>Description for admins:</t>
  </si>
  <si>
    <t>Label Color:</t>
  </si>
  <si>
    <t>Explanation</t>
  </si>
  <si>
    <r>
      <t xml:space="preserve">You will Select if the label is going to be a "Label/Parent Label/Label Group/Sub-Label". </t>
    </r>
    <r>
      <rPr>
        <i/>
        <sz val="12"/>
        <color rgb="FF0070C0"/>
        <rFont val="Aptos Narrow"/>
        <family val="2"/>
        <scheme val="minor"/>
      </rPr>
      <t>("Parent Label" will be depreciated and replaced with "Label Groups" when "modern label scheme" rolls out.)</t>
    </r>
  </si>
  <si>
    <t>This is the name of the label your admins will see in the compliance portal when configuring or managing labels.
(You cannot change or reuse this name, even if you delete the label.)</t>
  </si>
  <si>
    <t>This is the name of the label your users will see in the apps where it's published (like Word, Outlook, and SharePoint). 
Be sure to come with a name that helps them understand what it's used for (for example, 'Confidential' or 'Personal').</t>
  </si>
  <si>
    <t>What are the Scopes for this label. What capabilities will the label have and settings in those areas. The areas that you select here you need to go to the appropriate tabs on the bottom and add the settings for that label there. The tabs are the same color (Blue) because they are meant to be directly used together.</t>
  </si>
  <si>
    <t>When this label is applied to content, this tooltip will appear to users when they view the label in their apps (like Word, Outlook, and Teams)</t>
  </si>
  <si>
    <t>This description will appear only to admins who manage this label in the Purview portal.</t>
  </si>
  <si>
    <t>The color selected below is currently applied to the parent label. As a result, all sublabels of the parent label will inherit the same color. If you want to use a different color, edit the parent label.</t>
  </si>
  <si>
    <t>Links</t>
  </si>
  <si>
    <t>Get started with sensitivity labels</t>
  </si>
  <si>
    <t>Label scopes</t>
  </si>
  <si>
    <t>Label colors</t>
  </si>
  <si>
    <t>Learn about sensitivity labels</t>
  </si>
  <si>
    <t>Migrate parent sensitivity labels to label groups</t>
  </si>
  <si>
    <t>Label priority (order matters)</t>
  </si>
  <si>
    <t>Select from Drop down</t>
  </si>
  <si>
    <t>Enter Text</t>
  </si>
  <si>
    <t>Select check box as needed</t>
  </si>
  <si>
    <t>Choose from Drop Down</t>
  </si>
  <si>
    <t>Files &amp; Other Data assets</t>
  </si>
  <si>
    <t>Label files and data assets in Microsoft 365, Microsoft Fabric (Including Power BI), Microsoft Azure</t>
  </si>
  <si>
    <t>Label Messages send from all versions of Outlook</t>
  </si>
  <si>
    <t>Meetings</t>
  </si>
  <si>
    <t>Label Calendar events and meetings schedules in Outlook and Teams</t>
  </si>
  <si>
    <t>Configure privacy, access control, and other project team labeled Teams, Microsoft 365 Groups , SharePoint sites, and Loop</t>
  </si>
  <si>
    <t>Access Control</t>
  </si>
  <si>
    <t>Label/Sub-Label Name:</t>
  </si>
  <si>
    <t>Choose protection settings for the types of items you selected:</t>
  </si>
  <si>
    <t>Remove or Configure:</t>
  </si>
  <si>
    <t>Assign:</t>
  </si>
  <si>
    <t>User access to content expires:</t>
  </si>
  <si>
    <t>Allow offline access:</t>
  </si>
  <si>
    <t>Assign Permissions Now:</t>
  </si>
  <si>
    <t>Let users assign permissions when they apply the label:</t>
  </si>
  <si>
    <t>Content Marking:</t>
  </si>
  <si>
    <t>Auto-labeling for files and emails: "Client-side Auto-Labeling"</t>
  </si>
  <si>
    <t>Select the label/Sub-Label that these settings will be used for.</t>
  </si>
  <si>
    <t>Select the capabilities do you want this label to apply to "Emails, Files, &amp; Other Data Assets".
The protection settings you configure will be enforced when the label is applied to items in Microsoft 365.</t>
  </si>
  <si>
    <t>When you select Configure access control settings on the Access control page to create or edit a sensitivity label, choose one of the following options:</t>
  </si>
  <si>
    <t>Use encryption capabilities to control who can access labeled items. Depending on the scope you specified, items can include emails, Office, Fabric and Power BI files, and meeting invites.
If the user applying the label has the correct usage rights or role, any existing access control settings will be removed from the item.</t>
  </si>
  <si>
    <t xml:space="preserve">
If you want to limit how long users can access content with this label, specify a date or number of days at which access should expire. More info:
After this time, users won't be able to open files with this label applied. However, for emails, expiration isn't always enforced due to caching mechanisms used by some email clients.
If you specify a date, it's effective midnight, in your current time zone.
If you specify a number of days, the time starts when the label is applied to the content.</t>
  </si>
  <si>
    <t>If you specify that labeled content is never available offline or that it's available offline only for a number of days, when that threshold is reached, users must be reauthenticated and their access is logged. When this happens, if their credentials aren't cached, users are prompted to sign into Microsoft 365 before they can open the document or email.</t>
  </si>
  <si>
    <t>Only the users or groups you choose will be assigned permissions to use the content that has this label applied. You can choose from existing permissions (such as Co-Owner, Co-Author, and Reviewer) or customize them to meet your needs.</t>
  </si>
  <si>
    <t>Often referred to as "user-defined permissions", you can use the following options to let users assign permissions when they manually apply a sensitivity label to content</t>
  </si>
  <si>
    <r>
      <t xml:space="preserve">Add custom headers, footers, and watermarks to content that has this label applied.
</t>
    </r>
    <r>
      <rPr>
        <sz val="12"/>
        <color rgb="FF0070C0"/>
        <rFont val="Aptos Narrow"/>
        <family val="2"/>
        <scheme val="minor"/>
      </rPr>
      <t>(All content marking will be applied to documents but only the header and footer will be applied to email messages. If you chose to configure meeting settings for this label, the header and footer will also be applied to meeting invites.)</t>
    </r>
  </si>
  <si>
    <r>
      <t xml:space="preserve">When users edit Office files or compose, reply to, or forward emails from Outlook that contain content matching the conditions you choose here, we'll automatically apply this label or recommend that they apply it themselves.
Automatic and recommended labeling works differently for items in Office 365 vs. files stored on Windows devices.
</t>
    </r>
    <r>
      <rPr>
        <sz val="12"/>
        <color rgb="FF0070C0"/>
        <rFont val="Aptos Narrow"/>
        <family val="2"/>
        <scheme val="minor"/>
      </rPr>
      <t>(To automatically apply this label to files that are already saved (in SharePoint and OneDrive) or emails that are already processed by Exchange, you must create an auto-labeling policy.)</t>
    </r>
  </si>
  <si>
    <t>Create and configure sensitivity labels</t>
  </si>
  <si>
    <t>Configure encryption settings</t>
  </si>
  <si>
    <t>Restrict access to content by using sensitivity labels to apply encryption</t>
  </si>
  <si>
    <t>Assign permissions now</t>
  </si>
  <si>
    <t>Usage rights and descriptions</t>
  </si>
  <si>
    <t>Let users assign permissions</t>
  </si>
  <si>
    <t>What sensitivity labels can do</t>
  </si>
  <si>
    <t>Automatically apply a sensitivity label to Microsoft 365 data</t>
  </si>
  <si>
    <t>How to configure a label for encryption</t>
  </si>
  <si>
    <t>What happens to existing encryption when a label's applied</t>
  </si>
  <si>
    <t>Rights Management use license for offline access</t>
  </si>
  <si>
    <t>Service-Side Auto Labeling (Which is used on the Yellow tab of the same name.)</t>
  </si>
  <si>
    <t>https://learn.microsoft.com/en-us/purview/apply-sensitivity-label-automatically#how-automatic-or-recommended-labels-are-applied</t>
  </si>
  <si>
    <t>Select a check box</t>
  </si>
  <si>
    <t>Assign Permissions to specific user and groups</t>
  </si>
  <si>
    <t>In outlook, enforce one of the following restrictions</t>
  </si>
  <si>
    <t>Enter Text (Detect content that matches these conditions)</t>
  </si>
  <si>
    <r>
      <rPr>
        <b/>
        <sz val="12"/>
        <color theme="1"/>
        <rFont val="Aptos Narrow"/>
        <family val="2"/>
        <scheme val="minor"/>
      </rPr>
      <t>Control Access</t>
    </r>
    <r>
      <rPr>
        <sz val="11"/>
        <color theme="1"/>
        <rFont val="Aptos Narrow"/>
        <family val="2"/>
        <scheme val="minor"/>
      </rPr>
      <t xml:space="preserve">
  Control who can access and view labeled items.</t>
    </r>
  </si>
  <si>
    <t>Remove access control settings if already applied to items</t>
  </si>
  <si>
    <t>Assign Permissions now</t>
  </si>
  <si>
    <t>Never</t>
  </si>
  <si>
    <t>Always</t>
  </si>
  <si>
    <t>Add a watermark</t>
  </si>
  <si>
    <t>Auto-labeling for files and emails</t>
  </si>
  <si>
    <r>
      <rPr>
        <b/>
        <sz val="12"/>
        <color theme="1"/>
        <rFont val="Aptos Narrow"/>
        <family val="2"/>
        <scheme val="minor"/>
      </rPr>
      <t>Apply Content marking</t>
    </r>
    <r>
      <rPr>
        <sz val="11"/>
        <color theme="1"/>
        <rFont val="Aptos Narrow"/>
        <family val="2"/>
        <scheme val="minor"/>
      </rPr>
      <t xml:space="preserve">
   Add custom headers, footers, and watermarks to labeled items.
</t>
    </r>
  </si>
  <si>
    <t>Let users assign permissions when they apply the label</t>
  </si>
  <si>
    <t>On a specific Date</t>
  </si>
  <si>
    <t xml:space="preserve">Use dynamic watermarking </t>
  </si>
  <si>
    <t>In Word, PowerPoint, and Excel, prompt users to specify Permissions</t>
  </si>
  <si>
    <t>Add a header</t>
  </si>
  <si>
    <t>Enter Text (Display this message to users when the label is applied)</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</si>
  <si>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</si>
  <si>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Configure access control setting</t>
  </si>
  <si>
    <t># of days after label is applied</t>
  </si>
  <si>
    <t>Add a footer</t>
  </si>
  <si>
    <t>Use dynamic watermarking</t>
  </si>
  <si>
    <t xml:space="preserve">Use Double Key Encryption </t>
  </si>
  <si>
    <t>Use Double Key Encryption</t>
  </si>
  <si>
    <t>Select check box as needed check box as needed</t>
  </si>
  <si>
    <r>
      <rPr>
        <b/>
        <sz val="12"/>
        <color theme="1"/>
        <rFont val="Aptos Narrow"/>
        <family val="2"/>
        <scheme val="minor"/>
      </rPr>
      <t>Protect Team meetings and chats</t>
    </r>
    <r>
      <rPr>
        <sz val="11"/>
        <color theme="1"/>
        <rFont val="Aptos Narrow"/>
        <family val="2"/>
        <scheme val="minor"/>
      </rPr>
      <t xml:space="preserve">
  Configure protection settings for Teams meetings and chats.
  (Configure under the Teams Tab)</t>
    </r>
  </si>
  <si>
    <t>Control who can Bypass the Lobby:</t>
  </si>
  <si>
    <t>Control Who Can Present:</t>
  </si>
  <si>
    <t>Control who can Record and Transcribe:</t>
  </si>
  <si>
    <t>Control Whether Meetings are Recorded Automatically:</t>
  </si>
  <si>
    <t>Control End-to-end Encryption for Meeting Video and Audio:</t>
  </si>
  <si>
    <t>Control Watermarks:</t>
  </si>
  <si>
    <t>Detect sensitive content during screen sharing:</t>
  </si>
  <si>
    <t>Control Meeting Chat:</t>
  </si>
  <si>
    <t>Prevent Copying and Forwarding of Meeting Content:</t>
  </si>
  <si>
    <t>Groups you specify here will be able to join meetings without having to wait for someone to admit them. All others will have to wait in the lobby until they're admitted or denied. Depending on the meeting policy set up by your IT admin, people joining without a Teams account, people from untrusted organizations, and people dialing in may be placed in the lobby until someone from your org or a trusted org joins the meeting, even if the 'Everyone' option is selected.</t>
  </si>
  <si>
    <t>If selected, you won't be able to record meetings automatically, apply end-to-end encryption, or apply watermarks.</t>
  </si>
  <si>
    <t>If selected, you won't be able to control who can record and transcribe, apply end-to-end encryption, or apply watermarks.</t>
  </si>
  <si>
    <r>
      <rPr>
        <sz val="12"/>
        <rFont val="Aptos Narrow"/>
        <family val="2"/>
        <scheme val="minor"/>
      </rPr>
      <t>End-to-end encryption in Teams is controlled by enhanced encryption policies, which are created in the Teams admin center. When a meeting is encrypted end-to-end, the policies might prevent some participants from joining. Not all features will be available, including recording, transcription, and live captions.</t>
    </r>
    <r>
      <rPr>
        <sz val="12"/>
        <color rgb="FF0070C0"/>
        <rFont val="Aptos Narrow"/>
        <family val="2"/>
        <scheme val="minor"/>
      </rPr>
      <t xml:space="preserve">
If selected, you won't be able to record meetings automatically or control who can record and transcribe.</t>
    </r>
  </si>
  <si>
    <r>
      <rPr>
        <sz val="12"/>
        <rFont val="Aptos Narrow"/>
        <family val="2"/>
        <scheme val="minor"/>
      </rPr>
      <t>Watermarks aren't available for all scenarios, including recording, PowerPoint Live, and Whiteboard. Users joining from unsupported platforms can't see video or shared content.</t>
    </r>
    <r>
      <rPr>
        <sz val="12"/>
        <color rgb="FF0070C0"/>
        <rFont val="Aptos Narrow"/>
        <family val="2"/>
        <scheme val="minor"/>
      </rPr>
      <t xml:space="preserve">
If selected, you won't be able to control who can record and transcribe or record meetings automatically.</t>
    </r>
  </si>
  <si>
    <t>If selected, you won't be able to apply end-to-end encryption.</t>
  </si>
  <si>
    <t>Meeting participants won't be able to copy or forward meeting chat messages, links, live captions, transcripts, or AI-generated content. However, there might be exceptions, like using screen capture or developer tools.</t>
  </si>
  <si>
    <t>Use sensitivity labels to protect calendar items, Teams meetings, and chat</t>
  </si>
  <si>
    <t>IT Admins - Manage lobby options in Microsoft Teams</t>
  </si>
  <si>
    <t>Prevent copying and forwarding for chats and meeting content</t>
  </si>
  <si>
    <t xml:space="preserve">People dialing in can bypass the lobby </t>
  </si>
  <si>
    <t>Define protection settings for groups and sites:</t>
  </si>
  <si>
    <t>Define privacy and external user access settings:</t>
  </si>
  <si>
    <t>External sharing and Conditional Access:</t>
  </si>
  <si>
    <t>External sharing:</t>
  </si>
  <si>
    <t>Conditional Access:</t>
  </si>
  <si>
    <t>Private teams discoverability and shared channel controls:</t>
  </si>
  <si>
    <t>Control the level of access that internal and external users will have to labeled teams and Microsoft 365 Groups.
These options apply to all Microsoft 365 Groups and teams that have this label applied. When applied, these settings will replace any existing privacy settings for the team or group. If the label is removed, users can change it again.</t>
  </si>
  <si>
    <t>Control who can share SharePoint content with people outside your organization and decide whether users can access labeled sites from unmanaged devices.​</t>
  </si>
  <si>
    <t>When this label is applied to a SharePoint site, these settings will replace existing external sharing settings configured for the site.</t>
  </si>
  <si>
    <t>You can either control the level of access users have from unmanaged devices or select an existing authentication context to enforce restrictions.</t>
  </si>
  <si>
    <t>Decide whether labeled private teams will be discoverable in searches, and control how channels can be shared with other teams.</t>
  </si>
  <si>
    <t>Use sensitivity labels to protect content in Microsoft Teams, Microsoft 365 groups, and SharePoint sites</t>
  </si>
  <si>
    <t>Private teams discoverability and shared channel controls</t>
  </si>
  <si>
    <t>Privacy and external user access</t>
  </si>
  <si>
    <t>Content can be shared with</t>
  </si>
  <si>
    <t>Content can be shared with:</t>
  </si>
  <si>
    <t>Use Microsoft Entra Conditional Access to protect labeled SharePoint sites</t>
  </si>
  <si>
    <t>Private team discoverability</t>
  </si>
  <si>
    <t>External sharing and Conditional Access</t>
  </si>
  <si>
    <t>Determine whether users can access SharePoint sites from unmanaged Devices</t>
  </si>
  <si>
    <t>Allow users to discover private teams that have this label applied.</t>
  </si>
  <si>
    <t>Private teams discoverability and shared channel settings</t>
  </si>
  <si>
    <t>Let Microsoft 365 Group owners add people outside your organization to the group as guests.</t>
  </si>
  <si>
    <t>Teams shared channels</t>
  </si>
  <si>
    <t>Choose an existing authentication context.</t>
  </si>
  <si>
    <t>Internal Only</t>
  </si>
  <si>
    <t>Same label only</t>
  </si>
  <si>
    <t>Private teams only</t>
  </si>
  <si>
    <t>Emails, Files, &amp; Other Data Assets (Object Based Labeling Functionality)</t>
  </si>
  <si>
    <t>Groups &amp; Sites (Container Based Labeling)</t>
  </si>
  <si>
    <t>Teams meetings and chats settings:</t>
  </si>
  <si>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</si>
  <si>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"Display Name"</t>
    </r>
    <r>
      <rPr>
        <sz val="12"/>
        <color theme="1"/>
        <rFont val="Aptos Narrow"/>
        <family val="2"/>
        <scheme val="minor"/>
      </rPr>
      <t xml:space="preserve"> instead of </t>
    </r>
    <r>
      <rPr>
        <b/>
        <i/>
        <sz val="12"/>
        <color theme="1"/>
        <rFont val="Aptos Narrow"/>
        <family val="2"/>
        <scheme val="minor"/>
      </rPr>
      <t>"Name"</t>
    </r>
    <r>
      <rPr>
        <sz val="12"/>
        <color theme="1"/>
        <rFont val="Aptos Narrow"/>
        <family val="2"/>
        <scheme val="minor"/>
      </rPr>
      <t xml:space="preserve"> is because that is what End-Users will see and what most decision makers care about. </t>
    </r>
  </si>
  <si>
    <r>
      <t xml:space="preserve">This is pulled directly from the same section in the </t>
    </r>
    <r>
      <rPr>
        <b/>
        <i/>
        <sz val="12"/>
        <color theme="1"/>
        <rFont val="Aptos Narrow"/>
        <family val="2"/>
        <scheme val="minor"/>
      </rPr>
      <t>"Sensitivity Labels"</t>
    </r>
    <r>
      <rPr>
        <sz val="12"/>
        <color theme="1"/>
        <rFont val="Aptos Narrow"/>
        <family val="2"/>
        <scheme val="minor"/>
      </rPr>
      <t xml:space="preserve"> tab. 
The reason we decided to do </t>
    </r>
    <r>
      <rPr>
        <b/>
        <i/>
        <sz val="12"/>
        <color theme="1"/>
        <rFont val="Aptos Narrow"/>
        <family val="2"/>
        <scheme val="minor"/>
      </rPr>
      <t>"Description for users"</t>
    </r>
    <r>
      <rPr>
        <sz val="12"/>
        <color theme="1"/>
        <rFont val="Aptos Narrow"/>
        <family val="2"/>
        <scheme val="minor"/>
      </rPr>
      <t xml:space="preserve"> instead of </t>
    </r>
    <r>
      <rPr>
        <b/>
        <i/>
        <sz val="12"/>
        <color theme="1"/>
        <rFont val="Aptos Narrow"/>
        <family val="2"/>
        <scheme val="minor"/>
      </rPr>
      <t>"Description for Admins"</t>
    </r>
    <r>
      <rPr>
        <sz val="12"/>
        <color theme="1"/>
        <rFont val="Aptos Narrow"/>
        <family val="2"/>
        <scheme val="minor"/>
      </rPr>
      <t xml:space="preserve"> is because that is what End-Users will see and what most decision makers care about. </t>
    </r>
  </si>
  <si>
    <r>
      <t xml:space="preserve">This is pulled directly from the </t>
    </r>
    <r>
      <rPr>
        <b/>
        <i/>
        <sz val="12"/>
        <color theme="1"/>
        <rFont val="Aptos Narrow"/>
        <family val="2"/>
        <scheme val="minor"/>
      </rPr>
      <t>"Emails, Files, &amp; Other Data"</t>
    </r>
    <r>
      <rPr>
        <sz val="12"/>
        <color theme="1"/>
        <rFont val="Aptos Narrow"/>
        <family val="2"/>
        <scheme val="minor"/>
      </rPr>
      <t xml:space="preserve"> tab. 
</t>
    </r>
    <r>
      <rPr>
        <b/>
        <i/>
        <sz val="12"/>
        <color theme="1"/>
        <rFont val="Aptos Narrow"/>
        <family val="2"/>
        <scheme val="minor"/>
      </rPr>
      <t xml:space="preserve">Access Control: </t>
    </r>
    <r>
      <rPr>
        <sz val="12"/>
        <color theme="1"/>
        <rFont val="Aptos Narrow"/>
        <family val="2"/>
        <scheme val="minor"/>
      </rPr>
      <t xml:space="preserve">
Under </t>
    </r>
    <r>
      <rPr>
        <b/>
        <i/>
        <sz val="12"/>
        <color theme="1"/>
        <rFont val="Aptos Narrow"/>
        <family val="2"/>
        <scheme val="minor"/>
      </rPr>
      <t>"Assign"</t>
    </r>
    <r>
      <rPr>
        <sz val="12"/>
        <color theme="1"/>
        <rFont val="Aptos Narrow"/>
        <family val="2"/>
        <scheme val="minor"/>
      </rPr>
      <t xml:space="preserve"> if the </t>
    </r>
    <r>
      <rPr>
        <b/>
        <i/>
        <sz val="12"/>
        <color theme="1"/>
        <rFont val="Aptos Narrow"/>
        <family val="2"/>
        <scheme val="minor"/>
      </rPr>
      <t>"Assign Permissions now"</t>
    </r>
    <r>
      <rPr>
        <sz val="12"/>
        <color theme="1"/>
        <rFont val="Aptos Narrow"/>
        <family val="2"/>
        <scheme val="minor"/>
      </rPr>
      <t xml:space="preserve"> box or </t>
    </r>
    <r>
      <rPr>
        <b/>
        <i/>
        <sz val="12"/>
        <color theme="1"/>
        <rFont val="Aptos Narrow"/>
        <family val="2"/>
        <scheme val="minor"/>
      </rPr>
      <t xml:space="preserve">"Let users assign permissions when they apply the label" </t>
    </r>
    <r>
      <rPr>
        <sz val="12"/>
        <color theme="1"/>
        <rFont val="Aptos Narrow"/>
        <family val="2"/>
        <scheme val="minor"/>
      </rPr>
      <t xml:space="preserve">box is selected then it will be </t>
    </r>
    <r>
      <rPr>
        <b/>
        <i/>
        <sz val="12"/>
        <color theme="1"/>
        <rFont val="Aptos Narrow"/>
        <family val="2"/>
        <scheme val="minor"/>
      </rPr>
      <t>"Encrypted"</t>
    </r>
    <r>
      <rPr>
        <sz val="12"/>
        <color theme="1"/>
        <rFont val="Aptos Narrow"/>
        <family val="2"/>
        <scheme val="minor"/>
      </rPr>
      <t xml:space="preserve">. 
If </t>
    </r>
    <r>
      <rPr>
        <b/>
        <i/>
        <sz val="12"/>
        <color theme="1"/>
        <rFont val="Aptos Narrow"/>
        <family val="2"/>
        <scheme val="minor"/>
      </rPr>
      <t>"Remove access control settings if already applied to items"</t>
    </r>
    <r>
      <rPr>
        <sz val="12"/>
        <color theme="1"/>
        <rFont val="Aptos Narrow"/>
        <family val="2"/>
        <scheme val="minor"/>
      </rPr>
      <t xml:space="preserve"> box is selected under </t>
    </r>
    <r>
      <rPr>
        <b/>
        <i/>
        <sz val="12"/>
        <color theme="1"/>
        <rFont val="Aptos Narrow"/>
        <family val="2"/>
        <scheme val="minor"/>
      </rPr>
      <t>"Remove or Configure"</t>
    </r>
    <r>
      <rPr>
        <sz val="12"/>
        <color theme="1"/>
        <rFont val="Aptos Narrow"/>
        <family val="2"/>
        <scheme val="minor"/>
      </rPr>
      <t xml:space="preserve"> then it will be </t>
    </r>
    <r>
      <rPr>
        <b/>
        <i/>
        <sz val="12"/>
        <color theme="1"/>
        <rFont val="Aptos Narrow"/>
        <family val="2"/>
        <scheme val="minor"/>
      </rPr>
      <t>"Remove Encryption"</t>
    </r>
    <r>
      <rPr>
        <sz val="12"/>
        <color theme="1"/>
        <rFont val="Aptos Narrow"/>
        <family val="2"/>
        <scheme val="minor"/>
      </rPr>
      <t xml:space="preserve">. 
If neither is selected, then it will be </t>
    </r>
    <r>
      <rPr>
        <b/>
        <i/>
        <sz val="12"/>
        <color theme="1"/>
        <rFont val="Aptos Narrow"/>
        <family val="2"/>
        <scheme val="minor"/>
      </rPr>
      <t>"No Encryption"</t>
    </r>
    <r>
      <rPr>
        <sz val="12"/>
        <color theme="1"/>
        <rFont val="Aptos Narrow"/>
        <family val="2"/>
        <scheme val="minor"/>
      </rPr>
      <t xml:space="preserve">.
</t>
    </r>
    <r>
      <rPr>
        <b/>
        <i/>
        <sz val="12"/>
        <color theme="1"/>
        <rFont val="Aptos Narrow"/>
        <family val="2"/>
        <scheme val="minor"/>
      </rPr>
      <t>Content Marking:</t>
    </r>
    <r>
      <rPr>
        <sz val="12"/>
        <color theme="1"/>
        <rFont val="Aptos Narrow"/>
        <family val="2"/>
        <scheme val="minor"/>
      </rPr>
      <t xml:space="preserve">
Under </t>
    </r>
    <r>
      <rPr>
        <b/>
        <i/>
        <sz val="12"/>
        <color theme="1"/>
        <rFont val="Aptos Narrow"/>
        <family val="2"/>
        <scheme val="minor"/>
      </rPr>
      <t>“Content Marking”</t>
    </r>
    <r>
      <rPr>
        <sz val="12"/>
        <color theme="1"/>
        <rFont val="Aptos Narrow"/>
        <family val="2"/>
        <scheme val="minor"/>
      </rPr>
      <t xml:space="preserve"> if </t>
    </r>
    <r>
      <rPr>
        <b/>
        <i/>
        <sz val="12"/>
        <color theme="1"/>
        <rFont val="Aptos Narrow"/>
        <family val="2"/>
        <scheme val="minor"/>
      </rPr>
      <t>“Add a watermark”</t>
    </r>
    <r>
      <rPr>
        <sz val="12"/>
        <color theme="1"/>
        <rFont val="Aptos Narrow"/>
        <family val="2"/>
        <scheme val="minor"/>
      </rPr>
      <t xml:space="preserve">, </t>
    </r>
    <r>
      <rPr>
        <b/>
        <i/>
        <sz val="12"/>
        <color theme="1"/>
        <rFont val="Aptos Narrow"/>
        <family val="2"/>
        <scheme val="minor"/>
      </rPr>
      <t>“Add a header”</t>
    </r>
    <r>
      <rPr>
        <sz val="12"/>
        <color theme="1"/>
        <rFont val="Aptos Narrow"/>
        <family val="2"/>
        <scheme val="minor"/>
      </rPr>
      <t xml:space="preserve">, and or </t>
    </r>
    <r>
      <rPr>
        <b/>
        <i/>
        <sz val="12"/>
        <color theme="1"/>
        <rFont val="Aptos Narrow"/>
        <family val="2"/>
        <scheme val="minor"/>
      </rPr>
      <t xml:space="preserve">“Add a footer” </t>
    </r>
    <r>
      <rPr>
        <sz val="12"/>
        <color theme="1"/>
        <rFont val="Aptos Narrow"/>
        <family val="2"/>
        <scheme val="minor"/>
      </rPr>
      <t xml:space="preserve">boxes are selected then the answer will be </t>
    </r>
    <r>
      <rPr>
        <b/>
        <i/>
        <sz val="12"/>
        <color theme="1"/>
        <rFont val="Aptos Narrow"/>
        <family val="2"/>
        <scheme val="minor"/>
      </rPr>
      <t>“Yes”</t>
    </r>
    <r>
      <rPr>
        <sz val="12"/>
        <color theme="1"/>
        <rFont val="Aptos Narrow"/>
        <family val="2"/>
        <scheme val="minor"/>
      </rPr>
      <t xml:space="preserve">.
</t>
    </r>
    <r>
      <rPr>
        <b/>
        <i/>
        <sz val="12"/>
        <color theme="1"/>
        <rFont val="Aptos Narrow"/>
        <family val="2"/>
        <scheme val="minor"/>
      </rPr>
      <t>Auto-labeling for files and emails: "Client-side Auto-Labeling":</t>
    </r>
    <r>
      <rPr>
        <sz val="12"/>
        <color theme="1"/>
        <rFont val="Aptos Narrow"/>
        <family val="2"/>
        <scheme val="minor"/>
      </rPr>
      <t xml:space="preserve">
Under the section of the </t>
    </r>
    <r>
      <rPr>
        <b/>
        <i/>
        <sz val="12"/>
        <color theme="1"/>
        <rFont val="Aptos Narrow"/>
        <family val="2"/>
        <scheme val="minor"/>
      </rPr>
      <t>“same name”</t>
    </r>
    <r>
      <rPr>
        <sz val="12"/>
        <color theme="1"/>
        <rFont val="Aptos Narrow"/>
        <family val="2"/>
        <scheme val="minor"/>
      </rPr>
      <t xml:space="preserve"> if </t>
    </r>
    <r>
      <rPr>
        <b/>
        <i/>
        <sz val="12"/>
        <color theme="1"/>
        <rFont val="Aptos Narrow"/>
        <family val="2"/>
        <scheme val="minor"/>
      </rPr>
      <t>“Auto-labeling for files and emails”</t>
    </r>
    <r>
      <rPr>
        <sz val="12"/>
        <color theme="1"/>
        <rFont val="Aptos Narrow"/>
        <family val="2"/>
        <scheme val="minor"/>
      </rPr>
      <t xml:space="preserve"> box is selected then the answer will be </t>
    </r>
    <r>
      <rPr>
        <b/>
        <i/>
        <sz val="12"/>
        <color theme="1"/>
        <rFont val="Aptos Narrow"/>
        <family val="2"/>
        <scheme val="minor"/>
      </rPr>
      <t>“Yes”</t>
    </r>
    <r>
      <rPr>
        <sz val="12"/>
        <color theme="1"/>
        <rFont val="Aptos Narrow"/>
        <family val="2"/>
        <scheme val="minor"/>
      </rPr>
      <t xml:space="preserve">. </t>
    </r>
  </si>
  <si>
    <r>
      <t xml:space="preserve">This is pulled directly from the </t>
    </r>
    <r>
      <rPr>
        <b/>
        <i/>
        <sz val="12"/>
        <color theme="1"/>
        <rFont val="Aptos Narrow"/>
        <family val="2"/>
        <scheme val="minor"/>
      </rPr>
      <t>"Scope"</t>
    </r>
    <r>
      <rPr>
        <sz val="12"/>
        <color theme="1"/>
        <rFont val="Aptos Narrow"/>
        <family val="2"/>
        <scheme val="minor"/>
      </rPr>
      <t xml:space="preserve"> section in the </t>
    </r>
    <r>
      <rPr>
        <b/>
        <i/>
        <sz val="12"/>
        <color theme="1"/>
        <rFont val="Aptos Narrow"/>
        <family val="2"/>
        <scheme val="minor"/>
      </rPr>
      <t>"Sensitivity Labels"</t>
    </r>
    <r>
      <rPr>
        <sz val="12"/>
        <color theme="1"/>
        <rFont val="Aptos Narrow"/>
        <family val="2"/>
        <scheme val="minor"/>
      </rPr>
      <t xml:space="preserve"> tab. 
If you selected the </t>
    </r>
    <r>
      <rPr>
        <b/>
        <i/>
        <sz val="12"/>
        <color theme="1"/>
        <rFont val="Aptos Narrow"/>
        <family val="2"/>
        <scheme val="minor"/>
      </rPr>
      <t>"Meetings"</t>
    </r>
    <r>
      <rPr>
        <sz val="12"/>
        <color theme="1"/>
        <rFont val="Aptos Narrow"/>
        <family val="2"/>
        <scheme val="minor"/>
      </rPr>
      <t xml:space="preserve"> box under </t>
    </r>
    <r>
      <rPr>
        <b/>
        <i/>
        <sz val="12"/>
        <color theme="1"/>
        <rFont val="Aptos Narrow"/>
        <family val="2"/>
        <scheme val="minor"/>
      </rPr>
      <t>"Scope"</t>
    </r>
    <r>
      <rPr>
        <sz val="12"/>
        <color theme="1"/>
        <rFont val="Aptos Narrow"/>
        <family val="2"/>
        <scheme val="minor"/>
      </rPr>
      <t xml:space="preserve"> in the </t>
    </r>
    <r>
      <rPr>
        <b/>
        <i/>
        <sz val="12"/>
        <color theme="1"/>
        <rFont val="Aptos Narrow"/>
        <family val="2"/>
        <scheme val="minor"/>
      </rPr>
      <t>"Sensitivity Labels"</t>
    </r>
    <r>
      <rPr>
        <sz val="12"/>
        <color theme="1"/>
        <rFont val="Aptos Narrow"/>
        <family val="2"/>
        <scheme val="minor"/>
      </rPr>
      <t xml:space="preserve"> tab then this is will </t>
    </r>
    <r>
      <rPr>
        <b/>
        <i/>
        <sz val="12"/>
        <color theme="1"/>
        <rFont val="Aptos Narrow"/>
        <family val="2"/>
        <scheme val="minor"/>
      </rPr>
      <t>"Yes"</t>
    </r>
    <r>
      <rPr>
        <sz val="12"/>
        <color theme="1"/>
        <rFont val="Aptos Narrow"/>
        <family val="2"/>
        <scheme val="minor"/>
      </rPr>
      <t xml:space="preserve"> in not, then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</si>
  <si>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"Define privacy and external user access settings"</t>
    </r>
    <r>
      <rPr>
        <sz val="12"/>
        <color theme="1"/>
        <rFont val="Aptos Narrow"/>
        <family val="2"/>
        <scheme val="minor"/>
      </rPr>
      <t xml:space="preserve"> section in the "Groups &amp; Sites" tab. 
</t>
    </r>
    <r>
      <rPr>
        <b/>
        <i/>
        <sz val="12"/>
        <color theme="1"/>
        <rFont val="Aptos Narrow"/>
        <family val="2"/>
        <scheme val="minor"/>
      </rPr>
      <t>Privacy and external user access:</t>
    </r>
    <r>
      <rPr>
        <sz val="12"/>
        <color theme="1"/>
        <rFont val="Aptos Narrow"/>
        <family val="2"/>
        <scheme val="minor"/>
      </rPr>
      <t xml:space="preserve">
If you select </t>
    </r>
    <r>
      <rPr>
        <b/>
        <i/>
        <sz val="12"/>
        <color theme="1"/>
        <rFont val="Aptos Narrow"/>
        <family val="2"/>
        <scheme val="minor"/>
      </rPr>
      <t>"Public"</t>
    </r>
    <r>
      <rPr>
        <sz val="12"/>
        <color theme="1"/>
        <rFont val="Aptos Narrow"/>
        <family val="2"/>
        <scheme val="minor"/>
      </rPr>
      <t xml:space="preserve"> or </t>
    </r>
    <r>
      <rPr>
        <b/>
        <i/>
        <sz val="12"/>
        <color theme="1"/>
        <rFont val="Aptos Narrow"/>
        <family val="2"/>
        <scheme val="minor"/>
      </rPr>
      <t>"Private"</t>
    </r>
    <r>
      <rPr>
        <sz val="12"/>
        <color theme="1"/>
        <rFont val="Aptos Narrow"/>
        <family val="2"/>
        <scheme val="minor"/>
      </rPr>
      <t xml:space="preserve"> it will be </t>
    </r>
    <r>
      <rPr>
        <b/>
        <i/>
        <sz val="12"/>
        <color theme="1"/>
        <rFont val="Aptos Narrow"/>
        <family val="2"/>
        <scheme val="minor"/>
      </rPr>
      <t>"Yes"</t>
    </r>
    <r>
      <rPr>
        <sz val="12"/>
        <color theme="1"/>
        <rFont val="Aptos Narrow"/>
        <family val="2"/>
        <scheme val="minor"/>
      </rPr>
      <t xml:space="preserve">
If you Select </t>
    </r>
    <r>
      <rPr>
        <b/>
        <i/>
        <sz val="12"/>
        <color theme="1"/>
        <rFont val="Aptos Narrow"/>
        <family val="2"/>
        <scheme val="minor"/>
      </rPr>
      <t>"None"</t>
    </r>
    <r>
      <rPr>
        <sz val="12"/>
        <color theme="1"/>
        <rFont val="Aptos Narrow"/>
        <family val="2"/>
        <scheme val="minor"/>
      </rPr>
      <t xml:space="preserve"> or leave </t>
    </r>
    <r>
      <rPr>
        <b/>
        <i/>
        <sz val="12"/>
        <color theme="1"/>
        <rFont val="Aptos Narrow"/>
        <family val="2"/>
        <scheme val="minor"/>
      </rPr>
      <t>"Blank"</t>
    </r>
    <r>
      <rPr>
        <sz val="12"/>
        <color theme="1"/>
        <rFont val="Aptos Narrow"/>
        <family val="2"/>
        <scheme val="minor"/>
      </rPr>
      <t xml:space="preserv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Let Microsoft 365 Group owners add people outside your organization to the group as guests: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</si>
  <si>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This is pulled directly from the</t>
    </r>
    <r>
      <rPr>
        <b/>
        <i/>
        <sz val="12"/>
        <color theme="1"/>
        <rFont val="Aptos Narrow"/>
        <family val="2"/>
        <scheme val="minor"/>
      </rPr>
      <t xml:space="preserve"> "External sharing and Conditional Access"</t>
    </r>
    <r>
      <rPr>
        <sz val="12"/>
        <color theme="1"/>
        <rFont val="Aptos Narrow"/>
        <family val="2"/>
        <scheme val="minor"/>
      </rPr>
      <t xml:space="preserve"> section in the</t>
    </r>
    <r>
      <rPr>
        <b/>
        <i/>
        <sz val="12"/>
        <color theme="1"/>
        <rFont val="Aptos Narrow"/>
        <family val="2"/>
        <scheme val="minor"/>
      </rPr>
      <t xml:space="preserve"> "Groups &amp; Sites"</t>
    </r>
    <r>
      <rPr>
        <sz val="12"/>
        <color theme="1"/>
        <rFont val="Aptos Narrow"/>
        <family val="2"/>
        <scheme val="minor"/>
      </rPr>
      <t xml:space="preserve"> tab. 
</t>
    </r>
    <r>
      <rPr>
        <b/>
        <i/>
        <sz val="12"/>
        <color theme="1"/>
        <rFont val="Aptos Narrow"/>
        <family val="2"/>
        <scheme val="minor"/>
      </rPr>
      <t>Content can be shared with:</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Use Microsoft Entra Conditional Access to protect labeled SharePoint sites:</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</si>
  <si>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r>
      <t xml:space="preserve">This is pulled directly from the </t>
    </r>
    <r>
      <rPr>
        <b/>
        <i/>
        <sz val="12"/>
        <color theme="1"/>
        <rFont val="Aptos Narrow"/>
        <family val="2"/>
        <scheme val="minor"/>
      </rPr>
      <t>"Private teams discoverability and shared channel controls"</t>
    </r>
    <r>
      <rPr>
        <sz val="12"/>
        <color theme="1"/>
        <rFont val="Aptos Narrow"/>
        <family val="2"/>
        <scheme val="minor"/>
      </rPr>
      <t xml:space="preserve"> section in the </t>
    </r>
    <r>
      <rPr>
        <b/>
        <i/>
        <sz val="12"/>
        <color theme="1"/>
        <rFont val="Aptos Narrow"/>
        <family val="2"/>
        <scheme val="minor"/>
      </rPr>
      <t>"Groups &amp; Sites"</t>
    </r>
    <r>
      <rPr>
        <sz val="12"/>
        <color theme="1"/>
        <rFont val="Aptos Narrow"/>
        <family val="2"/>
        <scheme val="minor"/>
      </rPr>
      <t xml:space="preserve"> tab. 
</t>
    </r>
    <r>
      <rPr>
        <b/>
        <i/>
        <sz val="12"/>
        <color theme="1"/>
        <rFont val="Aptos Narrow"/>
        <family val="2"/>
        <scheme val="minor"/>
      </rPr>
      <t>Allow users to discover private teams that have this label applied:</t>
    </r>
    <r>
      <rPr>
        <sz val="12"/>
        <color theme="1"/>
        <rFont val="Aptos Narrow"/>
        <family val="2"/>
        <scheme val="minor"/>
      </rPr>
      <t xml:space="preserve">
If you select the box of the </t>
    </r>
    <r>
      <rPr>
        <b/>
        <i/>
        <sz val="12"/>
        <color theme="1"/>
        <rFont val="Aptos Narrow"/>
        <family val="2"/>
        <scheme val="minor"/>
      </rPr>
      <t>"Same"</t>
    </r>
    <r>
      <rPr>
        <sz val="12"/>
        <color theme="1"/>
        <rFont val="Aptos Narrow"/>
        <family val="2"/>
        <scheme val="minor"/>
      </rPr>
      <t xml:space="preserve"> name it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 xml:space="preserve">.
</t>
    </r>
    <r>
      <rPr>
        <b/>
        <i/>
        <sz val="12"/>
        <color theme="1"/>
        <rFont val="Aptos Narrow"/>
        <family val="2"/>
        <scheme val="minor"/>
      </rPr>
      <t>Teams shared channels:</t>
    </r>
    <r>
      <rPr>
        <sz val="12"/>
        <color theme="1"/>
        <rFont val="Aptos Narrow"/>
        <family val="2"/>
        <scheme val="minor"/>
      </rPr>
      <t xml:space="preserve">
If you selected any </t>
    </r>
    <r>
      <rPr>
        <b/>
        <i/>
        <sz val="12"/>
        <color theme="1"/>
        <rFont val="Aptos Narrow"/>
        <family val="2"/>
        <scheme val="minor"/>
      </rPr>
      <t>"boxes"</t>
    </r>
    <r>
      <rPr>
        <sz val="12"/>
        <color theme="1"/>
        <rFont val="Aptos Narrow"/>
        <family val="2"/>
        <scheme val="minor"/>
      </rPr>
      <t xml:space="preserve"> under </t>
    </r>
    <r>
      <rPr>
        <b/>
        <i/>
        <sz val="12"/>
        <color theme="1"/>
        <rFont val="Aptos Narrow"/>
        <family val="2"/>
        <scheme val="minor"/>
      </rPr>
      <t>"this"</t>
    </r>
    <r>
      <rPr>
        <sz val="12"/>
        <color theme="1"/>
        <rFont val="Aptos Narrow"/>
        <family val="2"/>
        <scheme val="minor"/>
      </rPr>
      <t xml:space="preserve"> section the answer will be </t>
    </r>
    <r>
      <rPr>
        <b/>
        <i/>
        <sz val="12"/>
        <color theme="1"/>
        <rFont val="Aptos Narrow"/>
        <family val="2"/>
        <scheme val="minor"/>
      </rPr>
      <t>"Yes"</t>
    </r>
    <r>
      <rPr>
        <sz val="12"/>
        <color theme="1"/>
        <rFont val="Aptos Narrow"/>
        <family val="2"/>
        <scheme val="minor"/>
      </rPr>
      <t xml:space="preserve"> otherwise it will be </t>
    </r>
    <r>
      <rPr>
        <b/>
        <i/>
        <sz val="12"/>
        <color theme="1"/>
        <rFont val="Aptos Narrow"/>
        <family val="2"/>
        <scheme val="minor"/>
      </rPr>
      <t>"No"</t>
    </r>
    <r>
      <rPr>
        <sz val="12"/>
        <color theme="1"/>
        <rFont val="Aptos Narrow"/>
        <family val="2"/>
        <scheme val="minor"/>
      </rPr>
      <t>.</t>
    </r>
  </si>
  <si>
    <t>This tab is used to look up any Sensitivity Labels, Publishing Policies, Service-Side Auto-Labeling Policies, and or Data Loss Prevention (DLP) policies you have.</t>
  </si>
  <si>
    <t>Content Marking</t>
  </si>
  <si>
    <t>Description:</t>
  </si>
  <si>
    <t>Choose sensitivity labels to publish:</t>
  </si>
  <si>
    <t>Assign admin units:</t>
  </si>
  <si>
    <t>Publish to users and groups:</t>
  </si>
  <si>
    <t>Policy settings:</t>
  </si>
  <si>
    <t>Default settings for documents​:</t>
  </si>
  <si>
    <t>Default settings for emails:</t>
  </si>
  <si>
    <t>Default settings for meetings and calendar events:</t>
  </si>
  <si>
    <t>Default settings for sites and groups</t>
  </si>
  <si>
    <t>Default settings for Fabric and Power BI content:</t>
  </si>
  <si>
    <t>The name of the Publishing Policy.</t>
  </si>
  <si>
    <t>Enter a description for your sensitivity label policy.</t>
  </si>
  <si>
    <t>When published, the labels you choose here will be available in specified users' Office apps (Word, Excel, PowerPoint, and Outlook), SharePoint and Teams sites, and Microsoft 365 Groups.​</t>
  </si>
  <si>
    <t>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t>
  </si>
  <si>
    <r>
      <t xml:space="preserve">The labels you selected will be available for the users, distribution groups, mail-enabled security groups, and Microsoft 365 Groups you choose here.​
</t>
    </r>
    <r>
      <rPr>
        <sz val="12"/>
        <color rgb="FF0070C0"/>
        <rFont val="Aptos Narrow"/>
        <family val="2"/>
        <scheme val="minor"/>
      </rPr>
      <t>(If your role group permissions are restricted to a specific set of users and groups, you'll only be able to publish labels for those users and groups.)</t>
    </r>
  </si>
  <si>
    <t>Configure settings for the labels included in this policy.</t>
  </si>
  <si>
    <t>The label you choose will automatically be applied to Word, Excel, and PowerPoint documents when they're created or modified. Users can always select a different label to better match the sensitivity of their document.</t>
  </si>
  <si>
    <t>The label you choose will automatically be applied to new and existing, unlabeled emails. Users can always change the default label before they send the message.
If an email is labeled and attachments with higher priority labels are added, you can automatically replace the email's label with the highest priority attachment label or recommend that users do it themselves. If the email isn't labeled, it inherits the highest priority label from attachments.</t>
  </si>
  <si>
    <t>The label you choose will automatically be applied to new and existing, unlabeled meetings and calendar events. Users can always change the default label before they create the event or meeting.
If a meeting is labeled, and then files with higher priority labels are uploaded or shared to the meeting, you can automatically replace the meeting's label with the highest priority file label or recommend that users do it themselves.</t>
  </si>
  <si>
    <r>
      <t xml:space="preserve">The label you choose will automatically be applied to new, unlabeled SharePoint sites and Microsoft Groups. Users can always change the default label before they create the site or group.
</t>
    </r>
    <r>
      <rPr>
        <sz val="12"/>
        <color rgb="FF0070C0"/>
        <rFont val="Aptos Narrow"/>
        <family val="2"/>
        <scheme val="minor"/>
      </rPr>
      <t>Tip. (This label enforces site-level settings to protect sites and groups. The label won't be automatically applied to the files within the sites and groups themselves. To automatically apply default labels to files in SharePoint sites, consider setting up a default label for a document library.)</t>
    </r>
  </si>
  <si>
    <t>The label you choose will automatically be applied to new Fabric and Power BI reports, dashboards, and datasets. Users can always change the default label if it's not the right one.</t>
  </si>
  <si>
    <t>Publish sensitivity labels by creating a label policy</t>
  </si>
  <si>
    <t>Administrative units</t>
  </si>
  <si>
    <t>Roles and role groups</t>
  </si>
  <si>
    <t>Manage sensitivity labels in Office apps</t>
  </si>
  <si>
    <t>Configure a default sensitivity label for a SharePoint document library</t>
  </si>
  <si>
    <t>Default label policy for Fabric and Power BI</t>
  </si>
  <si>
    <t>End-user documentation for sensitivity labels</t>
  </si>
  <si>
    <t>Configure label inheritance from email attachments</t>
  </si>
  <si>
    <t>Require users to apply a label to their email and documents</t>
  </si>
  <si>
    <t>Mandatory label policy for Fabric and Power BI</t>
  </si>
  <si>
    <t>Users must provide a Justification to remove a label or lower it's classification</t>
  </si>
  <si>
    <t>Apply a default label to documents​</t>
  </si>
  <si>
    <t>Apply a default label to emails</t>
  </si>
  <si>
    <t>Apply a default label to meetings and calendar events</t>
  </si>
  <si>
    <t>Apply a default label to sites and groups</t>
  </si>
  <si>
    <t>Apply a default label to Fabric and Power BI content</t>
  </si>
  <si>
    <t>Require users to apply a label to their emails and documents</t>
  </si>
  <si>
    <t>Require users to apply a label to their Fabric and Power BI content</t>
  </si>
  <si>
    <t>Provide users with a link to a custom help page</t>
  </si>
  <si>
    <t>Require users to apply a label to their emails</t>
  </si>
  <si>
    <t>Require users to apply a label to their meetings and calendar events</t>
  </si>
  <si>
    <t>Require users to apply a label to their groups or sites</t>
  </si>
  <si>
    <t>Inherit label from Attachments</t>
  </si>
  <si>
    <t>Apply inheritance between Teams meeting and artifacts</t>
  </si>
  <si>
    <t>Email inherits highest priority label from attachments</t>
  </si>
  <si>
    <t>Inherit label from files shared to meetings</t>
  </si>
  <si>
    <t>Service-Side Auto-Labeling Policies</t>
  </si>
  <si>
    <t>Name</t>
  </si>
  <si>
    <t>Policy Mode</t>
  </si>
  <si>
    <t>Description</t>
  </si>
  <si>
    <t>Label to auto-apply:</t>
  </si>
  <si>
    <t>Locations where you want to apply the label:</t>
  </si>
  <si>
    <t>Common or Advanced Rules:</t>
  </si>
  <si>
    <t>Common Rules:</t>
  </si>
  <si>
    <t>Rules for Exchange email:</t>
  </si>
  <si>
    <t>Rules for SharePoint files:</t>
  </si>
  <si>
    <t>Rules for OneDrive files:</t>
  </si>
  <si>
    <t>Additional settings for email:</t>
  </si>
  <si>
    <t>Name of the Auto-Label Policy.</t>
  </si>
  <si>
    <t>To help you determine whether the label will be applied to the correct items, you'll need to run the policy in simulation mode before turning it on. You can do this right away or wait until later.</t>
  </si>
  <si>
    <t>Users will see this label applied to files that match the rules and conditions you chose.</t>
  </si>
  <si>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sz val="12"/>
        <color rgb="FF0070C0"/>
        <rFont val="Aptos Narrow"/>
        <family val="2"/>
        <scheme val="minor"/>
      </rPr>
      <t>Admin units aren't applicable to non-Microsoft 365 locations (like Azure storage and Azure SQL Server). As a result, if you select admin units here, you won't be able to scope this policy to non-Microsoft locations in the next step.</t>
    </r>
  </si>
  <si>
    <r>
      <t xml:space="preserve">Exchange will automatically apply the label to unlabeled emails, regardless of which device or platform is used to send and receive the email. OneDrive and SharePoint will automatically apply the label to unlabeled Office documents and PDFs.
</t>
    </r>
    <r>
      <rPr>
        <sz val="12"/>
        <color rgb="FF0070C0"/>
        <rFont val="Aptos Narrow"/>
        <family val="2"/>
        <scheme val="minor"/>
      </rPr>
      <t>(You can now apply labels to assets in non-Microsoft 365 locations like Azure and Amazon S3. Register and scan those data sources from Data Map so that they can be included in auto-labeling policies.)
(If your role group permissions are restricted to a specific set of users or groups, you'll only be able to apply the label to those users or groups.)</t>
    </r>
  </si>
  <si>
    <t>Where this Policy will be scoped to.</t>
  </si>
  <si>
    <r>
      <t xml:space="preserve">Rules are made up of conditions that define what content the label is applied to. Choose common rules to define one set of rules that will apply to all locations you selected or choose advanced rules to define different rules for each location.
</t>
    </r>
    <r>
      <rPr>
        <sz val="12"/>
        <color rgb="FF0070C0"/>
        <rFont val="Aptos Narrow"/>
        <family val="2"/>
        <scheme val="minor"/>
      </rPr>
      <t xml:space="preserve">Beware that when selecting "Common Rules", that it will only give you the "Conditions" that are applicable across all of the locations your specified like in Data Loss Prevention (DLP). </t>
    </r>
  </si>
  <si>
    <r>
      <t xml:space="preserve">Define one set of common rules for all locations. 
</t>
    </r>
    <r>
      <rPr>
        <sz val="12"/>
        <color rgb="FF0070C0"/>
        <rFont val="Aptos Narrow"/>
        <family val="2"/>
        <scheme val="minor"/>
      </rPr>
      <t>(Common rules consist of conditions for specifying what sensitive info to detect and whether to apply the label to items shared inside or outside your organization. If you selected Exchange and want access to more email conditions, Choose advanced rules.)</t>
    </r>
  </si>
  <si>
    <t>The rules here are made up of conditions that define when a label should be automatically applied to email messages while they're in transit. You must create at least one rule.</t>
  </si>
  <si>
    <t>The rules here are made up of conditions that define when the label should be automatically applied to SharePoint files while they're at rest. You must have at least one rule.</t>
  </si>
  <si>
    <t>The rules here are made up of conditions that define when the label should be automatically applied to OneDrive files while they're at rest. You must have at least one rule.</t>
  </si>
  <si>
    <t>These settings only apply to email messages. 
If selected, this label will replace existing labels if their priority is the same or lower than this one, regardless of whether the existing label was applied automatically or manually.
The label you selected has encryption settings. When it's applied to messages received from outside your organization, encryption will be applied when you designate a Rights Management owner from your organization. This ensures that someone has permissions to remove the encryption if needed.</t>
  </si>
  <si>
    <t>Learn about simulation mode</t>
  </si>
  <si>
    <t>Where will this label appear?</t>
  </si>
  <si>
    <t>Scan data sources in Data Map</t>
  </si>
  <si>
    <t>Rights Management issuer and Rights Management owner</t>
  </si>
  <si>
    <t>Exchange email</t>
  </si>
  <si>
    <t xml:space="preserve">
All users &amp; Groups</t>
  </si>
  <si>
    <t>Automatically replace existing labels that have the same or lower priority"</t>
  </si>
  <si>
    <t>SharePoint sites</t>
  </si>
  <si>
    <t>All siters</t>
  </si>
  <si>
    <t>Apply encryption to email received to email from outside your organization</t>
  </si>
  <si>
    <t>OneDrive accounts</t>
  </si>
  <si>
    <t>All users &amp; Groups</t>
  </si>
  <si>
    <t>fgh</t>
  </si>
  <si>
    <t/>
  </si>
  <si>
    <t>Data Loss Prevention (DLP)</t>
  </si>
  <si>
    <t>Policy mode:</t>
  </si>
  <si>
    <t>Locations:</t>
  </si>
  <si>
    <t>Data Loss Prevention (DLP) rules:</t>
  </si>
  <si>
    <t>Name of the Data Loss Prevention (DLP) Policy.</t>
  </si>
  <si>
    <r>
      <t xml:space="preserve">You can test this policy before turning it on to verify if it needs improvement or if it meets all your objectives. If you turn the policy on right away, you can edit it later and safely test those changes in simulation mode.
</t>
    </r>
    <r>
      <rPr>
        <sz val="12"/>
        <color rgb="FF0070C0"/>
        <rFont val="Aptos Narrow"/>
        <family val="2"/>
        <scheme val="minor"/>
      </rPr>
      <t>Run the policy in simulation mode = In simulation without notifications
Run the policy in simulation mode &amp; Show policy tips while in simulation mode= In simulation with notifications
Turn the policy on immediately = On
Leave the policy turned off = Off</t>
    </r>
  </si>
  <si>
    <r>
      <t xml:space="preserve">Choose the admin units you'd like to assign this policy to. Admin units are created in Microsoft Entra ID and restrict the policy to a specific set of users or groups. Your selections will affect the location options available to you in the next step.
If you want to assign this policy to all users and groups, select 'Next' and proceed.
</t>
    </r>
    <r>
      <rPr>
        <b/>
        <sz val="12"/>
        <color rgb="FF0070C0"/>
        <rFont val="Aptos Narrow"/>
        <family val="2"/>
        <scheme val="minor"/>
      </rPr>
      <t>Admin units aren’t supported for all locations.</t>
    </r>
    <r>
      <rPr>
        <sz val="12"/>
        <color rgb="FF0070C0"/>
        <rFont val="Aptos Narrow"/>
        <family val="2"/>
        <scheme val="minor"/>
      </rPr>
      <t xml:space="preserve"> Admin units aren't applicable to some locations, such as Fabric and Microsoft 365 Copilot. As a result, if you select admin units here, you won't be able to scope this policy to those locations in the next step.​</t>
    </r>
  </si>
  <si>
    <r>
      <t xml:space="preserve">We'll apply the policy to data that's stored in the locations you choose.
</t>
    </r>
    <r>
      <rPr>
        <sz val="12"/>
        <color rgb="FF0070C0"/>
        <rFont val="Aptos Narrow"/>
        <family val="2"/>
        <scheme val="minor"/>
      </rPr>
      <t xml:space="preserve">If your role group permissions are restricted to a specific set of users or groups, you'll only be able to apply this policy to those users or groups.
Protecting sensitive info in on-premises repositories (SharePoint sites and file shares) is now in preview. Note that there are prerequisite steps needed to support this new capability.
Pay-as-you-go billing needs to be set up to configure polices for non-Microsoft 365 data sources. </t>
    </r>
  </si>
  <si>
    <t>The rules here are made up of conditions and actions that define the protection requirements for this policy. You can edit existing rules or create new ones.</t>
  </si>
  <si>
    <t>Learn about data loss prevention simulation mode</t>
  </si>
  <si>
    <t>Learn about the data loss prevention on-premises repositories</t>
  </si>
  <si>
    <t>Learn about Microsoft Purview billing models</t>
  </si>
  <si>
    <t>Show policy tips while in simulation mode</t>
  </si>
  <si>
    <t>Turn the policy on if it's not edited within fifteen days of simulation</t>
  </si>
  <si>
    <t>Select scenario from drop down</t>
  </si>
  <si>
    <t>Please select the desired Sensitivity Label you want to see.</t>
  </si>
  <si>
    <t>Please select the desired Publishing Policy you want to see.</t>
  </si>
  <si>
    <t>Please select the desired Service-Side Auto-Labeling policy you want to see.</t>
  </si>
  <si>
    <t>Please select the desired DLP Policy you want to see.</t>
  </si>
  <si>
    <r>
      <rPr>
        <b/>
        <sz val="12"/>
        <color theme="1"/>
        <rFont val="Aptos Narrow"/>
        <family val="2"/>
        <scheme val="minor"/>
      </rPr>
      <t>Control Access</t>
    </r>
    <r>
      <rPr>
        <sz val="11"/>
        <color theme="1"/>
        <rFont val="Aptos Narrow"/>
        <family val="2"/>
        <scheme val="minor"/>
      </rPr>
      <t xml:space="preserve">
  Control who can access and view labels</t>
    </r>
  </si>
  <si>
    <r>
      <rPr>
        <b/>
        <sz val="12"/>
        <color theme="1"/>
        <rFont val="Aptos Narrow"/>
        <family val="2"/>
        <scheme val="minor"/>
      </rPr>
      <t>Apply Content marking</t>
    </r>
    <r>
      <rPr>
        <sz val="11"/>
        <color theme="1"/>
        <rFont val="Aptos Narrow"/>
        <family val="2"/>
        <scheme val="minor"/>
      </rPr>
      <t xml:space="preserve">
   Add custom headers, foots, and watermarks to labeled items
</t>
    </r>
  </si>
  <si>
    <t>add a footer</t>
  </si>
  <si>
    <t>All sites</t>
  </si>
  <si>
    <t xml:space="preserve">This tool is meant to help you with planning and implementing your Sensitivity Labels. 
The pages below go together if they're colored the same.
 Further explanations below. </t>
  </si>
  <si>
    <r>
      <rPr>
        <b/>
        <sz val="11"/>
        <color theme="1"/>
        <rFont val="Aptos Narrow"/>
        <family val="2"/>
        <scheme val="minor"/>
      </rPr>
      <t>MIT License</t>
    </r>
    <r>
      <rPr>
        <sz val="11"/>
        <color theme="1"/>
        <rFont val="Aptos Narrow"/>
        <family val="2"/>
        <scheme val="minor"/>
      </rPr>
      <t xml:space="preserve">
Copyright (c) 2025 Nick Bear &amp; Thomas Reed
Permission is hereby granted, free of charge, to any person obtaining a copy of this software and associated documentation files (the "Software"), to deal
in the Software without restriction, including without limitation the rights to use, copy, modify, merge, publish, distribute, sublicense, and/or sell copies of the Software, and to permit persons to whom the Software is furnished to do so, subject to the following conditions:
The above copyright notice and this permission notice shall be included in all copies or substantial portions of the Software.
THE SOFTWARE IS PROVIDED "AS IS", WITHOUT WARRANTY OF ANY KIND, EXPRESS OR IMPLIED, INCLUDING BUT NOT LIMITED TO THE WARRANTIES OF MERCHANTABILITY, FITNESS FOR A PARTICULAR PURPOSE AND NONINFRINGEMENT. IN NO EVENT SHALL THE AUTHORS OR COPYRIGHT HOLDERS BE LIABLE FOR ANY CLAIM, DAMAGES OR OTHER LIABILITY, WHETHER IN AN ACTION OF CONTRACT, TORT OR OTHERWISE, ARISING FROM, OUT OF OR IN CONNECTION WITH THE SOFTWARE OR THE USE OR OTHER DEALINGS IN THE SOFTWARE.</t>
    </r>
  </si>
  <si>
    <t>v1.6</t>
  </si>
  <si>
    <t>Pending checkbox selection on Sensitivity Labels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</si>
</sst>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x14ac:knownFonts="1">
    <font>
      <sz val="11"/>
      <color theme="1"/>
      <name val="Aptos Narrow"/>
      <family val="2"/>
      <scheme val="minor"/>
    </font>
    <font>
      <b/>
      <sz val="11"/>
      <color theme="1"/>
      <name val="Aptos Narrow"/>
      <family val="2"/>
      <scheme val="minor"/>
    </font>
    <font>
      <i/>
      <sz val="11"/>
      <color theme="0" tint="-0.499984740745262"/>
      <name val="Aptos Narrow"/>
      <family val="2"/>
      <scheme val="minor"/>
    </font>
    <font>
      <b/>
      <sz val="14"/>
      <name val="Aptos Narrow"/>
      <family val="2"/>
      <scheme val="minor"/>
    </font>
    <font>
      <b/>
      <i/>
      <sz val="18"/>
      <color theme="1"/>
      <name val="Aptos Narrow"/>
      <family val="2"/>
      <scheme val="minor"/>
    </font>
    <font>
      <sz val="11"/>
      <color theme="0"/>
      <name val="Aptos Narrow"/>
      <family val="2"/>
      <scheme val="minor"/>
    </font>
    <font>
      <b/>
      <sz val="14"/>
      <color theme="1"/>
      <name val="Aptos Narrow"/>
      <family val="2"/>
      <scheme val="minor"/>
    </font>
    <font>
      <sz val="12"/>
      <color theme="1"/>
      <name val="Aptos"/>
      <family val="2"/>
    </font>
    <font>
      <b/>
      <i/>
      <sz val="20"/>
      <color rgb="FF0070C0"/>
      <name val="Aptos Narrow"/>
      <family val="2"/>
      <scheme val="minor"/>
    </font>
    <font>
      <sz val="11"/>
      <name val="Aptos Narrow"/>
      <family val="2"/>
      <scheme val="minor"/>
    </font>
    <font>
      <i/>
      <sz val="11"/>
      <color theme="0"/>
      <name val="Aptos Narrow"/>
      <family val="2"/>
      <scheme val="minor"/>
    </font>
    <font>
      <b/>
      <i/>
      <sz val="11"/>
      <color theme="1"/>
      <name val="Aptos Narrow"/>
      <family val="2"/>
      <scheme val="minor"/>
    </font>
    <font>
      <i/>
      <sz val="11"/>
      <color theme="0" tint="-0.34998626667073579"/>
      <name val="Aptos Narrow"/>
      <family val="2"/>
      <scheme val="minor"/>
    </font>
    <font>
      <sz val="11"/>
      <color theme="0" tint="-0.34998626667073579"/>
      <name val="Aptos Narrow"/>
      <family val="2"/>
      <scheme val="minor"/>
    </font>
    <font>
      <i/>
      <sz val="11"/>
      <name val="Aptos Narrow"/>
      <family val="2"/>
      <scheme val="minor"/>
    </font>
    <font>
      <b/>
      <sz val="11"/>
      <name val="Aptos Narrow"/>
      <family val="2"/>
      <scheme val="minor"/>
    </font>
    <font>
      <b/>
      <sz val="12"/>
      <name val="Aptos Narrow"/>
      <family val="2"/>
      <scheme val="minor"/>
    </font>
    <font>
      <b/>
      <i/>
      <sz val="18"/>
      <color rgb="FF0070C0"/>
      <name val="Aptos Narrow"/>
      <family val="2"/>
      <scheme val="minor"/>
    </font>
    <font>
      <b/>
      <sz val="14"/>
      <color theme="0" tint="-0.34998626667073579"/>
      <name val="Aptos Narrow"/>
      <family val="2"/>
      <scheme val="minor"/>
    </font>
    <font>
      <b/>
      <sz val="11"/>
      <color theme="0"/>
      <name val="Aptos Narrow"/>
      <family val="2"/>
      <scheme val="minor"/>
    </font>
    <font>
      <b/>
      <sz val="12"/>
      <color theme="1"/>
      <name val="Aptos Narrow"/>
      <family val="2"/>
      <scheme val="minor"/>
    </font>
    <font>
      <sz val="11"/>
      <color rgb="FF0070C0"/>
      <name val="Aptos Narrow"/>
      <family val="2"/>
      <scheme val="minor"/>
    </font>
    <font>
      <b/>
      <sz val="22"/>
      <color rgb="FF0070C0"/>
      <name val="Aptos Narrow"/>
      <family val="2"/>
      <scheme val="minor"/>
    </font>
    <font>
      <b/>
      <sz val="16"/>
      <color theme="1"/>
      <name val="Aptos Narrow"/>
      <family val="2"/>
      <scheme val="minor"/>
    </font>
    <font>
      <b/>
      <sz val="11"/>
      <color rgb="FF0070C0"/>
      <name val="Aptos Narrow"/>
      <family val="2"/>
      <scheme val="minor"/>
    </font>
    <font>
      <b/>
      <i/>
      <sz val="11"/>
      <name val="Aptos Narrow"/>
      <family val="2"/>
      <scheme val="minor"/>
    </font>
    <font>
      <b/>
      <i/>
      <sz val="14"/>
      <color theme="1"/>
      <name val="Aptos Narrow"/>
      <family val="2"/>
      <scheme val="minor"/>
    </font>
    <font>
      <b/>
      <i/>
      <sz val="12"/>
      <color theme="0" tint="-0.34998626667073579"/>
      <name val="Aptos Narrow"/>
      <family val="2"/>
      <scheme val="minor"/>
    </font>
    <font>
      <b/>
      <i/>
      <sz val="14"/>
      <color theme="0" tint="-0.34998626667073579"/>
      <name val="Aptos Narrow"/>
      <family val="2"/>
      <scheme val="minor"/>
    </font>
    <font>
      <b/>
      <i/>
      <sz val="14"/>
      <name val="Aptos Narrow"/>
      <family val="2"/>
      <scheme val="minor"/>
    </font>
    <font>
      <u/>
      <sz val="11"/>
      <color theme="10"/>
      <name val="Aptos Narrow"/>
      <family val="2"/>
      <scheme val="minor"/>
    </font>
    <font>
      <sz val="11"/>
      <color theme="0" tint="-0.14999847407452621"/>
      <name val="Aptos Narrow"/>
      <family val="2"/>
      <scheme val="minor"/>
    </font>
    <font>
      <sz val="12"/>
      <color theme="1"/>
      <name val="Aptos Narrow"/>
      <family val="2"/>
      <scheme val="minor"/>
    </font>
    <font>
      <i/>
      <sz val="12"/>
      <color theme="1"/>
      <name val="Aptos Narrow"/>
      <family val="2"/>
      <scheme val="minor"/>
    </font>
    <font>
      <i/>
      <sz val="12"/>
      <color rgb="FF0070C0"/>
      <name val="Aptos Narrow"/>
      <family val="2"/>
      <scheme val="minor"/>
    </font>
    <font>
      <sz val="12"/>
      <color rgb="FF0070C0"/>
      <name val="Aptos Narrow"/>
      <family val="2"/>
      <scheme val="minor"/>
    </font>
    <font>
      <sz val="12"/>
      <name val="Aptos Narrow"/>
      <family val="2"/>
      <scheme val="minor"/>
    </font>
    <font>
      <b/>
      <sz val="12"/>
      <color rgb="FF0070C0"/>
      <name val="Aptos Narrow"/>
      <family val="2"/>
      <scheme val="minor"/>
    </font>
    <font>
      <b/>
      <sz val="12"/>
      <color theme="3"/>
      <name val="Aptos Narrow"/>
      <family val="2"/>
      <scheme val="minor"/>
    </font>
    <font>
      <b/>
      <sz val="14"/>
      <color rgb="FF0070C0"/>
      <name val="Aptos Narrow"/>
      <family val="2"/>
      <scheme val="minor"/>
    </font>
    <font>
      <sz val="14"/>
      <color rgb="FF0070C0"/>
      <name val="Aptos Narrow"/>
      <family val="2"/>
      <scheme val="minor"/>
    </font>
    <font>
      <b/>
      <i/>
      <sz val="14"/>
      <color rgb="FF000000"/>
      <name val="Aptos Narrow"/>
      <family val="2"/>
      <scheme val="minor"/>
    </font>
    <font>
      <b/>
      <i/>
      <sz val="11"/>
      <color rgb="FFFF0000"/>
      <name val="Aptos Narrow"/>
      <family val="2"/>
      <scheme val="minor"/>
    </font>
    <font>
      <b/>
      <i/>
      <sz val="12"/>
      <color theme="1"/>
      <name val="Aptos Narrow"/>
      <family val="2"/>
      <scheme val="minor"/>
    </font>
    <font>
      <u/>
      <sz val="11"/>
      <color theme="0"/>
      <name val="Aptos Narrow"/>
      <family val="2"/>
      <scheme val="minor"/>
    </font>
    <font>
      <i/>
      <sz val="11"/>
      <color theme="1"/>
      <name val="Aptos Narrow"/>
      <family val="2"/>
      <scheme val="minor"/>
    </font>
    <font>
      <i/>
      <sz val="11"/>
      <color theme="2" tint="-0.249977111117893"/>
      <name val="Aptos Narrow"/>
      <family val="2"/>
      <scheme val="minor"/>
    </font>
    <font>
      <sz val="11"/>
      <color theme="2" tint="-0.249977111117893"/>
      <name val="Aptos Narrow"/>
      <family val="2"/>
      <scheme val="minor"/>
    </font>
    <font>
      <sz val="11"/>
      <color theme="2"/>
      <name val="Aptos Narrow"/>
      <family val="2"/>
      <scheme val="minor"/>
    </font>
    <font>
      <sz val="9"/>
      <color theme="1"/>
      <name val="Aptos Narrow"/>
      <family val="2"/>
      <scheme val="minor"/>
    </font>
  </fonts>
  <fills count="20">
    <fill>
      <patternFill patternType="none"/>
    </fill>
    <fill>
      <patternFill patternType="gray125"/>
    </fill>
    <fill>
      <patternFill patternType="solid">
        <fgColor theme="0"/>
        <bgColor indexed="64"/>
      </patternFill>
    </fill>
    <fill>
      <patternFill patternType="solid">
        <fgColor theme="2" tint="-9.9978637043366805E-2"/>
        <bgColor indexed="64"/>
      </patternFill>
    </fill>
    <fill>
      <patternFill patternType="solid">
        <fgColor theme="2"/>
        <bgColor indexed="64"/>
      </patternFill>
    </fill>
    <fill>
      <patternFill patternType="solid">
        <fgColor theme="0" tint="-0.34998626667073579"/>
        <bgColor indexed="64"/>
      </patternFill>
    </fill>
    <fill>
      <patternFill patternType="solid">
        <fgColor theme="3" tint="0.89999084444715716"/>
        <bgColor indexed="64"/>
      </patternFill>
    </fill>
    <fill>
      <patternFill patternType="solid">
        <fgColor theme="7" tint="0.79998168889431442"/>
        <bgColor indexed="64"/>
      </patternFill>
    </fill>
    <fill>
      <patternFill patternType="solid">
        <fgColor rgb="FFFFFF00"/>
        <bgColor indexed="64"/>
      </patternFill>
    </fill>
    <fill>
      <patternFill patternType="solid">
        <fgColor theme="7"/>
        <bgColor indexed="64"/>
      </patternFill>
    </fill>
    <fill>
      <patternFill patternType="solid">
        <fgColor theme="8"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rgb="FF00B0F0"/>
        <bgColor rgb="FF000000"/>
      </patternFill>
    </fill>
    <fill>
      <patternFill patternType="solid">
        <fgColor rgb="FFE8E8E8"/>
        <bgColor rgb="FF000000"/>
      </patternFill>
    </fill>
    <fill>
      <patternFill patternType="solid">
        <fgColor theme="1"/>
        <bgColor rgb="FF000000"/>
      </patternFill>
    </fill>
    <fill>
      <patternFill patternType="solid">
        <fgColor rgb="FFF8F8F8"/>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theme="0" tint="-4.9989318521683403E-2"/>
        <bgColor indexed="64"/>
      </patternFill>
    </fill>
  </fills>
  <borders count="8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right style="thin">
        <color indexed="64"/>
      </right>
      <top/>
      <bottom/>
      <diagonal/>
    </border>
    <border>
      <left/>
      <right/>
      <top style="medium">
        <color theme="0"/>
      </top>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bottom style="medium">
        <color indexed="64"/>
      </bottom>
      <diagonal/>
    </border>
    <border>
      <left/>
      <right style="thin">
        <color indexed="64"/>
      </right>
      <top style="medium">
        <color indexed="64"/>
      </top>
      <bottom/>
      <diagonal/>
    </border>
    <border>
      <left style="thin">
        <color rgb="FF000000"/>
      </left>
      <right style="thin">
        <color indexed="64"/>
      </right>
      <top style="thin">
        <color rgb="FF000000"/>
      </top>
      <bottom style="thin">
        <color rgb="FF000000"/>
      </bottom>
      <diagonal/>
    </border>
    <border>
      <left/>
      <right/>
      <top style="thin">
        <color rgb="FF000000"/>
      </top>
      <bottom/>
      <diagonal/>
    </border>
    <border>
      <left style="thin">
        <color indexed="64"/>
      </left>
      <right style="thin">
        <color rgb="FF000000"/>
      </right>
      <top style="thin">
        <color rgb="FF000000"/>
      </top>
      <bottom/>
      <diagonal/>
    </border>
    <border>
      <left style="thin">
        <color indexed="64"/>
      </left>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top style="medium">
        <color indexed="64"/>
      </top>
      <bottom/>
      <diagonal/>
    </border>
    <border>
      <left style="thin">
        <color rgb="FF000000"/>
      </left>
      <right style="thin">
        <color indexed="64"/>
      </right>
      <top style="medium">
        <color indexed="64"/>
      </top>
      <bottom/>
      <diagonal/>
    </border>
    <border>
      <left style="thin">
        <color rgb="FF000000"/>
      </left>
      <right style="thin">
        <color indexed="64"/>
      </right>
      <top/>
      <bottom/>
      <diagonal/>
    </border>
    <border>
      <left style="thin">
        <color rgb="FF000000"/>
      </left>
      <right style="thin">
        <color indexed="64"/>
      </right>
      <top/>
      <bottom style="medium">
        <color indexed="64"/>
      </bottom>
      <diagonal/>
    </border>
    <border>
      <left style="thin">
        <color indexed="64"/>
      </left>
      <right style="thin">
        <color indexed="64"/>
      </right>
      <top style="thin">
        <color rgb="FF000000"/>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2">
    <xf numFmtId="0" fontId="0" fillId="0" borderId="0"/>
    <xf numFmtId="0" fontId="30" fillId="0" borderId="0" applyNumberFormat="0" applyFill="0" applyBorder="0" applyAlignment="0" applyProtection="0"/>
  </cellStyleXfs>
  <cellXfs count="983">
    <xf numFmtId="0" fontId="0" fillId="0" borderId="0" xfId="0"/>
    <xf numFmtId="0" fontId="2" fillId="0" borderId="0" xfId="0" applyFont="1"/>
    <xf numFmtId="0" fontId="0" fillId="0" borderId="0" xfId="0" applyAlignment="1">
      <alignment horizontal="center"/>
    </xf>
    <xf numFmtId="0" fontId="0" fillId="0" borderId="0" xfId="0" applyAlignment="1">
      <alignment wrapText="1"/>
    </xf>
    <xf numFmtId="0" fontId="1" fillId="0" borderId="0" xfId="0" applyFont="1" applyAlignment="1">
      <alignment wrapText="1"/>
    </xf>
    <xf numFmtId="0" fontId="0" fillId="0" borderId="1" xfId="0" applyBorder="1" applyAlignment="1">
      <alignment wrapText="1"/>
    </xf>
    <xf numFmtId="0" fontId="7" fillId="0" borderId="1" xfId="0" applyFont="1" applyBorder="1" applyAlignment="1">
      <alignment vertical="center" wrapText="1"/>
    </xf>
    <xf numFmtId="0" fontId="2" fillId="0" borderId="0" xfId="0" applyFont="1" applyAlignment="1">
      <alignment horizontal="center"/>
    </xf>
    <xf numFmtId="0" fontId="2" fillId="0" borderId="0" xfId="0" applyFont="1" applyAlignment="1">
      <alignment horizontal="center" wrapText="1"/>
    </xf>
    <xf numFmtId="0" fontId="5" fillId="0" borderId="0" xfId="0" applyFont="1" applyAlignment="1">
      <alignment wrapText="1"/>
    </xf>
    <xf numFmtId="0" fontId="0" fillId="0" borderId="1" xfId="0" applyBorder="1"/>
    <xf numFmtId="0" fontId="4" fillId="0" borderId="0" xfId="0" applyFont="1" applyAlignment="1">
      <alignment vertical="center" wrapText="1"/>
    </xf>
    <xf numFmtId="0" fontId="6" fillId="0" borderId="0" xfId="0" applyFont="1" applyAlignment="1">
      <alignment horizontal="center"/>
    </xf>
    <xf numFmtId="0" fontId="0" fillId="0" borderId="0" xfId="0" applyAlignment="1">
      <alignment horizontal="center" wrapText="1"/>
    </xf>
    <xf numFmtId="0" fontId="6" fillId="0" borderId="0" xfId="0" applyFont="1" applyAlignment="1">
      <alignment horizontal="center" wrapText="1"/>
    </xf>
    <xf numFmtId="0" fontId="9" fillId="0" borderId="0" xfId="0" applyFont="1" applyAlignment="1">
      <alignment wrapText="1"/>
    </xf>
    <xf numFmtId="0" fontId="1" fillId="0" borderId="0" xfId="0" applyFont="1"/>
    <xf numFmtId="0" fontId="11" fillId="0" borderId="0" xfId="0" applyFont="1" applyAlignment="1">
      <alignment vertical="center"/>
    </xf>
    <xf numFmtId="0" fontId="11" fillId="0" borderId="0" xfId="0" applyFont="1" applyAlignment="1">
      <alignment horizontal="left" vertical="center"/>
    </xf>
    <xf numFmtId="0" fontId="3" fillId="0" borderId="0" xfId="0" applyFont="1" applyAlignment="1">
      <alignment horizontal="center" wrapText="1"/>
    </xf>
    <xf numFmtId="0" fontId="9" fillId="0" borderId="0" xfId="0" applyFont="1" applyAlignment="1">
      <alignment horizontal="center" wrapText="1"/>
    </xf>
    <xf numFmtId="0" fontId="16" fillId="0" borderId="0" xfId="0" applyFont="1" applyAlignment="1">
      <alignment horizontal="center" wrapText="1"/>
    </xf>
    <xf numFmtId="0" fontId="9" fillId="0" borderId="1" xfId="0" applyFont="1" applyBorder="1" applyAlignment="1">
      <alignment wrapText="1"/>
    </xf>
    <xf numFmtId="0" fontId="10" fillId="0" borderId="0" xfId="0" applyFont="1" applyAlignment="1">
      <alignment horizontal="center"/>
    </xf>
    <xf numFmtId="0" fontId="10" fillId="0" borderId="0" xfId="0" applyFont="1" applyAlignment="1">
      <alignment wrapText="1"/>
    </xf>
    <xf numFmtId="0" fontId="0" fillId="0" borderId="0" xfId="0" applyAlignment="1">
      <alignment vertical="center"/>
    </xf>
    <xf numFmtId="0" fontId="6" fillId="0" borderId="0" xfId="0" applyFont="1" applyAlignment="1">
      <alignment horizontal="center" vertical="center"/>
    </xf>
    <xf numFmtId="0" fontId="2" fillId="0" borderId="0" xfId="0" applyFont="1" applyAlignment="1">
      <alignment horizontal="center" vertical="center"/>
    </xf>
    <xf numFmtId="0" fontId="0" fillId="0" borderId="0" xfId="0" applyAlignment="1">
      <alignment vertical="center" wrapText="1"/>
    </xf>
    <xf numFmtId="0" fontId="2" fillId="0" borderId="0" xfId="0" applyFont="1" applyAlignment="1">
      <alignment wrapText="1"/>
    </xf>
    <xf numFmtId="0" fontId="0" fillId="3" borderId="0" xfId="0" applyFill="1"/>
    <xf numFmtId="0" fontId="0" fillId="3" borderId="0" xfId="0" applyFill="1" applyAlignment="1">
      <alignment vertical="center"/>
    </xf>
    <xf numFmtId="0" fontId="0" fillId="3" borderId="0" xfId="0" applyFill="1" applyAlignment="1">
      <alignment horizontal="center" vertical="top"/>
    </xf>
    <xf numFmtId="0" fontId="0" fillId="3" borderId="0" xfId="0" applyFill="1" applyAlignment="1">
      <alignment wrapText="1"/>
    </xf>
    <xf numFmtId="0" fontId="21" fillId="0" borderId="0" xfId="0" applyFont="1"/>
    <xf numFmtId="0" fontId="21" fillId="0" borderId="0" xfId="0" applyFont="1" applyAlignment="1">
      <alignment horizontal="left"/>
    </xf>
    <xf numFmtId="0" fontId="11" fillId="0" borderId="0" xfId="0" applyFont="1" applyAlignment="1">
      <alignment horizontal="center" vertical="center"/>
    </xf>
    <xf numFmtId="0" fontId="1" fillId="0" borderId="0" xfId="0" applyFont="1" applyAlignment="1">
      <alignment horizontal="center"/>
    </xf>
    <xf numFmtId="0" fontId="1" fillId="0" borderId="0" xfId="0" applyFont="1" applyAlignment="1">
      <alignment horizontal="left"/>
    </xf>
    <xf numFmtId="0" fontId="0" fillId="0" borderId="0" xfId="0" applyAlignment="1">
      <alignment horizontal="center" vertical="center" textRotation="90" wrapText="1"/>
    </xf>
    <xf numFmtId="0" fontId="10" fillId="0" borderId="9" xfId="0" applyFont="1" applyBorder="1" applyAlignment="1">
      <alignment horizontal="center" wrapText="1"/>
    </xf>
    <xf numFmtId="0" fontId="0" fillId="2" borderId="0" xfId="0" applyFill="1" applyAlignment="1">
      <alignment horizontal="center" wrapText="1"/>
    </xf>
    <xf numFmtId="0" fontId="17" fillId="0" borderId="0" xfId="0" applyFont="1" applyAlignment="1">
      <alignment vertical="center"/>
    </xf>
    <xf numFmtId="0" fontId="17" fillId="0" borderId="0" xfId="0" applyFont="1"/>
    <xf numFmtId="0" fontId="5" fillId="0" borderId="0" xfId="0" applyFont="1"/>
    <xf numFmtId="0" fontId="5" fillId="0" borderId="0" xfId="0" applyFont="1">
      <extLst>
        <ext xmlns:xfpb="http://schemas.microsoft.com/office/spreadsheetml/2022/featurepropertybag" uri="{C7286773-470A-42A8-94C5-96B5CB345126}">
          <xfpb:xfComplement i="0"/>
        </ext>
      </extLst>
    </xf>
    <xf numFmtId="0" fontId="5" fillId="2" borderId="0" xfId="0" applyFont="1" applyFill="1"/>
    <xf numFmtId="0" fontId="2" fillId="0" borderId="21" xfId="0" applyFont="1" applyBorder="1" applyAlignment="1">
      <alignment horizontal="center" wrapText="1"/>
    </xf>
    <xf numFmtId="0" fontId="12" fillId="0" borderId="21" xfId="0" applyFont="1" applyBorder="1" applyAlignment="1">
      <alignment horizontal="center" wrapText="1"/>
    </xf>
    <xf numFmtId="0" fontId="10" fillId="0" borderId="21" xfId="0" applyFont="1" applyBorder="1" applyAlignment="1">
      <alignment horizontal="center" wrapText="1"/>
    </xf>
    <xf numFmtId="0" fontId="15" fillId="0" borderId="21" xfId="0" applyFont="1" applyBorder="1" applyAlignment="1">
      <alignment horizontal="center" wrapText="1"/>
    </xf>
    <xf numFmtId="0" fontId="9" fillId="0" borderId="21" xfId="0" applyFont="1" applyBorder="1" applyAlignment="1">
      <alignment horizontal="center" wrapText="1"/>
    </xf>
    <xf numFmtId="0" fontId="10" fillId="0" borderId="22" xfId="0" applyFont="1" applyBorder="1" applyAlignment="1">
      <alignment horizontal="center"/>
    </xf>
    <xf numFmtId="0" fontId="9" fillId="0" borderId="19" xfId="0" applyFont="1" applyBorder="1" applyAlignment="1">
      <alignment wrapText="1"/>
    </xf>
    <xf numFmtId="0" fontId="10" fillId="0" borderId="19" xfId="0" applyFont="1" applyBorder="1" applyAlignment="1">
      <alignment horizontal="center"/>
    </xf>
    <xf numFmtId="0" fontId="0" fillId="0" borderId="25" xfId="0" applyBorder="1" applyAlignment="1">
      <alignment wrapText="1"/>
    </xf>
    <xf numFmtId="0" fontId="9" fillId="0" borderId="25" xfId="0" applyFont="1" applyBorder="1" applyAlignment="1">
      <alignment wrapText="1"/>
    </xf>
    <xf numFmtId="0" fontId="13" fillId="0" borderId="25" xfId="0" applyFont="1" applyBorder="1" applyAlignment="1">
      <alignment wrapText="1"/>
    </xf>
    <xf numFmtId="0" fontId="5" fillId="0" borderId="25" xfId="0" applyFont="1" applyBorder="1" applyAlignment="1">
      <alignment wrapText="1"/>
    </xf>
    <xf numFmtId="0" fontId="9" fillId="0" borderId="26" xfId="0" applyFont="1" applyBorder="1" applyAlignment="1">
      <alignment wrapText="1"/>
    </xf>
    <xf numFmtId="0" fontId="0" fillId="0" borderId="21" xfId="0" applyBorder="1">
      <extLst>
        <ext xmlns:xfpb="http://schemas.microsoft.com/office/spreadsheetml/2022/featurepropertybag" uri="{C7286773-470A-42A8-94C5-96B5CB345126}">
          <xfpb:xfComplement i="0"/>
        </ext>
      </extLst>
    </xf>
    <xf numFmtId="0" fontId="7" fillId="0" borderId="21" xfId="0" applyFont="1" applyBorder="1" applyAlignment="1">
      <alignment vertical="center"/>
    </xf>
    <xf numFmtId="0" fontId="0" fillId="0" borderId="21" xfId="0" applyBorder="1"/>
    <xf numFmtId="0" fontId="5" fillId="0" borderId="21" xfId="0" applyFont="1" applyBorder="1"/>
    <xf numFmtId="0" fontId="0" fillId="0" borderId="0" xfId="0">
      <extLst>
        <ext xmlns:xfpb="http://schemas.microsoft.com/office/spreadsheetml/2022/featurepropertybag" uri="{C7286773-470A-42A8-94C5-96B5CB345126}">
          <xfpb:xfComplement i="0"/>
        </ext>
      </extLst>
    </xf>
    <xf numFmtId="0" fontId="7" fillId="0" borderId="0" xfId="0" applyFont="1" applyAlignment="1">
      <alignment vertical="center"/>
    </xf>
    <xf numFmtId="0" fontId="0" fillId="0" borderId="19" xfId="0" applyBorder="1"/>
    <xf numFmtId="0" fontId="0" fillId="0" borderId="25" xfId="0" applyBorder="1"/>
    <xf numFmtId="0" fontId="5" fillId="2" borderId="25" xfId="0" applyFont="1" applyFill="1" applyBorder="1"/>
    <xf numFmtId="0" fontId="0" fillId="0" borderId="25" xfId="0" applyBorder="1">
      <extLst>
        <ext xmlns:xfpb="http://schemas.microsoft.com/office/spreadsheetml/2022/featurepropertybag" uri="{C7286773-470A-42A8-94C5-96B5CB345126}">
          <xfpb:xfComplement i="0"/>
        </ext>
      </extLst>
    </xf>
    <xf numFmtId="0" fontId="0" fillId="0" borderId="26" xfId="0" applyBorder="1"/>
    <xf numFmtId="0" fontId="0" fillId="0" borderId="22" xfId="0" applyBorder="1"/>
    <xf numFmtId="0" fontId="5" fillId="0" borderId="19" xfId="0" applyFont="1" applyBorder="1"/>
    <xf numFmtId="0" fontId="10" fillId="0" borderId="0" xfId="0" applyFont="1"/>
    <xf numFmtId="0" fontId="5" fillId="0" borderId="25" xfId="0" applyFont="1" applyBorder="1"/>
    <xf numFmtId="0" fontId="0" fillId="0" borderId="21" xfId="0" applyBorder="1" applyAlignment="1">
      <alignment wrapText="1"/>
    </xf>
    <xf numFmtId="0" fontId="0" fillId="0" borderId="30" xfId="0" applyBorder="1"/>
    <xf numFmtId="0" fontId="5" fillId="0" borderId="21" xfId="0" applyFont="1" applyBorder="1">
      <extLst>
        <ext xmlns:xfpb="http://schemas.microsoft.com/office/spreadsheetml/2022/featurepropertybag" uri="{C7286773-470A-42A8-94C5-96B5CB345126}">
          <xfpb:xfComplement i="0"/>
        </ext>
      </extLst>
    </xf>
    <xf numFmtId="0" fontId="0" fillId="0" borderId="21" xfId="0" applyBorder="1" applyAlignment="1">
      <alignment vertical="center"/>
    </xf>
    <xf numFmtId="0" fontId="5" fillId="0" borderId="0" xfId="0" applyFont="1" applyAlignment="1">
      <alignment vertical="center"/>
      <extLst>
        <ext xmlns:xfpb="http://schemas.microsoft.com/office/spreadsheetml/2022/featurepropertybag" uri="{C7286773-470A-42A8-94C5-96B5CB345126}">
          <xfpb:xfComplement i="0"/>
        </ext>
      </extLst>
    </xf>
    <xf numFmtId="0" fontId="5" fillId="0" borderId="0" xfId="0" applyFont="1" applyAlignment="1">
      <alignment vertical="center"/>
    </xf>
    <xf numFmtId="0" fontId="5" fillId="0" borderId="25" xfId="0" applyFont="1" applyBorder="1" applyAlignment="1">
      <alignment vertical="center"/>
      <extLst>
        <ext xmlns:xfpb="http://schemas.microsoft.com/office/spreadsheetml/2022/featurepropertybag" uri="{C7286773-470A-42A8-94C5-96B5CB345126}">
          <xfpb:xfComplement i="0"/>
        </ext>
      </extLst>
    </xf>
    <xf numFmtId="0" fontId="9" fillId="0" borderId="21" xfId="0" applyFont="1" applyBorder="1" applyAlignment="1">
      <alignment vertical="center"/>
    </xf>
    <xf numFmtId="0" fontId="9" fillId="0" borderId="30" xfId="0" applyFont="1" applyBorder="1"/>
    <xf numFmtId="0" fontId="9" fillId="0" borderId="0" xfId="0" applyFont="1" applyAlignment="1">
      <alignment vertical="center"/>
    </xf>
    <xf numFmtId="0" fontId="5" fillId="2" borderId="0" xfId="0" applyFont="1" applyFill="1" applyAlignment="1">
      <alignment vertical="center"/>
      <extLst>
        <ext xmlns:xfpb="http://schemas.microsoft.com/office/spreadsheetml/2022/featurepropertybag" uri="{C7286773-470A-42A8-94C5-96B5CB345126}">
          <xfpb:xfComplement i="0"/>
        </ext>
      </extLst>
    </xf>
    <xf numFmtId="0" fontId="3" fillId="2" borderId="0" xfId="0" applyFont="1" applyFill="1"/>
    <xf numFmtId="0" fontId="25" fillId="2" borderId="0" xfId="0" applyFont="1" applyFill="1"/>
    <xf numFmtId="0" fontId="25" fillId="2" borderId="0" xfId="0" applyFont="1" applyFill="1" applyAlignment="1">
      <alignment horizontal="center"/>
    </xf>
    <xf numFmtId="0" fontId="25" fillId="2" borderId="0" xfId="0" applyFont="1" applyFill="1" applyAlignment="1">
      <alignment wrapText="1"/>
    </xf>
    <xf numFmtId="0" fontId="25" fillId="2" borderId="0" xfId="0" applyFont="1" applyFill="1" applyAlignment="1">
      <alignment horizontal="center" wrapText="1"/>
    </xf>
    <xf numFmtId="0" fontId="25" fillId="0" borderId="0" xfId="0" applyFont="1"/>
    <xf numFmtId="0" fontId="11" fillId="0" borderId="0" xfId="0" applyFont="1"/>
    <xf numFmtId="0" fontId="11" fillId="2" borderId="0" xfId="0" applyFont="1" applyFill="1"/>
    <xf numFmtId="0" fontId="25" fillId="3" borderId="0" xfId="0" applyFont="1" applyFill="1"/>
    <xf numFmtId="0" fontId="0" fillId="0" borderId="2" xfId="0" applyBorder="1" applyAlignment="1">
      <alignment wrapText="1"/>
    </xf>
    <xf numFmtId="0" fontId="26" fillId="4" borderId="14" xfId="0" applyFont="1" applyFill="1" applyBorder="1" applyAlignment="1">
      <alignment horizontal="center" vertical="center"/>
    </xf>
    <xf numFmtId="0" fontId="26" fillId="4" borderId="14" xfId="0" applyFont="1" applyFill="1" applyBorder="1" applyAlignment="1">
      <alignment horizontal="center" vertical="center" wrapText="1"/>
    </xf>
    <xf numFmtId="0" fontId="28" fillId="4" borderId="14" xfId="0" applyFont="1" applyFill="1" applyBorder="1" applyAlignment="1">
      <alignment horizontal="center" vertical="center"/>
    </xf>
    <xf numFmtId="0" fontId="0" fillId="0" borderId="25" xfId="0" applyBorder="1" applyAlignment="1">
      <alignment vertical="top"/>
    </xf>
    <xf numFmtId="0" fontId="25" fillId="3" borderId="15" xfId="0" applyFont="1" applyFill="1" applyBorder="1" applyAlignment="1">
      <alignment horizontal="center"/>
    </xf>
    <xf numFmtId="0" fontId="2" fillId="0" borderId="19" xfId="0" applyFont="1" applyBorder="1" applyAlignment="1">
      <alignment horizontal="center" wrapText="1"/>
    </xf>
    <xf numFmtId="0" fontId="0" fillId="0" borderId="0" xfId="0" applyAlignment="1">
      <alignment horizontal="center" vertical="top"/>
    </xf>
    <xf numFmtId="0" fontId="0" fillId="3" borderId="0" xfId="0" applyFill="1" applyAlignment="1">
      <alignment vertical="top"/>
    </xf>
    <xf numFmtId="0" fontId="26" fillId="0" borderId="15" xfId="0" applyFont="1" applyBorder="1" applyAlignment="1">
      <alignment vertical="center" wrapText="1"/>
    </xf>
    <xf numFmtId="0" fontId="26" fillId="0" borderId="15" xfId="0" applyFont="1" applyBorder="1" applyAlignment="1">
      <alignment horizontal="left" vertical="center"/>
    </xf>
    <xf numFmtId="0" fontId="0" fillId="3" borderId="6" xfId="0" applyFill="1" applyBorder="1"/>
    <xf numFmtId="0" fontId="0" fillId="3" borderId="11" xfId="0" applyFill="1" applyBorder="1"/>
    <xf numFmtId="0" fontId="0" fillId="3" borderId="12" xfId="0" applyFill="1" applyBorder="1"/>
    <xf numFmtId="0" fontId="0" fillId="5" borderId="0" xfId="0" applyFill="1"/>
    <xf numFmtId="0" fontId="31" fillId="0" borderId="0" xfId="0" applyFont="1"/>
    <xf numFmtId="0" fontId="0" fillId="5" borderId="15" xfId="0" applyFill="1" applyBorder="1"/>
    <xf numFmtId="0" fontId="0" fillId="5" borderId="17" xfId="0" applyFill="1" applyBorder="1"/>
    <xf numFmtId="0" fontId="0" fillId="5" borderId="16" xfId="0" applyFill="1" applyBorder="1"/>
    <xf numFmtId="0" fontId="0" fillId="0" borderId="0" xfId="0" applyAlignment="1">
      <alignment vertical="top"/>
    </xf>
    <xf numFmtId="0" fontId="0" fillId="0" borderId="0" xfId="0" applyAlignment="1">
      <alignment vertical="top"/>
      <extLst>
        <ext xmlns:xfpb="http://schemas.microsoft.com/office/spreadsheetml/2022/featurepropertybag" uri="{C7286773-470A-42A8-94C5-96B5CB345126}">
          <xfpb:xfComplement i="0"/>
        </ext>
      </extLst>
    </xf>
    <xf numFmtId="0" fontId="0" fillId="0" borderId="45" xfId="0" applyBorder="1" applyAlignment="1">
      <alignment horizontal="center" vertical="center" wrapText="1"/>
    </xf>
    <xf numFmtId="0" fontId="5" fillId="0" borderId="25" xfId="0" applyFont="1" applyBorder="1">
      <extLst>
        <ext xmlns:xfpb="http://schemas.microsoft.com/office/spreadsheetml/2022/featurepropertybag" uri="{C7286773-470A-42A8-94C5-96B5CB345126}">
          <xfpb:xfComplement i="0"/>
        </ext>
      </extLst>
    </xf>
    <xf numFmtId="0" fontId="5" fillId="0" borderId="26" xfId="0" applyFont="1" applyBorder="1"/>
    <xf numFmtId="0" fontId="2" fillId="0" borderId="0" xfId="0" applyFont="1" applyAlignment="1">
      <alignment horizontal="center" vertical="center" wrapText="1"/>
    </xf>
    <xf numFmtId="0" fontId="0" fillId="0" borderId="25" xfId="0" applyBorder="1" applyAlignment="1">
      <alignment vertical="center"/>
    </xf>
    <xf numFmtId="0" fontId="0" fillId="5" borderId="0" xfId="0" applyFill="1" applyAlignment="1">
      <alignment horizontal="center" vertical="center"/>
    </xf>
    <xf numFmtId="0" fontId="0" fillId="0" borderId="21" xfId="0" applyBorder="1" applyAlignment="1">
      <alignment horizontal="center" vertical="center"/>
    </xf>
    <xf numFmtId="0" fontId="0" fillId="5" borderId="17" xfId="0" applyFill="1" applyBorder="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2" fillId="0" borderId="25" xfId="0" applyFont="1" applyBorder="1" applyAlignment="1">
      <alignment horizontal="center" vertical="center" wrapText="1"/>
    </xf>
    <xf numFmtId="0" fontId="0" fillId="0" borderId="25" xfId="0" applyBorder="1" applyAlignment="1">
      <alignment horizontal="center" vertical="center"/>
    </xf>
    <xf numFmtId="0" fontId="2" fillId="0" borderId="25" xfId="0" applyFont="1" applyBorder="1" applyAlignment="1">
      <alignment horizontal="center" vertical="center"/>
    </xf>
    <xf numFmtId="0" fontId="0" fillId="0" borderId="25" xfId="0" applyBorder="1" applyAlignment="1">
      <alignment horizontal="center" vertical="center" wrapText="1"/>
    </xf>
    <xf numFmtId="0" fontId="10" fillId="0" borderId="0" xfId="0" applyFont="1" applyAlignment="1">
      <alignment horizontal="center" vertical="center"/>
    </xf>
    <xf numFmtId="0" fontId="5" fillId="0" borderId="0" xfId="0" applyFont="1" applyAlignment="1">
      <alignment horizontal="center" vertical="center" wrapText="1"/>
    </xf>
    <xf numFmtId="0" fontId="0" fillId="3" borderId="0" xfId="0" applyFill="1" applyAlignment="1">
      <alignment horizontal="center" vertical="center"/>
    </xf>
    <xf numFmtId="0" fontId="0" fillId="0" borderId="27" xfId="0" applyBorder="1" applyAlignment="1">
      <alignment horizontal="center" vertical="center" wrapText="1"/>
    </xf>
    <xf numFmtId="0" fontId="30" fillId="0" borderId="16" xfId="1" applyBorder="1" applyAlignment="1">
      <alignment horizontal="center" vertical="center" wrapText="1"/>
    </xf>
    <xf numFmtId="0" fontId="0" fillId="0" borderId="16" xfId="0" applyBorder="1" applyAlignment="1">
      <alignment horizontal="center" vertical="center" wrapText="1"/>
    </xf>
    <xf numFmtId="0" fontId="30" fillId="0" borderId="16" xfId="1" applyBorder="1" applyAlignment="1">
      <alignment horizontal="center" vertical="center"/>
    </xf>
    <xf numFmtId="0" fontId="26" fillId="2" borderId="0" xfId="0" applyFont="1" applyFill="1" applyAlignment="1">
      <alignment horizontal="center" vertical="center"/>
    </xf>
    <xf numFmtId="0" fontId="19" fillId="0" borderId="0" xfId="0" applyFont="1"/>
    <xf numFmtId="0" fontId="26" fillId="4" borderId="1" xfId="0" applyFont="1" applyFill="1" applyBorder="1" applyAlignment="1">
      <alignment horizontal="center" vertical="center"/>
    </xf>
    <xf numFmtId="0" fontId="2" fillId="0" borderId="3" xfId="0" applyFont="1" applyBorder="1" applyAlignment="1">
      <alignment horizontal="center"/>
    </xf>
    <xf numFmtId="0" fontId="25" fillId="2" borderId="1" xfId="0" applyFont="1" applyFill="1" applyBorder="1" applyAlignment="1">
      <alignment vertical="center" textRotation="90"/>
    </xf>
    <xf numFmtId="0" fontId="26" fillId="4" borderId="0" xfId="0" applyFont="1" applyFill="1" applyAlignment="1">
      <alignment horizontal="center" vertical="center" wrapText="1"/>
    </xf>
    <xf numFmtId="0" fontId="0" fillId="0" borderId="10" xfId="0" applyBorder="1"/>
    <xf numFmtId="0" fontId="26" fillId="4" borderId="0" xfId="0" applyFont="1" applyFill="1" applyAlignment="1">
      <alignment horizontal="center" vertical="center"/>
    </xf>
    <xf numFmtId="0" fontId="26" fillId="4" borderId="21" xfId="0" applyFont="1" applyFill="1" applyBorder="1" applyAlignment="1">
      <alignment horizontal="center" vertical="center"/>
    </xf>
    <xf numFmtId="0" fontId="18" fillId="0" borderId="39" xfId="0" applyFont="1" applyBorder="1" applyAlignment="1">
      <alignment horizontal="center"/>
    </xf>
    <xf numFmtId="0" fontId="25" fillId="0" borderId="0" xfId="0" applyFont="1" applyAlignment="1">
      <alignment vertical="center" textRotation="90" wrapText="1"/>
    </xf>
    <xf numFmtId="0" fontId="0" fillId="0" borderId="4" xfId="0" applyBorder="1" applyAlignment="1">
      <alignment horizontal="center" vertical="center" wrapText="1"/>
    </xf>
    <xf numFmtId="0" fontId="33" fillId="6" borderId="1" xfId="0" applyFont="1" applyFill="1" applyBorder="1" applyAlignment="1">
      <alignment horizontal="center" vertical="center" wrapText="1"/>
    </xf>
    <xf numFmtId="0" fontId="33" fillId="0" borderId="4" xfId="0" applyFont="1" applyBorder="1" applyAlignment="1">
      <alignment horizontal="center" vertical="center" wrapText="1"/>
    </xf>
    <xf numFmtId="0" fontId="32" fillId="6" borderId="48" xfId="0" applyFont="1" applyFill="1" applyBorder="1" applyAlignment="1">
      <alignment horizontal="center" vertical="center" wrapText="1"/>
    </xf>
    <xf numFmtId="0" fontId="32" fillId="6" borderId="47"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32" fillId="0" borderId="4" xfId="0" applyFont="1" applyBorder="1" applyAlignment="1">
      <alignment horizontal="center" vertical="center" wrapText="1"/>
    </xf>
    <xf numFmtId="0" fontId="33" fillId="6" borderId="11" xfId="0" applyFont="1" applyFill="1" applyBorder="1" applyAlignment="1">
      <alignment horizontal="center" vertical="center" wrapText="1"/>
    </xf>
    <xf numFmtId="0" fontId="33" fillId="6" borderId="47" xfId="0" applyFont="1" applyFill="1" applyBorder="1" applyAlignment="1">
      <alignment horizontal="center" vertical="center" wrapText="1"/>
    </xf>
    <xf numFmtId="0" fontId="32" fillId="6" borderId="7" xfId="0" applyFont="1" applyFill="1" applyBorder="1" applyAlignment="1">
      <alignment horizontal="center" vertical="center" wrapText="1"/>
    </xf>
    <xf numFmtId="0" fontId="34" fillId="6" borderId="47" xfId="0" applyFont="1" applyFill="1" applyBorder="1" applyAlignment="1">
      <alignment horizontal="center" vertical="center" wrapText="1"/>
    </xf>
    <xf numFmtId="0" fontId="35" fillId="6" borderId="47" xfId="0" applyFont="1" applyFill="1" applyBorder="1" applyAlignment="1">
      <alignment horizontal="center" vertical="center" wrapText="1"/>
    </xf>
    <xf numFmtId="0" fontId="30" fillId="7" borderId="1" xfId="1" applyFill="1" applyBorder="1" applyAlignment="1">
      <alignment horizontal="center" vertical="center" wrapText="1"/>
    </xf>
    <xf numFmtId="0" fontId="26" fillId="7" borderId="1" xfId="0" applyFont="1" applyFill="1" applyBorder="1" applyAlignment="1">
      <alignment horizontal="center" vertical="center" wrapText="1"/>
    </xf>
    <xf numFmtId="0" fontId="26" fillId="0" borderId="0" xfId="0" applyFont="1" applyAlignment="1">
      <alignment horizontal="center" vertical="center" wrapText="1"/>
    </xf>
    <xf numFmtId="0" fontId="0" fillId="7" borderId="1" xfId="0" applyFill="1" applyBorder="1" applyAlignment="1">
      <alignment horizontal="center" vertical="center" wrapText="1"/>
    </xf>
    <xf numFmtId="0" fontId="0" fillId="7" borderId="2" xfId="0" applyFill="1" applyBorder="1" applyAlignment="1">
      <alignment horizontal="center" vertical="center" wrapText="1"/>
    </xf>
    <xf numFmtId="0" fontId="26" fillId="0" borderId="4" xfId="0" applyFont="1" applyBorder="1" applyAlignment="1">
      <alignment horizontal="center" vertical="center" wrapText="1"/>
    </xf>
    <xf numFmtId="0" fontId="30" fillId="7" borderId="3" xfId="1" applyFill="1" applyBorder="1" applyAlignment="1">
      <alignment horizontal="center" vertical="center" wrapText="1"/>
    </xf>
    <xf numFmtId="0" fontId="26" fillId="7" borderId="3" xfId="0" applyFont="1" applyFill="1" applyBorder="1" applyAlignment="1">
      <alignment horizontal="center" vertical="center" wrapText="1"/>
    </xf>
    <xf numFmtId="0" fontId="32" fillId="6" borderId="46" xfId="0" applyFont="1" applyFill="1" applyBorder="1" applyAlignment="1">
      <alignment horizontal="center" vertical="center" wrapText="1"/>
    </xf>
    <xf numFmtId="0" fontId="32" fillId="6" borderId="49" xfId="0" applyFont="1" applyFill="1" applyBorder="1" applyAlignment="1">
      <alignment horizontal="center" vertical="center" wrapText="1"/>
    </xf>
    <xf numFmtId="0" fontId="32" fillId="0" borderId="0" xfId="0" applyFont="1" applyAlignment="1">
      <alignment horizontal="center" vertical="center" wrapText="1"/>
    </xf>
    <xf numFmtId="0" fontId="32" fillId="6" borderId="4" xfId="0" applyFont="1" applyFill="1" applyBorder="1" applyAlignment="1">
      <alignment horizontal="center" vertical="center" wrapText="1"/>
    </xf>
    <xf numFmtId="0" fontId="32" fillId="6" borderId="30" xfId="0" applyFont="1" applyFill="1" applyBorder="1" applyAlignment="1">
      <alignment horizontal="center" vertical="center" wrapText="1"/>
    </xf>
    <xf numFmtId="0" fontId="32" fillId="0" borderId="8" xfId="0" applyFont="1" applyBorder="1" applyAlignment="1">
      <alignment horizontal="center" vertical="center" wrapText="1"/>
    </xf>
    <xf numFmtId="0" fontId="10" fillId="0" borderId="55" xfId="0" applyFont="1" applyBorder="1" applyAlignment="1">
      <alignment horizontal="center" wrapText="1"/>
    </xf>
    <xf numFmtId="0" fontId="2" fillId="0" borderId="55" xfId="0" applyFont="1" applyBorder="1" applyAlignment="1">
      <alignment wrapText="1"/>
    </xf>
    <xf numFmtId="0" fontId="35" fillId="6" borderId="30" xfId="0" applyFont="1" applyFill="1" applyBorder="1" applyAlignment="1">
      <alignment horizontal="center" vertical="center" wrapText="1"/>
    </xf>
    <xf numFmtId="0" fontId="32" fillId="0" borderId="10" xfId="0" applyFont="1" applyBorder="1" applyAlignment="1">
      <alignment horizontal="center" vertical="center" wrapText="1"/>
    </xf>
    <xf numFmtId="0" fontId="0" fillId="0" borderId="49" xfId="0" applyBorder="1"/>
    <xf numFmtId="0" fontId="0" fillId="0" borderId="49" xfId="0" applyBorder="1" applyAlignment="1">
      <alignment horizontal="right"/>
      <extLst>
        <ext xmlns:xfpb="http://schemas.microsoft.com/office/spreadsheetml/2022/featurepropertybag" uri="{C7286773-470A-42A8-94C5-96B5CB345126}">
          <xfpb:xfComplement i="0"/>
        </ext>
      </extLst>
    </xf>
    <xf numFmtId="0" fontId="1" fillId="9" borderId="0" xfId="0" applyFont="1" applyFill="1" applyAlignment="1">
      <alignment wrapText="1"/>
    </xf>
    <xf numFmtId="0" fontId="1" fillId="0" borderId="1" xfId="0" applyFont="1" applyBorder="1" applyAlignment="1">
      <alignment wrapText="1"/>
    </xf>
    <xf numFmtId="0" fontId="0" fillId="10" borderId="0" xfId="0" applyFill="1" applyAlignment="1">
      <alignment wrapText="1"/>
    </xf>
    <xf numFmtId="0" fontId="0" fillId="0" borderId="0" xfId="0" applyAlignment="1">
      <alignment horizontal="left" wrapText="1"/>
    </xf>
    <xf numFmtId="0" fontId="33" fillId="6" borderId="11" xfId="0" applyFont="1" applyFill="1" applyBorder="1" applyAlignment="1">
      <alignment horizontal="left" vertical="center" wrapText="1"/>
    </xf>
    <xf numFmtId="0" fontId="26" fillId="7" borderId="1" xfId="0" applyFont="1" applyFill="1" applyBorder="1" applyAlignment="1">
      <alignment horizontal="left" vertical="center" wrapText="1"/>
    </xf>
    <xf numFmtId="0" fontId="26" fillId="7" borderId="11" xfId="0" applyFont="1" applyFill="1" applyBorder="1" applyAlignment="1">
      <alignment horizontal="left" vertical="center" wrapText="1"/>
    </xf>
    <xf numFmtId="0" fontId="0" fillId="3" borderId="0" xfId="0" applyFill="1" applyAlignment="1">
      <alignment horizontal="left"/>
    </xf>
    <xf numFmtId="0" fontId="8" fillId="0" borderId="0" xfId="0" applyFont="1" applyAlignment="1">
      <alignment wrapText="1"/>
    </xf>
    <xf numFmtId="0" fontId="26" fillId="4" borderId="1" xfId="0" applyFont="1" applyFill="1" applyBorder="1" applyAlignment="1">
      <alignment horizontal="center" vertical="center" wrapText="1"/>
    </xf>
    <xf numFmtId="0" fontId="2" fillId="0" borderId="3" xfId="0" applyFont="1" applyBorder="1" applyAlignment="1">
      <alignment horizontal="center" wrapText="1"/>
    </xf>
    <xf numFmtId="0" fontId="0" fillId="3" borderId="0" xfId="0" applyFill="1" applyAlignment="1">
      <alignment horizontal="center" vertical="center" wrapText="1"/>
    </xf>
    <xf numFmtId="0" fontId="0" fillId="3" borderId="0" xfId="0" applyFill="1" applyAlignment="1">
      <alignment horizontal="center" vertical="top" wrapText="1"/>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37" fillId="0" borderId="0" xfId="0" applyFont="1"/>
    <xf numFmtId="0" fontId="0" fillId="0" borderId="0" xfId="0" applyAlignment="1">
      <alignment vertical="top" wrapText="1"/>
    </xf>
    <xf numFmtId="0" fontId="25" fillId="2" borderId="3" xfId="0" applyFont="1" applyFill="1" applyBorder="1" applyAlignment="1">
      <alignment horizontal="center" vertical="center" textRotation="90"/>
    </xf>
    <xf numFmtId="0" fontId="0" fillId="0" borderId="10" xfId="0" applyBorder="1" applyAlignment="1">
      <alignment horizontal="center" vertical="center" wrapText="1"/>
    </xf>
    <xf numFmtId="0" fontId="12" fillId="0" borderId="21" xfId="0" applyFont="1" applyBorder="1" applyAlignment="1">
      <alignment wrapText="1"/>
    </xf>
    <xf numFmtId="0" fontId="9"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horizontal="right" vertical="top" wrapText="1"/>
      <extLst>
        <ext xmlns:xfpb="http://schemas.microsoft.com/office/spreadsheetml/2022/featurepropertybag" uri="{C7286773-470A-42A8-94C5-96B5CB345126}">
          <xfpb:xfComplement i="0"/>
        </ext>
      </extLst>
    </xf>
    <xf numFmtId="0" fontId="5" fillId="0" borderId="0" xfId="0" applyFont="1" applyAlignment="1">
      <alignment vertical="top" wrapText="1"/>
    </xf>
    <xf numFmtId="0" fontId="5" fillId="0" borderId="0" xfId="0" applyFont="1" applyAlignment="1">
      <alignment horizontal="right" wrapText="1"/>
      <extLst>
        <ext xmlns:xfpb="http://schemas.microsoft.com/office/spreadsheetml/2022/featurepropertybag" uri="{C7286773-470A-42A8-94C5-96B5CB345126}">
          <xfpb:xfComplement i="0"/>
        </ext>
      </extLst>
    </xf>
    <xf numFmtId="0" fontId="5" fillId="0" borderId="0" xfId="0" applyFont="1" applyAlignment="1">
      <alignment horizontal="right" vertical="center" wrapText="1"/>
      <extLst>
        <ext xmlns:xfpb="http://schemas.microsoft.com/office/spreadsheetml/2022/featurepropertybag" uri="{C7286773-470A-42A8-94C5-96B5CB345126}">
          <xfpb:xfComplement i="0"/>
        </ext>
      </extLst>
    </xf>
    <xf numFmtId="0" fontId="5" fillId="0" borderId="0" xfId="0" applyFont="1" applyAlignment="1">
      <alignment vertical="center" wrapText="1"/>
    </xf>
    <xf numFmtId="0" fontId="9" fillId="0" borderId="0" xfId="0" applyFont="1" applyAlignment="1">
      <alignment horizontal="right" wrapText="1"/>
      <extLst>
        <ext xmlns:xfpb="http://schemas.microsoft.com/office/spreadsheetml/2022/featurepropertybag" uri="{C7286773-470A-42A8-94C5-96B5CB345126}">
          <xfpb:xfComplement i="0"/>
        </ext>
      </extLst>
    </xf>
    <xf numFmtId="14" fontId="5" fillId="0" borderId="0" xfId="0" applyNumberFormat="1" applyFont="1" applyAlignment="1">
      <alignment wrapText="1"/>
    </xf>
    <xf numFmtId="0" fontId="12" fillId="0" borderId="0" xfId="0" applyFont="1" applyAlignment="1">
      <alignment horizontal="center" wrapText="1"/>
    </xf>
    <xf numFmtId="0" fontId="12" fillId="0" borderId="0" xfId="0" applyFont="1" applyAlignment="1">
      <alignment wrapText="1"/>
    </xf>
    <xf numFmtId="0" fontId="9" fillId="0" borderId="0" xfId="0" applyFont="1" applyAlignment="1">
      <alignment vertical="top" wrapText="1"/>
    </xf>
    <xf numFmtId="1" fontId="5" fillId="0" borderId="0" xfId="0" applyNumberFormat="1" applyFont="1" applyAlignment="1">
      <alignment horizontal="center" wrapText="1"/>
    </xf>
    <xf numFmtId="0" fontId="9" fillId="0" borderId="0" xfId="0" applyFont="1" applyAlignment="1">
      <alignment horizontal="right" vertical="top" wrapText="1"/>
    </xf>
    <xf numFmtId="0" fontId="13" fillId="0" borderId="0" xfId="0" applyFont="1" applyAlignment="1">
      <alignment wrapText="1"/>
    </xf>
    <xf numFmtId="0" fontId="26" fillId="7" borderId="3" xfId="0" applyFont="1" applyFill="1" applyBorder="1" applyAlignment="1">
      <alignment horizontal="left" vertical="center" wrapText="1"/>
    </xf>
    <xf numFmtId="0" fontId="14" fillId="0" borderId="0" xfId="0" applyFont="1" applyAlignment="1">
      <alignment horizontal="center" wrapText="1"/>
    </xf>
    <xf numFmtId="0" fontId="15" fillId="0" borderId="0" xfId="0" applyFont="1" applyAlignment="1">
      <alignment horizontal="center" wrapText="1"/>
    </xf>
    <xf numFmtId="0" fontId="9" fillId="0" borderId="0" xfId="0" applyFont="1" applyAlignment="1">
      <alignment horizontal="right" wrapText="1"/>
    </xf>
    <xf numFmtId="2" fontId="13" fillId="0" borderId="0" xfId="0" applyNumberFormat="1" applyFont="1" applyAlignment="1">
      <alignment wrapText="1"/>
    </xf>
    <xf numFmtId="0" fontId="0" fillId="3" borderId="24" xfId="0" applyFill="1" applyBorder="1" applyAlignment="1">
      <alignment horizontal="left"/>
    </xf>
    <xf numFmtId="0" fontId="0" fillId="3" borderId="25" xfId="0" applyFill="1" applyBorder="1"/>
    <xf numFmtId="0" fontId="0" fillId="3" borderId="26" xfId="0" applyFill="1" applyBorder="1"/>
    <xf numFmtId="0" fontId="0" fillId="6" borderId="0" xfId="0" applyFill="1"/>
    <xf numFmtId="0" fontId="23" fillId="6" borderId="0" xfId="0" applyFont="1" applyFill="1" applyAlignment="1">
      <alignment vertical="center"/>
    </xf>
    <xf numFmtId="0" fontId="20" fillId="0" borderId="0" xfId="0" applyFont="1" applyAlignment="1">
      <alignment wrapText="1"/>
    </xf>
    <xf numFmtId="0" fontId="25" fillId="0" borderId="1" xfId="0" applyFont="1" applyBorder="1" applyAlignment="1">
      <alignment horizontal="center" vertical="center" textRotation="90" wrapText="1"/>
    </xf>
    <xf numFmtId="0" fontId="0" fillId="0" borderId="1" xfId="0" applyBorder="1" applyAlignment="1">
      <alignment horizontal="center"/>
    </xf>
    <xf numFmtId="0" fontId="1" fillId="0" borderId="0" xfId="0" applyFont="1" applyAlignment="1">
      <alignment vertical="top"/>
    </xf>
    <xf numFmtId="0" fontId="1" fillId="0" borderId="0" xfId="0" applyFont="1" applyAlignment="1">
      <alignment horizontal="center" vertical="top" wrapText="1"/>
    </xf>
    <xf numFmtId="0" fontId="0" fillId="3" borderId="17" xfId="0" applyFill="1" applyBorder="1"/>
    <xf numFmtId="0" fontId="0" fillId="0" borderId="0" xfId="0" applyAlignment="1">
      <alignment horizontal="left"/>
    </xf>
    <xf numFmtId="0" fontId="7" fillId="0" borderId="0" xfId="0" applyFont="1" applyAlignment="1">
      <alignment vertical="center" wrapText="1"/>
    </xf>
    <xf numFmtId="0" fontId="0" fillId="0" borderId="0" xfId="0" applyAlignment="1">
      <alignment horizontal="right"/>
    </xf>
    <xf numFmtId="0" fontId="9" fillId="0" borderId="18" xfId="0" applyFont="1" applyBorder="1" applyAlignment="1">
      <alignment horizontal="center" vertical="center"/>
    </xf>
    <xf numFmtId="0" fontId="39" fillId="0" borderId="0" xfId="0" applyFont="1"/>
    <xf numFmtId="0" fontId="0" fillId="0" borderId="21" xfId="0" applyBorder="1" applyAlignment="1">
      <alignment horizontal="center"/>
    </xf>
    <xf numFmtId="0" fontId="0" fillId="0" borderId="10" xfId="0" applyBorder="1">
      <extLst>
        <ext xmlns:xfpb="http://schemas.microsoft.com/office/spreadsheetml/2022/featurepropertybag" uri="{C7286773-470A-42A8-94C5-96B5CB345126}">
          <xfpb:xfComplement i="0"/>
        </ext>
      </extLst>
    </xf>
    <xf numFmtId="0" fontId="9" fillId="0" borderId="0" xfId="0" applyFont="1"/>
    <xf numFmtId="0" fontId="9" fillId="0" borderId="13" xfId="0" applyFont="1" applyBorder="1" applyAlignment="1">
      <alignment horizontal="center" vertical="center" textRotation="90" wrapText="1"/>
    </xf>
    <xf numFmtId="0" fontId="9" fillId="0" borderId="0" xfId="0" applyFont="1" applyAlignment="1">
      <alignment horizontal="center" vertical="center" textRotation="90" wrapText="1"/>
    </xf>
    <xf numFmtId="0" fontId="9" fillId="0" borderId="21" xfId="0" applyFont="1" applyBorder="1" applyAlignment="1">
      <alignment horizontal="center" vertical="center"/>
    </xf>
    <xf numFmtId="0" fontId="9" fillId="0" borderId="0" xfId="0" applyFont="1" applyAlignment="1">
      <alignment horizontal="center" vertical="center"/>
    </xf>
    <xf numFmtId="0" fontId="11" fillId="3" borderId="0" xfId="0" applyFont="1" applyFill="1" applyAlignment="1">
      <alignment horizontal="center" vertical="center"/>
    </xf>
    <xf numFmtId="0" fontId="0" fillId="0" borderId="68" xfId="0" applyBorder="1"/>
    <xf numFmtId="0" fontId="0" fillId="0" borderId="25" xfId="0" applyBorder="1" applyAlignment="1">
      <alignment horizontal="center"/>
    </xf>
    <xf numFmtId="0" fontId="6" fillId="8" borderId="1" xfId="0" applyFont="1" applyFill="1" applyBorder="1" applyAlignment="1">
      <alignment horizontal="center"/>
    </xf>
    <xf numFmtId="0" fontId="6" fillId="8" borderId="3" xfId="0" applyFont="1" applyFill="1" applyBorder="1" applyAlignment="1">
      <alignment horizontal="center"/>
    </xf>
    <xf numFmtId="0" fontId="0" fillId="0" borderId="6" xfId="0" applyBorder="1">
      <extLst>
        <ext xmlns:xfpb="http://schemas.microsoft.com/office/spreadsheetml/2022/featurepropertybag" uri="{C7286773-470A-42A8-94C5-96B5CB345126}">
          <xfpb:xfComplement i="0"/>
        </ext>
      </extLst>
    </xf>
    <xf numFmtId="0" fontId="0" fillId="0" borderId="6" xfId="0" applyBorder="1"/>
    <xf numFmtId="0" fontId="5" fillId="0" borderId="6" xfId="0" applyFont="1" applyBorder="1" applyAlignment="1">
      <alignment wrapText="1"/>
    </xf>
    <xf numFmtId="0" fontId="10" fillId="0" borderId="6" xfId="0" applyFont="1" applyBorder="1" applyAlignment="1">
      <alignment horizontal="center" vertical="center"/>
    </xf>
    <xf numFmtId="0" fontId="0" fillId="0" borderId="12" xfId="0" applyBorder="1"/>
    <xf numFmtId="0" fontId="5" fillId="0" borderId="8" xfId="0" applyFont="1" applyBorder="1" applyAlignment="1">
      <alignment vertical="center" wrapText="1"/>
    </xf>
    <xf numFmtId="0" fontId="0" fillId="0" borderId="7" xfId="0" applyBorder="1"/>
    <xf numFmtId="0" fontId="0" fillId="0" borderId="7" xfId="0" applyBorder="1" applyAlignment="1">
      <alignment horizontal="center" vertical="center"/>
    </xf>
    <xf numFmtId="0" fontId="0" fillId="0" borderId="13" xfId="0" applyBorder="1"/>
    <xf numFmtId="0" fontId="0" fillId="0" borderId="6" xfId="0" applyBorder="1" applyAlignment="1">
      <alignment vertical="center"/>
    </xf>
    <xf numFmtId="0" fontId="0" fillId="0" borderId="8" xfId="0" applyBorder="1"/>
    <xf numFmtId="0" fontId="5" fillId="0" borderId="7" xfId="0" applyFont="1" applyBorder="1"/>
    <xf numFmtId="0" fontId="7" fillId="0" borderId="6" xfId="0" applyFont="1" applyBorder="1" applyAlignment="1">
      <alignment vertical="center"/>
    </xf>
    <xf numFmtId="0" fontId="5" fillId="0" borderId="6" xfId="0" applyFont="1" applyBorder="1"/>
    <xf numFmtId="0" fontId="5" fillId="0" borderId="7" xfId="0" applyFont="1" applyBorder="1">
      <extLst>
        <ext xmlns:xfpb="http://schemas.microsoft.com/office/spreadsheetml/2022/featurepropertybag" uri="{C7286773-470A-42A8-94C5-96B5CB345126}">
          <xfpb:xfComplement i="0"/>
        </ext>
      </extLst>
    </xf>
    <xf numFmtId="0" fontId="12" fillId="0" borderId="12" xfId="0" applyFont="1" applyBorder="1" applyAlignment="1">
      <alignment horizontal="center" wrapText="1"/>
    </xf>
    <xf numFmtId="0" fontId="9" fillId="0" borderId="8" xfId="0" applyFont="1" applyBorder="1" applyAlignment="1">
      <alignment wrapText="1"/>
    </xf>
    <xf numFmtId="0" fontId="10" fillId="0" borderId="8" xfId="0" applyFont="1" applyBorder="1" applyAlignment="1">
      <alignment horizontal="center"/>
    </xf>
    <xf numFmtId="0" fontId="0" fillId="0" borderId="7" xfId="0" applyBorder="1" applyAlignment="1">
      <alignment horizontal="right" vertical="center"/>
      <extLst>
        <ext xmlns:xfpb="http://schemas.microsoft.com/office/spreadsheetml/2022/featurepropertybag" uri="{C7286773-470A-42A8-94C5-96B5CB345126}">
          <xfpb:xfComplement i="0"/>
        </ext>
      </extLst>
    </xf>
    <xf numFmtId="0" fontId="0" fillId="3" borderId="6" xfId="0" applyFill="1" applyBorder="1" applyAlignment="1">
      <alignment horizontal="center"/>
    </xf>
    <xf numFmtId="0" fontId="0" fillId="5" borderId="0" xfId="0" applyFill="1" applyAlignment="1">
      <alignment horizontal="center"/>
    </xf>
    <xf numFmtId="0" fontId="0" fillId="5" borderId="17" xfId="0" applyFill="1" applyBorder="1" applyAlignment="1">
      <alignment horizontal="center"/>
    </xf>
    <xf numFmtId="0" fontId="6" fillId="8" borderId="49" xfId="0" applyFont="1" applyFill="1" applyBorder="1" applyAlignment="1">
      <alignment horizontal="center"/>
    </xf>
    <xf numFmtId="0" fontId="6" fillId="8" borderId="11" xfId="0" applyFont="1" applyFill="1" applyBorder="1" applyAlignment="1">
      <alignment horizontal="center" wrapText="1"/>
    </xf>
    <xf numFmtId="0" fontId="13" fillId="0" borderId="21" xfId="0" applyFont="1" applyBorder="1" applyAlignment="1">
      <alignment horizontal="center" vertical="center"/>
    </xf>
    <xf numFmtId="0" fontId="13" fillId="5" borderId="17" xfId="0" applyFont="1" applyFill="1" applyBorder="1"/>
    <xf numFmtId="0" fontId="6" fillId="8" borderId="6" xfId="0" applyFont="1" applyFill="1" applyBorder="1" applyAlignment="1">
      <alignment horizontal="center"/>
    </xf>
    <xf numFmtId="0" fontId="0" fillId="0" borderId="6" xfId="0" applyBorder="1" applyAlignment="1">
      <alignment vertical="center"/>
      <extLst>
        <ext xmlns:xfpb="http://schemas.microsoft.com/office/spreadsheetml/2022/featurepropertybag" uri="{C7286773-470A-42A8-94C5-96B5CB345126}">
          <xfpb:xfComplement i="0"/>
        </ext>
      </extLst>
    </xf>
    <xf numFmtId="0" fontId="0" fillId="0" borderId="0" xfId="0" applyAlignment="1">
      <alignment vertical="center"/>
      <extLst>
        <ext xmlns:xfpb="http://schemas.microsoft.com/office/spreadsheetml/2022/featurepropertybag" uri="{C7286773-470A-42A8-94C5-96B5CB345126}">
          <xfpb:xfComplement i="0"/>
        </ext>
      </extLst>
    </xf>
    <xf numFmtId="0" fontId="6" fillId="8" borderId="46" xfId="0" applyFont="1" applyFill="1" applyBorder="1" applyAlignment="1">
      <alignment horizontal="center"/>
    </xf>
    <xf numFmtId="0" fontId="5" fillId="0" borderId="11" xfId="0" applyFont="1" applyBorder="1">
      <extLst>
        <ext xmlns:xfpb="http://schemas.microsoft.com/office/spreadsheetml/2022/featurepropertybag" uri="{C7286773-470A-42A8-94C5-96B5CB345126}">
          <xfpb:xfComplement i="0"/>
        </ext>
      </extLst>
    </xf>
    <xf numFmtId="0" fontId="5" fillId="0" borderId="10" xfId="0" applyFont="1" applyBorder="1">
      <extLst>
        <ext xmlns:xfpb="http://schemas.microsoft.com/office/spreadsheetml/2022/featurepropertybag" uri="{C7286773-470A-42A8-94C5-96B5CB345126}">
          <xfpb:xfComplement i="0"/>
        </ext>
      </extLst>
    </xf>
    <xf numFmtId="0" fontId="6" fillId="8" borderId="6" xfId="0" applyFont="1" applyFill="1" applyBorder="1" applyAlignment="1">
      <alignment horizontal="center" wrapText="1"/>
    </xf>
    <xf numFmtId="0" fontId="6" fillId="8" borderId="49" xfId="0" applyFont="1" applyFill="1" applyBorder="1" applyAlignment="1">
      <alignment horizontal="center" wrapText="1"/>
    </xf>
    <xf numFmtId="0" fontId="6" fillId="8" borderId="12" xfId="0" applyFont="1" applyFill="1" applyBorder="1" applyAlignment="1">
      <alignment horizontal="center"/>
    </xf>
    <xf numFmtId="0" fontId="0" fillId="6" borderId="0" xfId="0" applyFill="1" applyAlignment="1">
      <alignment horizontal="right"/>
    </xf>
    <xf numFmtId="0" fontId="1" fillId="0" borderId="0" xfId="0" applyFont="1" applyAlignment="1">
      <alignment horizontal="right" vertical="top" wrapText="1"/>
    </xf>
    <xf numFmtId="0" fontId="1" fillId="0" borderId="0" xfId="0" applyFont="1" applyAlignment="1">
      <alignment horizontal="right" vertical="top"/>
    </xf>
    <xf numFmtId="0" fontId="20" fillId="0" borderId="0" xfId="0" applyFont="1" applyAlignment="1">
      <alignment horizontal="right" wrapText="1"/>
    </xf>
    <xf numFmtId="0" fontId="0" fillId="0" borderId="0" xfId="0" applyAlignment="1">
      <alignment horizontal="right" wrapText="1"/>
    </xf>
    <xf numFmtId="0" fontId="0" fillId="6" borderId="0" xfId="0" applyFill="1" applyAlignment="1">
      <alignment horizontal="center" wrapText="1"/>
    </xf>
    <xf numFmtId="0" fontId="23" fillId="6" borderId="0" xfId="0" applyFont="1" applyFill="1"/>
    <xf numFmtId="0" fontId="20" fillId="6" borderId="0" xfId="0" applyFont="1" applyFill="1" applyAlignment="1">
      <alignment horizontal="center" vertical="top" wrapText="1"/>
    </xf>
    <xf numFmtId="0" fontId="38" fillId="11" borderId="12" xfId="0" applyFont="1" applyFill="1" applyBorder="1" applyAlignment="1">
      <alignment vertical="top"/>
    </xf>
    <xf numFmtId="0" fontId="23" fillId="2" borderId="1" xfId="0" applyFont="1" applyFill="1" applyBorder="1" applyAlignment="1" applyProtection="1">
      <alignment horizontal="center"/>
      <protection locked="0"/>
    </xf>
    <xf numFmtId="0" fontId="0" fillId="6" borderId="0" xfId="0" applyFill="1" applyProtection="1">
      <protection locked="0"/>
    </xf>
    <xf numFmtId="0" fontId="22" fillId="6" borderId="0" xfId="0" applyFont="1" applyFill="1"/>
    <xf numFmtId="0" fontId="21" fillId="6" borderId="11" xfId="0" applyFont="1" applyFill="1" applyBorder="1"/>
    <xf numFmtId="0" fontId="21" fillId="6" borderId="10" xfId="0" applyFont="1" applyFill="1" applyBorder="1"/>
    <xf numFmtId="0" fontId="21" fillId="6" borderId="4" xfId="0" applyFont="1" applyFill="1" applyBorder="1"/>
    <xf numFmtId="0" fontId="23" fillId="2" borderId="0" xfId="0" applyFont="1" applyFill="1" applyAlignment="1">
      <alignment horizontal="center" vertical="center" wrapText="1"/>
    </xf>
    <xf numFmtId="0" fontId="0" fillId="2" borderId="0" xfId="0" applyFill="1" applyAlignment="1">
      <alignment horizontal="center" vertical="center" wrapText="1"/>
    </xf>
    <xf numFmtId="0" fontId="20" fillId="2" borderId="0" xfId="0" applyFont="1" applyFill="1" applyAlignment="1">
      <alignment horizontal="center" vertical="center" wrapText="1"/>
    </xf>
    <xf numFmtId="0" fontId="20" fillId="7" borderId="1" xfId="0" applyFont="1" applyFill="1" applyBorder="1" applyAlignment="1">
      <alignment horizontal="center" vertical="center" wrapText="1"/>
    </xf>
    <xf numFmtId="0" fontId="0" fillId="3" borderId="15" xfId="0" applyFill="1" applyBorder="1"/>
    <xf numFmtId="0" fontId="0" fillId="3" borderId="16" xfId="0" applyFill="1" applyBorder="1"/>
    <xf numFmtId="0" fontId="21" fillId="6" borderId="4" xfId="0" applyFont="1" applyFill="1" applyBorder="1" applyAlignment="1">
      <alignment wrapText="1"/>
    </xf>
    <xf numFmtId="0" fontId="40" fillId="0" borderId="0" xfId="0" applyFont="1"/>
    <xf numFmtId="0" fontId="23" fillId="0" borderId="0" xfId="0" applyFont="1" applyAlignment="1">
      <alignment horizontal="center"/>
    </xf>
    <xf numFmtId="0" fontId="0" fillId="16" borderId="30" xfId="0" applyFill="1" applyBorder="1">
      <extLst>
        <ext xmlns:xfpb="http://schemas.microsoft.com/office/spreadsheetml/2022/featurepropertybag" uri="{C7286773-470A-42A8-94C5-96B5CB345126}">
          <xfpb:xfComplement i="0"/>
        </ext>
      </extLst>
    </xf>
    <xf numFmtId="0" fontId="0" fillId="16" borderId="30" xfId="0" applyFill="1" applyBorder="1"/>
    <xf numFmtId="0" fontId="0" fillId="16" borderId="1" xfId="0" applyFill="1" applyBorder="1"/>
    <xf numFmtId="0" fontId="0" fillId="16" borderId="1" xfId="0" applyFill="1" applyBorder="1">
      <extLst>
        <ext xmlns:xfpb="http://schemas.microsoft.com/office/spreadsheetml/2022/featurepropertybag" uri="{C7286773-470A-42A8-94C5-96B5CB345126}">
          <xfpb:xfComplement i="0"/>
        </ext>
      </extLst>
    </xf>
    <xf numFmtId="0" fontId="0" fillId="16" borderId="33" xfId="0" applyFill="1" applyBorder="1"/>
    <xf numFmtId="0" fontId="1" fillId="16" borderId="29" xfId="0" applyFont="1" applyFill="1" applyBorder="1" applyAlignment="1">
      <alignment horizontal="center" vertical="center"/>
    </xf>
    <xf numFmtId="0" fontId="0" fillId="16" borderId="35" xfId="0" applyFill="1" applyBorder="1"/>
    <xf numFmtId="0" fontId="1" fillId="16" borderId="23" xfId="0" applyFont="1" applyFill="1" applyBorder="1" applyAlignment="1">
      <alignment horizontal="center"/>
    </xf>
    <xf numFmtId="0" fontId="0" fillId="16" borderId="36" xfId="0" applyFill="1" applyBorder="1"/>
    <xf numFmtId="0" fontId="41" fillId="14" borderId="4" xfId="0" applyFont="1" applyFill="1" applyBorder="1" applyAlignment="1">
      <alignment horizontal="center" vertical="center" wrapText="1"/>
    </xf>
    <xf numFmtId="0" fontId="41" fillId="15" borderId="25" xfId="0" applyFont="1" applyFill="1" applyBorder="1" applyAlignment="1">
      <alignment horizontal="center" vertical="center" wrapText="1"/>
    </xf>
    <xf numFmtId="0" fontId="41" fillId="15" borderId="26" xfId="0" applyFont="1" applyFill="1" applyBorder="1" applyAlignment="1">
      <alignment horizontal="center" vertical="center" wrapText="1"/>
    </xf>
    <xf numFmtId="0" fontId="32" fillId="6" borderId="3" xfId="0" applyFont="1" applyFill="1" applyBorder="1" applyAlignment="1">
      <alignment vertical="center" wrapText="1"/>
    </xf>
    <xf numFmtId="0" fontId="32" fillId="6" borderId="1" xfId="0" applyFont="1" applyFill="1" applyBorder="1" applyAlignment="1">
      <alignment vertical="center" wrapText="1"/>
    </xf>
    <xf numFmtId="0" fontId="41" fillId="14" borderId="31" xfId="0" applyFont="1" applyFill="1" applyBorder="1" applyAlignment="1">
      <alignment horizontal="center" vertical="center" wrapText="1"/>
    </xf>
    <xf numFmtId="0" fontId="41" fillId="15" borderId="44" xfId="0" applyFont="1" applyFill="1" applyBorder="1" applyAlignment="1">
      <alignment horizontal="center" vertical="center" wrapText="1"/>
    </xf>
    <xf numFmtId="0" fontId="41" fillId="15" borderId="34" xfId="0" applyFont="1" applyFill="1" applyBorder="1" applyAlignment="1">
      <alignment horizontal="center" vertical="center" wrapText="1"/>
    </xf>
    <xf numFmtId="0" fontId="41" fillId="15" borderId="10" xfId="0" applyFont="1" applyFill="1" applyBorder="1" applyAlignment="1">
      <alignment horizontal="center" vertical="center" wrapText="1"/>
    </xf>
    <xf numFmtId="0" fontId="41" fillId="15" borderId="69" xfId="0" applyFont="1" applyFill="1" applyBorder="1" applyAlignment="1">
      <alignment horizontal="center" vertical="center" wrapText="1"/>
    </xf>
    <xf numFmtId="0" fontId="41" fillId="15" borderId="52" xfId="0" applyFont="1" applyFill="1" applyBorder="1" applyAlignment="1">
      <alignment horizontal="center" vertical="center" wrapText="1"/>
    </xf>
    <xf numFmtId="0" fontId="41" fillId="15" borderId="24" xfId="0" applyFont="1" applyFill="1" applyBorder="1" applyAlignment="1">
      <alignment horizontal="center" vertical="center" wrapText="1"/>
    </xf>
    <xf numFmtId="0" fontId="41" fillId="15" borderId="25" xfId="0" applyFont="1" applyFill="1" applyBorder="1" applyAlignment="1">
      <alignment horizontal="left" vertical="center" wrapText="1"/>
    </xf>
    <xf numFmtId="0" fontId="0" fillId="17" borderId="28" xfId="0" applyFill="1" applyBorder="1" applyAlignment="1">
      <alignment vertical="center" wrapText="1"/>
    </xf>
    <xf numFmtId="0" fontId="0" fillId="17" borderId="30" xfId="0" applyFill="1" applyBorder="1" applyAlignment="1">
      <alignment vertical="center" wrapText="1"/>
    </xf>
    <xf numFmtId="0" fontId="20" fillId="17" borderId="30" xfId="0" applyFont="1" applyFill="1" applyBorder="1" applyAlignment="1">
      <alignment horizontal="center" vertical="center" wrapText="1"/>
    </xf>
    <xf numFmtId="0" fontId="0" fillId="17" borderId="30" xfId="0" applyFill="1" applyBorder="1" applyAlignment="1">
      <alignment horizontal="center" vertical="center" wrapText="1"/>
    </xf>
    <xf numFmtId="0" fontId="20" fillId="17" borderId="30" xfId="0" applyFont="1" applyFill="1" applyBorder="1" applyAlignment="1">
      <alignment vertical="center" wrapText="1"/>
    </xf>
    <xf numFmtId="0" fontId="41" fillId="18" borderId="30" xfId="0" applyFont="1" applyFill="1" applyBorder="1" applyAlignment="1">
      <alignment horizontal="center" vertical="center" wrapText="1"/>
    </xf>
    <xf numFmtId="0" fontId="0" fillId="17" borderId="41" xfId="0" applyFill="1" applyBorder="1" applyAlignment="1">
      <alignment vertical="center" wrapText="1"/>
    </xf>
    <xf numFmtId="0" fontId="0" fillId="17" borderId="33" xfId="0" applyFill="1" applyBorder="1" applyAlignment="1">
      <alignment vertical="center" wrapText="1"/>
    </xf>
    <xf numFmtId="0" fontId="20" fillId="17" borderId="33" xfId="0" applyFont="1" applyFill="1" applyBorder="1" applyAlignment="1">
      <alignment horizontal="center" vertical="center" wrapText="1"/>
    </xf>
    <xf numFmtId="0" fontId="0" fillId="17" borderId="33" xfId="0" applyFill="1" applyBorder="1" applyAlignment="1">
      <alignment horizontal="center" vertical="center" wrapText="1"/>
    </xf>
    <xf numFmtId="0" fontId="20" fillId="17" borderId="33" xfId="0" applyFont="1" applyFill="1" applyBorder="1" applyAlignment="1">
      <alignment vertical="center" wrapText="1"/>
    </xf>
    <xf numFmtId="0" fontId="41" fillId="18" borderId="33" xfId="0" applyFont="1" applyFill="1" applyBorder="1" applyAlignment="1">
      <alignment horizontal="center" vertical="center" wrapText="1"/>
    </xf>
    <xf numFmtId="0" fontId="0" fillId="4" borderId="0" xfId="0" applyFill="1">
      <extLst>
        <ext xmlns:xfpb="http://schemas.microsoft.com/office/spreadsheetml/2022/featurepropertybag" uri="{C7286773-470A-42A8-94C5-96B5CB345126}">
          <xfpb:xfComplement i="0"/>
        </ext>
      </extLst>
    </xf>
    <xf numFmtId="0" fontId="0" fillId="4" borderId="0" xfId="0" applyFill="1"/>
    <xf numFmtId="0" fontId="1" fillId="4" borderId="67" xfId="0" applyFont="1" applyFill="1" applyBorder="1" applyAlignment="1">
      <alignment horizontal="center" vertical="center"/>
    </xf>
    <xf numFmtId="0" fontId="0" fillId="4" borderId="5" xfId="0" applyFill="1" applyBorder="1">
      <extLst>
        <ext xmlns:xfpb="http://schemas.microsoft.com/office/spreadsheetml/2022/featurepropertybag" uri="{C7286773-470A-42A8-94C5-96B5CB345126}">
          <xfpb:xfComplement i="0"/>
        </ext>
      </extLst>
    </xf>
    <xf numFmtId="0" fontId="0" fillId="4" borderId="5" xfId="0" applyFill="1" applyBorder="1"/>
    <xf numFmtId="0" fontId="0" fillId="4" borderId="75" xfId="0" applyFill="1" applyBorder="1"/>
    <xf numFmtId="0" fontId="1" fillId="4" borderId="23" xfId="0" applyFont="1" applyFill="1" applyBorder="1" applyAlignment="1">
      <alignment horizontal="center"/>
    </xf>
    <xf numFmtId="0" fontId="0" fillId="4" borderId="1" xfId="0" applyFill="1" applyBorder="1"/>
    <xf numFmtId="0" fontId="0" fillId="4" borderId="1" xfId="0" applyFill="1" applyBorder="1">
      <extLst>
        <ext xmlns:xfpb="http://schemas.microsoft.com/office/spreadsheetml/2022/featurepropertybag" uri="{C7286773-470A-42A8-94C5-96B5CB345126}">
          <xfpb:xfComplement i="0"/>
        </ext>
      </extLst>
    </xf>
    <xf numFmtId="0" fontId="0" fillId="4" borderId="36" xfId="0" applyFill="1" applyBorder="1"/>
    <xf numFmtId="0" fontId="0" fillId="4" borderId="25" xfId="0" applyFill="1" applyBorder="1">
      <extLst>
        <ext xmlns:xfpb="http://schemas.microsoft.com/office/spreadsheetml/2022/featurepropertybag" uri="{C7286773-470A-42A8-94C5-96B5CB345126}">
          <xfpb:xfComplement i="0"/>
        </ext>
      </extLst>
    </xf>
    <xf numFmtId="0" fontId="0" fillId="4" borderId="25" xfId="0" applyFill="1" applyBorder="1"/>
    <xf numFmtId="0" fontId="0" fillId="4" borderId="33" xfId="0" applyFill="1" applyBorder="1"/>
    <xf numFmtId="0" fontId="4" fillId="13" borderId="15" xfId="0" applyFont="1" applyFill="1" applyBorder="1" applyAlignment="1">
      <alignment horizontal="center" vertical="center"/>
    </xf>
    <xf numFmtId="0" fontId="11" fillId="14" borderId="43" xfId="0" applyFont="1" applyFill="1" applyBorder="1" applyAlignment="1">
      <alignment horizontal="center" vertical="center" wrapText="1"/>
    </xf>
    <xf numFmtId="0" fontId="26" fillId="14" borderId="4" xfId="0" applyFont="1" applyFill="1" applyBorder="1" applyAlignment="1">
      <alignment horizontal="center" vertical="center" wrapText="1"/>
    </xf>
    <xf numFmtId="0" fontId="26" fillId="14" borderId="10" xfId="0" applyFont="1" applyFill="1" applyBorder="1" applyAlignment="1">
      <alignment horizontal="center" vertical="center" wrapText="1"/>
    </xf>
    <xf numFmtId="0" fontId="26" fillId="14" borderId="21" xfId="0" applyFont="1" applyFill="1" applyBorder="1" applyAlignment="1">
      <alignment horizontal="center" vertical="center" wrapText="1"/>
    </xf>
    <xf numFmtId="0" fontId="25" fillId="2" borderId="1" xfId="0" applyFont="1" applyFill="1" applyBorder="1" applyAlignment="1">
      <alignment horizontal="center" vertical="center" textRotation="90"/>
    </xf>
    <xf numFmtId="0" fontId="30" fillId="7" borderId="2" xfId="1" applyFill="1" applyBorder="1" applyAlignment="1">
      <alignment horizontal="center" vertical="center" wrapText="1"/>
    </xf>
    <xf numFmtId="0" fontId="26" fillId="7" borderId="2" xfId="0" applyFont="1" applyFill="1" applyBorder="1" applyAlignment="1">
      <alignment horizontal="center" vertical="center" wrapText="1"/>
    </xf>
    <xf numFmtId="0" fontId="21" fillId="6" borderId="3" xfId="0" applyFont="1" applyFill="1" applyBorder="1"/>
    <xf numFmtId="0" fontId="25" fillId="0" borderId="3" xfId="0" applyFont="1" applyBorder="1" applyAlignment="1">
      <alignment horizontal="center" vertical="center" textRotation="90"/>
    </xf>
    <xf numFmtId="0" fontId="25" fillId="0" borderId="3" xfId="0" applyFont="1" applyBorder="1" applyAlignment="1">
      <alignment horizontal="center" vertical="center" textRotation="90" wrapText="1"/>
    </xf>
    <xf numFmtId="0" fontId="26" fillId="0" borderId="0" xfId="0" applyFont="1" applyAlignment="1">
      <alignment horizontal="left" vertical="center"/>
    </xf>
    <xf numFmtId="0" fontId="0" fillId="0" borderId="17" xfId="0" applyBorder="1" applyAlignment="1">
      <alignment horizontal="center" vertical="center" wrapText="1"/>
    </xf>
    <xf numFmtId="0" fontId="30" fillId="0" borderId="78" xfId="1" applyBorder="1" applyAlignment="1">
      <alignment horizontal="center" vertical="center" wrapText="1"/>
    </xf>
    <xf numFmtId="0" fontId="26" fillId="0" borderId="1" xfId="0" applyFont="1" applyBorder="1" applyAlignment="1">
      <alignment vertical="center" wrapText="1"/>
    </xf>
    <xf numFmtId="0" fontId="9" fillId="0" borderId="0" xfId="0" applyFont="1" applyAlignment="1">
      <alignment horizontal="left" wrapText="1"/>
    </xf>
    <xf numFmtId="0" fontId="9" fillId="0" borderId="25" xfId="0" applyFont="1" applyBorder="1" applyAlignment="1">
      <alignment horizontal="left" wrapText="1"/>
    </xf>
    <xf numFmtId="0" fontId="0" fillId="3" borderId="25" xfId="0" applyFill="1" applyBorder="1" applyAlignment="1">
      <alignment horizontal="left"/>
    </xf>
    <xf numFmtId="0" fontId="5" fillId="0" borderId="0" xfId="0" applyFont="1" applyAlignment="1">
      <alignment horizontal="left" wrapText="1"/>
    </xf>
    <xf numFmtId="0" fontId="0" fillId="3" borderId="25" xfId="0" applyFill="1" applyBorder="1" applyAlignment="1">
      <alignment vertical="center"/>
    </xf>
    <xf numFmtId="0" fontId="13" fillId="0" borderId="0" xfId="0" applyFont="1" applyAlignment="1">
      <alignment vertical="center" wrapText="1"/>
    </xf>
    <xf numFmtId="0" fontId="13" fillId="0" borderId="25" xfId="0" applyFont="1" applyBorder="1" applyAlignment="1">
      <alignment vertical="center" wrapText="1"/>
    </xf>
    <xf numFmtId="0" fontId="0" fillId="0" borderId="46" xfId="0" applyBorder="1" applyAlignment="1">
      <alignment wrapText="1"/>
    </xf>
    <xf numFmtId="0" fontId="10" fillId="0" borderId="0" xfId="0" applyFont="1" applyAlignment="1">
      <alignment horizontal="center" wrapText="1"/>
    </xf>
    <xf numFmtId="0" fontId="0" fillId="0" borderId="3" xfId="0" applyBorder="1"/>
    <xf numFmtId="0" fontId="0" fillId="0" borderId="8" xfId="0" applyBorder="1" applyAlignment="1">
      <alignment horizontal="center" vertical="center" wrapText="1"/>
    </xf>
    <xf numFmtId="0" fontId="0" fillId="3" borderId="17" xfId="0" applyFill="1" applyBorder="1" applyAlignment="1">
      <alignment vertical="center"/>
    </xf>
    <xf numFmtId="0" fontId="0" fillId="3" borderId="17" xfId="0" applyFill="1" applyBorder="1" applyAlignment="1">
      <alignment horizontal="left"/>
    </xf>
    <xf numFmtId="0" fontId="0" fillId="3" borderId="15" xfId="0" applyFill="1" applyBorder="1" applyAlignment="1">
      <alignment horizontal="left"/>
    </xf>
    <xf numFmtId="0" fontId="0" fillId="3" borderId="20" xfId="0" applyFill="1" applyBorder="1" applyAlignment="1">
      <alignment horizontal="left"/>
    </xf>
    <xf numFmtId="0" fontId="0" fillId="3" borderId="21" xfId="0" applyFill="1" applyBorder="1"/>
    <xf numFmtId="0" fontId="0" fillId="3" borderId="21" xfId="0" applyFill="1" applyBorder="1" applyAlignment="1">
      <alignment vertical="center"/>
    </xf>
    <xf numFmtId="0" fontId="0" fillId="3" borderId="21" xfId="0" applyFill="1" applyBorder="1" applyAlignment="1">
      <alignment horizontal="left"/>
    </xf>
    <xf numFmtId="0" fontId="0" fillId="3" borderId="22" xfId="0" applyFill="1" applyBorder="1"/>
    <xf numFmtId="14" fontId="5" fillId="0" borderId="0" xfId="0" applyNumberFormat="1" applyFont="1" applyAlignment="1">
      <alignment vertical="center" wrapText="1"/>
    </xf>
    <xf numFmtId="0" fontId="5" fillId="0" borderId="0" xfId="0" applyFont="1" applyAlignment="1">
      <alignment horizontal="left" vertical="center" wrapText="1"/>
    </xf>
    <xf numFmtId="0" fontId="9" fillId="0" borderId="0" xfId="0" applyFont="1" applyAlignment="1">
      <alignment vertical="center" wrapText="1"/>
    </xf>
    <xf numFmtId="0" fontId="19" fillId="0" borderId="0" xfId="0" applyFont="1" applyAlignment="1">
      <alignment horizontal="center" wrapText="1"/>
    </xf>
    <xf numFmtId="0" fontId="14" fillId="0" borderId="21" xfId="0" applyFont="1" applyBorder="1" applyAlignment="1">
      <alignment vertical="center" wrapText="1"/>
    </xf>
    <xf numFmtId="0" fontId="9" fillId="0" borderId="25" xfId="0" applyFont="1" applyBorder="1" applyAlignment="1">
      <alignment vertical="center" wrapText="1"/>
    </xf>
    <xf numFmtId="0" fontId="14" fillId="0" borderId="0" xfId="0" applyFont="1" applyAlignment="1">
      <alignment vertical="center" wrapText="1"/>
    </xf>
    <xf numFmtId="0" fontId="5" fillId="0" borderId="0" xfId="0" applyFont="1" applyAlignment="1">
      <alignment horizontal="left" vertical="top" wrapText="1"/>
    </xf>
    <xf numFmtId="0" fontId="10" fillId="0" borderId="0" xfId="0" applyFont="1" applyAlignment="1">
      <alignment horizontal="left" wrapText="1"/>
    </xf>
    <xf numFmtId="0" fontId="1" fillId="0" borderId="0" xfId="0" applyFont="1" applyAlignment="1">
      <alignment horizontal="center" wrapText="1"/>
    </xf>
    <xf numFmtId="0" fontId="19" fillId="0" borderId="0" xfId="0" applyFont="1" applyAlignment="1">
      <alignment wrapText="1"/>
    </xf>
    <xf numFmtId="0" fontId="0" fillId="0" borderId="0" xfId="0" applyAlignment="1">
      <alignment horizontal="right" vertical="top" wrapText="1"/>
      <extLst>
        <ext xmlns:xfpb="http://schemas.microsoft.com/office/spreadsheetml/2022/featurepropertybag" uri="{C7286773-470A-42A8-94C5-96B5CB345126}">
          <xfpb:xfComplement i="0"/>
        </ext>
      </extLst>
    </xf>
    <xf numFmtId="0" fontId="12" fillId="0" borderId="8" xfId="0" applyFont="1" applyBorder="1" applyAlignment="1">
      <alignment horizontal="center" wrapText="1"/>
    </xf>
    <xf numFmtId="0" fontId="45" fillId="0" borderId="0" xfId="0" applyFont="1" applyAlignment="1">
      <alignment wrapText="1"/>
    </xf>
    <xf numFmtId="0" fontId="5" fillId="0" borderId="8" xfId="0" applyFont="1" applyBorder="1" applyAlignment="1">
      <alignment horizontal="center" wrapText="1"/>
    </xf>
    <xf numFmtId="0" fontId="0" fillId="0" borderId="6" xfId="0" applyBorder="1" applyAlignment="1">
      <alignment horizontal="right" vertical="center"/>
      <extLst>
        <ext xmlns:xfpb="http://schemas.microsoft.com/office/spreadsheetml/2022/featurepropertybag" uri="{C7286773-470A-42A8-94C5-96B5CB345126}">
          <xfpb:xfComplement i="0"/>
        </ext>
      </extLst>
    </xf>
    <xf numFmtId="0" fontId="0" fillId="0" borderId="0" xfId="0" applyAlignment="1">
      <alignment horizontal="right" vertical="center"/>
      <extLst>
        <ext xmlns:xfpb="http://schemas.microsoft.com/office/spreadsheetml/2022/featurepropertybag" uri="{C7286773-470A-42A8-94C5-96B5CB345126}">
          <xfpb:xfComplement i="0"/>
        </ext>
      </extLst>
    </xf>
    <xf numFmtId="0" fontId="5" fillId="0" borderId="0" xfId="0" applyFont="1" applyAlignment="1">
      <alignment horizontal="right" vertical="center"/>
      <extLst>
        <ext xmlns:xfpb="http://schemas.microsoft.com/office/spreadsheetml/2022/featurepropertybag" uri="{C7286773-470A-42A8-94C5-96B5CB345126}">
          <xfpb:xfComplement i="0"/>
        </ext>
      </extLst>
    </xf>
    <xf numFmtId="0" fontId="0" fillId="0" borderId="7" xfId="0" applyBorder="1" applyAlignment="1">
      <alignment vertical="center"/>
    </xf>
    <xf numFmtId="0" fontId="0" fillId="0" borderId="11" xfId="0" applyBorder="1"/>
    <xf numFmtId="0" fontId="5" fillId="0" borderId="10" xfId="0" applyFont="1" applyBorder="1" applyAlignment="1">
      <alignment horizontal="right" vertical="top" wrapText="1"/>
    </xf>
    <xf numFmtId="0" fontId="9" fillId="0" borderId="10" xfId="0" applyFont="1" applyBorder="1" applyAlignment="1">
      <alignment horizontal="right" vertical="top" wrapText="1"/>
    </xf>
    <xf numFmtId="0" fontId="9" fillId="0" borderId="10" xfId="0" applyFont="1" applyBorder="1" applyAlignment="1">
      <alignment wrapText="1"/>
    </xf>
    <xf numFmtId="0" fontId="5" fillId="0" borderId="10" xfId="0" applyFont="1" applyBorder="1" applyAlignment="1">
      <alignment wrapText="1"/>
    </xf>
    <xf numFmtId="0" fontId="19" fillId="0" borderId="11" xfId="0" applyFont="1" applyBorder="1" applyAlignment="1">
      <alignment horizontal="center" wrapText="1"/>
    </xf>
    <xf numFmtId="0" fontId="19" fillId="0" borderId="10" xfId="0" applyFont="1" applyBorder="1" applyAlignment="1">
      <alignment horizontal="center" wrapText="1"/>
    </xf>
    <xf numFmtId="0" fontId="5" fillId="0" borderId="10" xfId="0" applyFont="1" applyBorder="1" applyAlignment="1">
      <alignment horizontal="right" vertical="center" wrapText="1"/>
      <extLst>
        <ext xmlns:xfpb="http://schemas.microsoft.com/office/spreadsheetml/2022/featurepropertybag" uri="{C7286773-470A-42A8-94C5-96B5CB345126}">
          <xfpb:xfComplement i="0"/>
        </ext>
      </extLst>
    </xf>
    <xf numFmtId="0" fontId="5" fillId="0" borderId="10" xfId="0" applyFont="1" applyBorder="1"/>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5" fillId="0" borderId="8" xfId="0" applyFont="1" applyBorder="1" applyAlignment="1">
      <alignment wrapText="1"/>
    </xf>
    <xf numFmtId="0" fontId="5" fillId="0" borderId="68" xfId="0" applyFont="1" applyBorder="1"/>
    <xf numFmtId="0" fontId="5" fillId="0" borderId="13" xfId="0" applyFont="1" applyBorder="1"/>
    <xf numFmtId="0" fontId="5" fillId="0" borderId="10" xfId="0" applyFont="1" applyBorder="1" applyAlignment="1">
      <alignment horizontal="right" wrapText="1"/>
      <extLst>
        <ext xmlns:xfpb="http://schemas.microsoft.com/office/spreadsheetml/2022/featurepropertybag" uri="{C7286773-470A-42A8-94C5-96B5CB345126}">
          <xfpb:xfComplement i="0"/>
        </ext>
      </extLst>
    </xf>
    <xf numFmtId="0" fontId="10" fillId="0" borderId="11" xfId="0" applyFont="1" applyBorder="1" applyAlignment="1">
      <alignment wrapText="1"/>
    </xf>
    <xf numFmtId="0" fontId="10" fillId="0" borderId="10" xfId="0" applyFont="1" applyBorder="1" applyAlignment="1">
      <alignment wrapText="1"/>
    </xf>
    <xf numFmtId="0" fontId="0" fillId="0" borderId="10" xfId="0" applyBorder="1" applyAlignment="1">
      <alignment wrapText="1"/>
    </xf>
    <xf numFmtId="0" fontId="9"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45" fillId="0" borderId="11" xfId="0" applyFont="1" applyBorder="1" applyAlignment="1">
      <alignment wrapText="1"/>
    </xf>
    <xf numFmtId="0" fontId="45" fillId="0" borderId="10" xfId="0" applyFont="1" applyBorder="1" applyAlignment="1">
      <alignment wrapText="1"/>
    </xf>
    <xf numFmtId="0" fontId="5" fillId="0" borderId="10" xfId="0" applyFont="1" applyBorder="1" applyAlignment="1">
      <alignment horizontal="right" vertical="top" wrapText="1"/>
      <extLst>
        <ext xmlns:xfpb="http://schemas.microsoft.com/office/spreadsheetml/2022/featurepropertybag" uri="{C7286773-470A-42A8-94C5-96B5CB345126}">
          <xfpb:xfComplement i="0"/>
        </ext>
      </extLst>
    </xf>
    <xf numFmtId="0" fontId="10" fillId="0" borderId="10" xfId="0" applyFont="1" applyBorder="1" applyAlignment="1">
      <alignment horizontal="center" wrapText="1"/>
    </xf>
    <xf numFmtId="0" fontId="10" fillId="0" borderId="8" xfId="0" applyFont="1" applyBorder="1" applyAlignment="1">
      <alignment horizontal="center" wrapText="1"/>
    </xf>
    <xf numFmtId="0" fontId="5" fillId="0" borderId="8" xfId="0" applyFont="1" applyBorder="1" applyAlignment="1">
      <alignment vertical="top" wrapText="1"/>
    </xf>
    <xf numFmtId="0" fontId="13" fillId="0" borderId="10" xfId="0" applyFont="1" applyBorder="1" applyAlignment="1">
      <alignment wrapText="1"/>
    </xf>
    <xf numFmtId="0" fontId="13" fillId="0" borderId="8" xfId="0" applyFont="1" applyBorder="1" applyAlignment="1">
      <alignment wrapText="1"/>
    </xf>
    <xf numFmtId="0" fontId="5" fillId="0" borderId="10" xfId="0" applyFont="1" applyBorder="1" applyAlignment="1">
      <alignment vertical="center"/>
      <extLst>
        <ext xmlns:xfpb="http://schemas.microsoft.com/office/spreadsheetml/2022/featurepropertybag" uri="{C7286773-470A-42A8-94C5-96B5CB345126}">
          <xfpb:xfComplement i="0"/>
        </ext>
      </extLst>
    </xf>
    <xf numFmtId="0" fontId="5" fillId="2" borderId="8" xfId="0" applyFont="1" applyFill="1" applyBorder="1" applyAlignment="1">
      <alignment wrapText="1"/>
    </xf>
    <xf numFmtId="0" fontId="10" fillId="0" borderId="8" xfId="0" applyFont="1" applyBorder="1"/>
    <xf numFmtId="0" fontId="0" fillId="0" borderId="8" xfId="0" applyBorder="1" applyAlignment="1">
      <alignment wrapText="1"/>
    </xf>
    <xf numFmtId="0" fontId="0" fillId="0" borderId="10" xfId="0" applyBorder="1" applyAlignment="1">
      <alignment horizontal="left" wrapText="1"/>
    </xf>
    <xf numFmtId="0" fontId="0" fillId="0" borderId="10" xfId="0" applyBorder="1" applyAlignment="1">
      <alignment horizontal="left"/>
    </xf>
    <xf numFmtId="0" fontId="0" fillId="0" borderId="6" xfId="0" applyBorder="1" applyAlignment="1">
      <alignment vertical="center" wrapText="1"/>
    </xf>
    <xf numFmtId="0" fontId="0" fillId="0" borderId="68" xfId="0" applyBorder="1" applyAlignment="1">
      <alignment vertical="center"/>
      <extLst>
        <ext xmlns:xfpb="http://schemas.microsoft.com/office/spreadsheetml/2022/featurepropertybag" uri="{C7286773-470A-42A8-94C5-96B5CB345126}">
          <xfpb:xfComplement i="0"/>
        </ext>
      </extLst>
    </xf>
    <xf numFmtId="0" fontId="1" fillId="0" borderId="10" xfId="0" applyFont="1" applyBorder="1"/>
    <xf numFmtId="0" fontId="1" fillId="0" borderId="8" xfId="0" applyFont="1" applyBorder="1"/>
    <xf numFmtId="0" fontId="9" fillId="0" borderId="8" xfId="0" applyFont="1" applyBorder="1" applyAlignment="1">
      <alignment vertical="top" wrapText="1"/>
    </xf>
    <xf numFmtId="0" fontId="2" fillId="0" borderId="11" xfId="0" applyFont="1" applyBorder="1" applyAlignment="1">
      <alignment horizontal="center" wrapText="1"/>
    </xf>
    <xf numFmtId="0" fontId="12" fillId="0" borderId="12" xfId="0" applyFont="1" applyBorder="1" applyAlignment="1">
      <alignment wrapText="1"/>
    </xf>
    <xf numFmtId="0" fontId="2" fillId="0" borderId="10" xfId="0" applyFont="1" applyBorder="1" applyAlignment="1">
      <alignment horizontal="center" wrapText="1"/>
    </xf>
    <xf numFmtId="0" fontId="12" fillId="0" borderId="8" xfId="0" applyFont="1" applyBorder="1" applyAlignment="1">
      <alignment wrapText="1"/>
    </xf>
    <xf numFmtId="0" fontId="0" fillId="0" borderId="8" xfId="0" applyBorder="1" applyAlignment="1">
      <alignment vertical="top" wrapText="1"/>
    </xf>
    <xf numFmtId="0" fontId="0" fillId="0" borderId="68" xfId="0" applyBorder="1" applyAlignment="1">
      <alignment horizontal="center" vertical="center"/>
    </xf>
    <xf numFmtId="0" fontId="5" fillId="2" borderId="0" xfId="0" applyFont="1" applyFill="1" applyAlignment="1">
      <alignment horizontal="center" vertical="center" wrapText="1"/>
    </xf>
    <xf numFmtId="0" fontId="10" fillId="2" borderId="0" xfId="0" applyFont="1" applyFill="1" applyAlignment="1">
      <alignment horizontal="center" vertical="center"/>
    </xf>
    <xf numFmtId="0" fontId="5" fillId="0" borderId="0" xfId="0" applyFont="1" applyAlignment="1">
      <alignment horizontal="center" vertical="center"/>
    </xf>
    <xf numFmtId="0" fontId="10" fillId="0" borderId="25" xfId="0" applyFont="1" applyBorder="1" applyAlignment="1">
      <alignment horizontal="center" vertical="center"/>
    </xf>
    <xf numFmtId="0" fontId="5" fillId="0" borderId="25" xfId="0" applyFont="1" applyBorder="1" applyAlignment="1">
      <alignment horizontal="center" vertical="center"/>
    </xf>
    <xf numFmtId="0" fontId="5" fillId="0" borderId="25" xfId="0" applyFont="1" applyBorder="1" applyAlignment="1">
      <alignment horizontal="center" vertical="center" wrapText="1"/>
    </xf>
    <xf numFmtId="0" fontId="5" fillId="5" borderId="0" xfId="0" applyFont="1" applyFill="1" applyAlignment="1">
      <alignment horizontal="center" vertical="center"/>
    </xf>
    <xf numFmtId="0" fontId="5" fillId="0" borderId="21" xfId="0" applyFont="1" applyBorder="1" applyAlignment="1">
      <alignment horizontal="center" vertical="center"/>
    </xf>
    <xf numFmtId="0" fontId="5" fillId="5" borderId="17" xfId="0" applyFont="1" applyFill="1" applyBorder="1" applyAlignment="1">
      <alignment horizontal="center" vertical="center"/>
    </xf>
    <xf numFmtId="0" fontId="10" fillId="0" borderId="0" xfId="0" applyFont="1" applyAlignment="1">
      <alignment horizontal="center" vertical="center" wrapText="1"/>
    </xf>
    <xf numFmtId="0" fontId="10" fillId="0" borderId="25" xfId="0" applyFont="1" applyBorder="1" applyAlignment="1">
      <alignment horizontal="center" vertical="center" wrapText="1"/>
    </xf>
    <xf numFmtId="0" fontId="0" fillId="0" borderId="49" xfId="0" applyBorder="1" applyAlignment="1">
      <alignment horizontal="right" wrapText="1"/>
      <extLst>
        <ext xmlns:xfpb="http://schemas.microsoft.com/office/spreadsheetml/2022/featurepropertybag" uri="{C7286773-470A-42A8-94C5-96B5CB345126}">
          <xfpb:xfComplement i="0"/>
        </ext>
      </extLst>
    </xf>
    <xf numFmtId="0" fontId="21" fillId="0" borderId="0" xfId="0" applyFont="1" applyAlignment="1">
      <alignment horizontal="center" vertical="center"/>
    </xf>
    <xf numFmtId="0" fontId="21" fillId="6" borderId="0" xfId="0" applyFont="1" applyFill="1" applyAlignment="1">
      <alignment horizontal="center" vertical="center" wrapText="1"/>
    </xf>
    <xf numFmtId="0" fontId="24" fillId="0" borderId="0" xfId="0" applyFont="1" applyAlignment="1">
      <alignment horizontal="center" vertical="center" wrapText="1"/>
    </xf>
    <xf numFmtId="0" fontId="24" fillId="0" borderId="0" xfId="0" applyFont="1" applyAlignment="1">
      <alignment horizontal="center" vertical="center"/>
    </xf>
    <xf numFmtId="0" fontId="37" fillId="0" borderId="0" xfId="0" applyFont="1" applyAlignment="1">
      <alignment horizontal="center" vertical="center" wrapText="1"/>
    </xf>
    <xf numFmtId="0" fontId="25" fillId="3" borderId="46" xfId="0" applyFont="1" applyFill="1" applyBorder="1" applyAlignment="1">
      <alignment horizontal="center" vertical="center" wrapText="1"/>
    </xf>
    <xf numFmtId="0" fontId="25" fillId="0" borderId="0" xfId="0" applyFont="1" applyAlignment="1">
      <alignment horizontal="center" vertical="center"/>
    </xf>
    <xf numFmtId="0" fontId="25" fillId="0" borderId="0" xfId="0" applyFont="1" applyAlignment="1">
      <alignment horizontal="center" vertical="center" wrapText="1"/>
    </xf>
    <xf numFmtId="0" fontId="7" fillId="0" borderId="0" xfId="0" applyFont="1" applyAlignment="1">
      <alignment horizontal="left" vertical="center" wrapText="1"/>
    </xf>
    <xf numFmtId="0" fontId="19" fillId="0" borderId="21" xfId="0" applyFont="1" applyBorder="1"/>
    <xf numFmtId="0" fontId="0" fillId="0" borderId="10" xfId="0" applyBorder="1" applyAlignment="1">
      <alignment horizontal="center"/>
    </xf>
    <xf numFmtId="0" fontId="19" fillId="0" borderId="11" xfId="0" applyFont="1" applyBorder="1" applyAlignment="1">
      <alignment horizontal="center"/>
    </xf>
    <xf numFmtId="0" fontId="0" fillId="0" borderId="5" xfId="0" applyBorder="1" applyAlignment="1">
      <alignment horizontal="center" wrapText="1"/>
    </xf>
    <xf numFmtId="0" fontId="1" fillId="11" borderId="1" xfId="0" applyFont="1" applyFill="1" applyBorder="1" applyAlignment="1">
      <alignment horizontal="center" vertical="top" wrapText="1"/>
    </xf>
    <xf numFmtId="0" fontId="21" fillId="6" borderId="0" xfId="0" applyFont="1" applyFill="1" applyAlignment="1">
      <alignment horizontal="center" vertical="center"/>
    </xf>
    <xf numFmtId="0" fontId="21" fillId="6" borderId="68" xfId="0" applyFont="1" applyFill="1" applyBorder="1"/>
    <xf numFmtId="0" fontId="6" fillId="12" borderId="1" xfId="0" applyFont="1" applyFill="1" applyBorder="1" applyAlignment="1">
      <alignment horizontal="center"/>
    </xf>
    <xf numFmtId="0" fontId="6" fillId="8" borderId="8" xfId="0" applyFont="1" applyFill="1" applyBorder="1" applyAlignment="1">
      <alignment horizontal="center"/>
    </xf>
    <xf numFmtId="0" fontId="0" fillId="10" borderId="1" xfId="0" applyFill="1" applyBorder="1" applyAlignment="1">
      <alignment horizontal="center"/>
    </xf>
    <xf numFmtId="0" fontId="1" fillId="11" borderId="1" xfId="0" applyFont="1" applyFill="1" applyBorder="1" applyAlignment="1">
      <alignment horizontal="center" wrapText="1"/>
    </xf>
    <xf numFmtId="0" fontId="20" fillId="11" borderId="1" xfId="0" applyFont="1" applyFill="1" applyBorder="1" applyAlignment="1">
      <alignment wrapText="1"/>
    </xf>
    <xf numFmtId="0" fontId="5" fillId="0" borderId="0" xfId="0" applyFont="1" applyAlignment="1">
      <alignment horizontal="left"/>
    </xf>
    <xf numFmtId="0" fontId="0" fillId="0" borderId="8" xfId="0" applyBorder="1" applyAlignment="1">
      <alignment horizontal="left" wrapText="1"/>
    </xf>
    <xf numFmtId="0" fontId="21" fillId="2" borderId="0" xfId="0" applyFont="1" applyFill="1" applyAlignment="1">
      <alignment horizontal="center" vertical="center" wrapText="1"/>
    </xf>
    <xf numFmtId="0" fontId="46" fillId="0" borderId="0" xfId="0" applyFont="1" applyAlignment="1">
      <alignment horizontal="left"/>
    </xf>
    <xf numFmtId="0" fontId="47" fillId="0" borderId="0" xfId="0" applyFont="1"/>
    <xf numFmtId="0" fontId="0" fillId="0" borderId="46" xfId="0" applyBorder="1"/>
    <xf numFmtId="0" fontId="46" fillId="0" borderId="0" xfId="0" applyFont="1"/>
    <xf numFmtId="0" fontId="10" fillId="0" borderId="7" xfId="0" applyFont="1" applyBorder="1" applyAlignment="1">
      <alignment vertical="top" wrapText="1"/>
    </xf>
    <xf numFmtId="0" fontId="0" fillId="0" borderId="12" xfId="0" applyBorder="1" applyAlignment="1">
      <alignment vertical="top"/>
    </xf>
    <xf numFmtId="0" fontId="0" fillId="0" borderId="8" xfId="0" applyBorder="1" applyAlignment="1">
      <alignment vertical="top"/>
    </xf>
    <xf numFmtId="0" fontId="0" fillId="0" borderId="10" xfId="0" applyBorder="1" applyAlignment="1">
      <alignment vertical="top"/>
    </xf>
    <xf numFmtId="0" fontId="0" fillId="0" borderId="68" xfId="0" applyBorder="1" applyAlignment="1">
      <alignment vertical="top"/>
    </xf>
    <xf numFmtId="0" fontId="5" fillId="0" borderId="7" xfId="0" applyFont="1" applyBorder="1" applyAlignment="1">
      <alignment vertical="top"/>
    </xf>
    <xf numFmtId="0" fontId="5" fillId="0" borderId="0" xfId="0" applyFont="1" applyAlignment="1">
      <alignment horizontal="right" wrapText="1"/>
    </xf>
    <xf numFmtId="0" fontId="10" fillId="0" borderId="6" xfId="0" applyFont="1" applyBorder="1" applyAlignment="1">
      <alignment wrapText="1"/>
    </xf>
    <xf numFmtId="0" fontId="45" fillId="0" borderId="12" xfId="0" applyFont="1" applyBorder="1" applyAlignment="1">
      <alignment wrapText="1"/>
    </xf>
    <xf numFmtId="0" fontId="45" fillId="0" borderId="8" xfId="0" applyFont="1" applyBorder="1" applyAlignment="1">
      <alignment wrapText="1"/>
    </xf>
    <xf numFmtId="1" fontId="5" fillId="0" borderId="8" xfId="0" applyNumberFormat="1" applyFont="1" applyBorder="1" applyAlignment="1">
      <alignment horizontal="center" wrapText="1"/>
    </xf>
    <xf numFmtId="0" fontId="0" fillId="0" borderId="11" xfId="0" applyBorder="1" applyAlignment="1">
      <alignment horizontal="center" vertical="top"/>
    </xf>
    <xf numFmtId="0" fontId="0" fillId="0" borderId="10" xfId="0" applyBorder="1" applyAlignment="1">
      <alignment horizontal="center" vertical="top"/>
    </xf>
    <xf numFmtId="0" fontId="5" fillId="0" borderId="8" xfId="0" applyFont="1" applyBorder="1"/>
    <xf numFmtId="0" fontId="10" fillId="0" borderId="10" xfId="0" applyFont="1" applyBorder="1"/>
    <xf numFmtId="0" fontId="0" fillId="0" borderId="21" xfId="0" applyBorder="1" applyAlignment="1">
      <alignment horizontal="right"/>
      <extLst>
        <ext xmlns:xfpb="http://schemas.microsoft.com/office/spreadsheetml/2022/featurepropertybag" uri="{C7286773-470A-42A8-94C5-96B5CB345126}">
          <xfpb:xfComplement i="0"/>
        </ext>
      </extLst>
    </xf>
    <xf numFmtId="0" fontId="0" fillId="0" borderId="0" xfId="0" applyAlignment="1">
      <alignment horizontal="right"/>
      <extLst>
        <ext xmlns:xfpb="http://schemas.microsoft.com/office/spreadsheetml/2022/featurepropertybag" uri="{C7286773-470A-42A8-94C5-96B5CB345126}">
          <xfpb:xfComplement i="0"/>
        </ext>
      </extLst>
    </xf>
    <xf numFmtId="0" fontId="0" fillId="0" borderId="25" xfId="0" applyBorder="1" applyAlignment="1">
      <alignment horizontal="right" vertical="top"/>
      <extLst>
        <ext xmlns:xfpb="http://schemas.microsoft.com/office/spreadsheetml/2022/featurepropertybag" uri="{C7286773-470A-42A8-94C5-96B5CB345126}">
          <xfpb:xfComplement i="0"/>
        </ext>
      </extLst>
    </xf>
    <xf numFmtId="0" fontId="0" fillId="0" borderId="79" xfId="0" applyBorder="1"/>
    <xf numFmtId="0" fontId="0" fillId="0" borderId="55" xfId="0" applyBorder="1">
      <extLst>
        <ext xmlns:xfpb="http://schemas.microsoft.com/office/spreadsheetml/2022/featurepropertybag" uri="{C7286773-470A-42A8-94C5-96B5CB345126}">
          <xfpb:xfComplement i="0"/>
        </ext>
      </extLst>
    </xf>
    <xf numFmtId="0" fontId="7" fillId="0" borderId="55" xfId="0" applyFont="1" applyBorder="1" applyAlignment="1">
      <alignment vertical="center"/>
    </xf>
    <xf numFmtId="0" fontId="0" fillId="0" borderId="55" xfId="0" applyBorder="1"/>
    <xf numFmtId="0" fontId="5" fillId="0" borderId="55" xfId="0" applyFont="1" applyBorder="1"/>
    <xf numFmtId="0" fontId="5" fillId="0" borderId="55" xfId="0" applyFont="1" applyBorder="1">
      <extLst>
        <ext xmlns:xfpb="http://schemas.microsoft.com/office/spreadsheetml/2022/featurepropertybag" uri="{C7286773-470A-42A8-94C5-96B5CB345126}">
          <xfpb:xfComplement i="0"/>
        </ext>
      </extLst>
    </xf>
    <xf numFmtId="0" fontId="19" fillId="0" borderId="55" xfId="0" applyFont="1" applyBorder="1"/>
    <xf numFmtId="0" fontId="0" fillId="0" borderId="81" xfId="0" applyBorder="1"/>
    <xf numFmtId="0" fontId="5" fillId="0" borderId="82" xfId="0" applyFont="1" applyBorder="1"/>
    <xf numFmtId="0" fontId="0" fillId="0" borderId="83" xfId="0" applyBorder="1"/>
    <xf numFmtId="0" fontId="0" fillId="0" borderId="84" xfId="0" applyBorder="1"/>
    <xf numFmtId="0" fontId="5" fillId="0" borderId="84" xfId="0" applyFont="1" applyBorder="1"/>
    <xf numFmtId="0" fontId="5" fillId="2" borderId="84" xfId="0" applyFont="1" applyFill="1" applyBorder="1"/>
    <xf numFmtId="0" fontId="5" fillId="0" borderId="84" xfId="0" applyFont="1" applyBorder="1">
      <extLst>
        <ext xmlns:xfpb="http://schemas.microsoft.com/office/spreadsheetml/2022/featurepropertybag" uri="{C7286773-470A-42A8-94C5-96B5CB345126}">
          <xfpb:xfComplement i="0"/>
        </ext>
      </extLst>
    </xf>
    <xf numFmtId="0" fontId="5" fillId="0" borderId="85" xfId="0" applyFont="1" applyBorder="1"/>
    <xf numFmtId="0" fontId="26" fillId="3" borderId="40" xfId="0" applyFont="1" applyFill="1" applyBorder="1" applyAlignment="1">
      <alignment horizontal="center" vertical="center" wrapText="1"/>
    </xf>
    <xf numFmtId="0" fontId="26" fillId="3" borderId="39" xfId="0" applyFont="1" applyFill="1" applyBorder="1" applyAlignment="1">
      <alignment horizontal="center" vertical="center" wrapText="1"/>
    </xf>
    <xf numFmtId="0" fontId="19" fillId="9" borderId="0" xfId="0" applyFont="1" applyFill="1" applyAlignment="1">
      <alignment wrapText="1"/>
    </xf>
    <xf numFmtId="0" fontId="5" fillId="0" borderId="0" xfId="0" applyFont="1" applyAlignment="1">
      <alignment horizontal="right"/>
      <extLst>
        <ext xmlns:xfpb="http://schemas.microsoft.com/office/spreadsheetml/2022/featurepropertybag" uri="{C7286773-470A-42A8-94C5-96B5CB345126}">
          <xfpb:xfComplement i="0"/>
        </ext>
      </extLst>
    </xf>
    <xf numFmtId="0" fontId="0" fillId="0" borderId="1" xfId="0" applyBorder="1" applyAlignment="1">
      <alignment horizontal="right" wrapText="1"/>
    </xf>
    <xf numFmtId="0" fontId="0" fillId="3" borderId="1" xfId="0" applyFill="1" applyBorder="1" applyAlignment="1">
      <alignment wrapText="1"/>
    </xf>
    <xf numFmtId="0" fontId="48" fillId="0" borderId="0" xfId="0" applyFont="1" applyAlignment="1">
      <alignment vertical="center" wrapText="1"/>
    </xf>
    <xf numFmtId="0" fontId="9" fillId="0" borderId="0" xfId="0" applyFont="1" applyAlignment="1">
      <alignment horizontal="right" vertical="center" wrapText="1"/>
      <extLst>
        <ext xmlns:xfpb="http://schemas.microsoft.com/office/spreadsheetml/2022/featurepropertybag" uri="{C7286773-470A-42A8-94C5-96B5CB345126}">
          <xfpb:xfComplement i="0"/>
        </ext>
      </extLst>
    </xf>
    <xf numFmtId="0" fontId="12" fillId="0" borderId="0" xfId="0" applyFont="1" applyAlignment="1">
      <alignment horizontal="left" wrapText="1"/>
    </xf>
    <xf numFmtId="0" fontId="9" fillId="0" borderId="0" xfId="0" applyFont="1" applyAlignment="1">
      <alignment horizontal="center" vertical="center" wrapText="1"/>
      <extLst>
        <ext xmlns:xfpb="http://schemas.microsoft.com/office/spreadsheetml/2022/featurepropertybag" uri="{C7286773-470A-42A8-94C5-96B5CB345126}">
          <xfpb:xfComplement i="0"/>
        </ext>
      </extLst>
    </xf>
    <xf numFmtId="0" fontId="9" fillId="0" borderId="0" xfId="0" applyFont="1" applyAlignment="1">
      <alignment horizontal="left" vertical="center" wrapText="1"/>
    </xf>
    <xf numFmtId="0" fontId="49" fillId="0" borderId="2" xfId="0" applyFont="1" applyBorder="1" applyAlignment="1">
      <alignment wrapText="1"/>
    </xf>
    <xf numFmtId="0" fontId="1" fillId="0" borderId="0" xfId="0" applyFont="1" applyAlignment="1">
      <alignment horizontal="center" wrapText="1"/>
    </xf>
    <xf numFmtId="0" fontId="0" fillId="0" borderId="0" xfId="0" applyAlignment="1">
      <alignment horizontal="center" vertical="center" textRotation="90" wrapText="1"/>
    </xf>
    <xf numFmtId="0" fontId="0" fillId="0" borderId="0" xfId="0" applyAlignment="1">
      <alignment horizontal="center" wrapText="1"/>
    </xf>
    <xf numFmtId="0" fontId="30" fillId="0" borderId="1" xfId="1" applyBorder="1" applyAlignment="1">
      <alignment horizontal="left" vertical="center" wrapText="1"/>
    </xf>
    <xf numFmtId="0" fontId="0" fillId="0" borderId="1" xfId="0" applyBorder="1" applyAlignment="1">
      <alignment horizontal="center" vertical="center" wrapText="1"/>
    </xf>
    <xf numFmtId="0" fontId="26" fillId="0" borderId="1" xfId="0" applyFont="1" applyBorder="1" applyAlignment="1">
      <alignment horizontal="center" vertical="center" wrapText="1"/>
    </xf>
    <xf numFmtId="0" fontId="4" fillId="19" borderId="1" xfId="0" applyFont="1" applyFill="1" applyBorder="1" applyAlignment="1">
      <alignment horizontal="center" vertical="center" wrapText="1"/>
    </xf>
    <xf numFmtId="0" fontId="0" fillId="0" borderId="31" xfId="0" applyBorder="1" applyAlignment="1">
      <alignment horizontal="center" vertical="center" wrapText="1"/>
    </xf>
    <xf numFmtId="0" fontId="0" fillId="0" borderId="4" xfId="0" applyBorder="1" applyAlignment="1">
      <alignment horizontal="center" vertical="center" wrapText="1"/>
    </xf>
    <xf numFmtId="0" fontId="0" fillId="0" borderId="34" xfId="0" applyBorder="1" applyAlignment="1">
      <alignment horizontal="center" vertical="center" wrapText="1"/>
    </xf>
    <xf numFmtId="0" fontId="0" fillId="0" borderId="42" xfId="0" applyBorder="1" applyAlignment="1">
      <alignment horizontal="center" vertical="center" wrapText="1"/>
    </xf>
    <xf numFmtId="0" fontId="0" fillId="0" borderId="43" xfId="0" applyBorder="1" applyAlignment="1">
      <alignment horizontal="center" vertical="center" wrapText="1"/>
    </xf>
    <xf numFmtId="0" fontId="0" fillId="0" borderId="44" xfId="0" applyBorder="1" applyAlignment="1">
      <alignment horizontal="center" vertical="center" wrapText="1"/>
    </xf>
    <xf numFmtId="0" fontId="0" fillId="0" borderId="31" xfId="0" applyBorder="1" applyAlignment="1">
      <alignment horizontal="center" vertical="center"/>
    </xf>
    <xf numFmtId="0" fontId="0" fillId="0" borderId="4" xfId="0" applyBorder="1" applyAlignment="1">
      <alignment horizontal="center" vertical="center"/>
    </xf>
    <xf numFmtId="0" fontId="0" fillId="0" borderId="34" xfId="0" applyBorder="1" applyAlignment="1">
      <alignment horizontal="center" vertical="center"/>
    </xf>
    <xf numFmtId="0" fontId="25" fillId="3" borderId="20" xfId="0" applyFont="1" applyFill="1" applyBorder="1" applyAlignment="1">
      <alignment horizontal="center" vertical="center"/>
    </xf>
    <xf numFmtId="0" fontId="25" fillId="3" borderId="18" xfId="0" applyFont="1" applyFill="1" applyBorder="1" applyAlignment="1">
      <alignment horizontal="center" vertical="center"/>
    </xf>
    <xf numFmtId="0" fontId="25" fillId="3" borderId="24" xfId="0" applyFont="1" applyFill="1" applyBorder="1" applyAlignment="1">
      <alignment horizontal="center" vertical="center"/>
    </xf>
    <xf numFmtId="0" fontId="25" fillId="3" borderId="38" xfId="0" applyFont="1" applyFill="1" applyBorder="1" applyAlignment="1">
      <alignment horizontal="center" vertical="center"/>
    </xf>
    <xf numFmtId="0" fontId="25" fillId="3" borderId="39" xfId="0" applyFont="1" applyFill="1" applyBorder="1" applyAlignment="1">
      <alignment horizontal="center" vertical="center"/>
    </xf>
    <xf numFmtId="0" fontId="25" fillId="3" borderId="40" xfId="0" applyFont="1" applyFill="1" applyBorder="1" applyAlignment="1">
      <alignment horizontal="center" vertical="center"/>
    </xf>
    <xf numFmtId="0" fontId="26" fillId="4" borderId="1" xfId="0" applyFont="1" applyFill="1" applyBorder="1" applyAlignment="1">
      <alignment horizontal="center" vertical="center"/>
    </xf>
    <xf numFmtId="0" fontId="0" fillId="0" borderId="22" xfId="0" applyBorder="1" applyAlignment="1">
      <alignment horizontal="center" vertical="center"/>
    </xf>
    <xf numFmtId="0" fontId="0" fillId="0" borderId="19" xfId="0" applyBorder="1" applyAlignment="1">
      <alignment horizontal="center" vertical="center"/>
    </xf>
    <xf numFmtId="0" fontId="0" fillId="0" borderId="26" xfId="0" applyBorder="1" applyAlignment="1">
      <alignment horizontal="center" vertical="center"/>
    </xf>
    <xf numFmtId="0" fontId="33" fillId="6" borderId="46" xfId="0" applyFont="1" applyFill="1" applyBorder="1" applyAlignment="1">
      <alignment horizontal="center" vertical="center" wrapText="1"/>
    </xf>
    <xf numFmtId="0" fontId="33" fillId="6" borderId="49" xfId="0" applyFont="1" applyFill="1" applyBorder="1" applyAlignment="1">
      <alignment horizontal="center" vertical="center" wrapText="1"/>
    </xf>
    <xf numFmtId="0" fontId="33" fillId="6" borderId="2" xfId="0" applyFont="1" applyFill="1" applyBorder="1" applyAlignment="1">
      <alignment horizontal="center" vertical="center" wrapText="1"/>
    </xf>
    <xf numFmtId="0" fontId="2" fillId="0" borderId="50" xfId="0" applyFont="1" applyBorder="1" applyAlignment="1">
      <alignment horizontal="left"/>
    </xf>
    <xf numFmtId="0" fontId="2" fillId="0" borderId="51" xfId="0" applyFont="1" applyBorder="1" applyAlignment="1">
      <alignment horizontal="left"/>
    </xf>
    <xf numFmtId="0" fontId="2" fillId="0" borderId="41" xfId="0" applyFont="1" applyBorder="1" applyAlignment="1">
      <alignment horizontal="left"/>
    </xf>
    <xf numFmtId="0" fontId="25" fillId="2" borderId="1" xfId="0" applyFont="1" applyFill="1" applyBorder="1" applyAlignment="1">
      <alignment horizontal="center" vertical="center" textRotation="90"/>
    </xf>
    <xf numFmtId="0" fontId="30" fillId="7" borderId="46" xfId="1" applyFill="1" applyBorder="1" applyAlignment="1">
      <alignment horizontal="center" vertical="center" wrapText="1"/>
    </xf>
    <xf numFmtId="0" fontId="30" fillId="7" borderId="49" xfId="1" applyFill="1" applyBorder="1" applyAlignment="1">
      <alignment horizontal="center" vertical="center" wrapText="1"/>
    </xf>
    <xf numFmtId="0" fontId="30" fillId="7" borderId="2" xfId="1" applyFill="1" applyBorder="1" applyAlignment="1">
      <alignment horizontal="center" vertical="center" wrapText="1"/>
    </xf>
    <xf numFmtId="0" fontId="26" fillId="7" borderId="46" xfId="0" applyFont="1" applyFill="1" applyBorder="1" applyAlignment="1">
      <alignment horizontal="center" vertical="center" wrapText="1"/>
    </xf>
    <xf numFmtId="0" fontId="26" fillId="7" borderId="49" xfId="0" applyFont="1" applyFill="1" applyBorder="1" applyAlignment="1">
      <alignment horizontal="center" vertical="center" wrapText="1"/>
    </xf>
    <xf numFmtId="0" fontId="26" fillId="7" borderId="2" xfId="0" applyFont="1" applyFill="1" applyBorder="1" applyAlignment="1">
      <alignment horizontal="center" vertical="center" wrapText="1"/>
    </xf>
    <xf numFmtId="0" fontId="10" fillId="0" borderId="0" xfId="0" applyFont="1" applyAlignment="1">
      <alignment horizontal="center" wrapText="1"/>
    </xf>
    <xf numFmtId="0" fontId="9" fillId="0" borderId="0" xfId="0" applyFont="1" applyAlignment="1">
      <alignment horizontal="center" wrapText="1"/>
    </xf>
    <xf numFmtId="0" fontId="5" fillId="0" borderId="0" xfId="0" applyFont="1" applyAlignment="1">
      <alignment horizontal="center" wrapText="1"/>
    </xf>
    <xf numFmtId="0" fontId="10" fillId="0" borderId="21" xfId="0" applyFont="1" applyBorder="1" applyAlignment="1">
      <alignment horizontal="left" wrapText="1"/>
    </xf>
    <xf numFmtId="0" fontId="12" fillId="0" borderId="21" xfId="0" applyFont="1" applyBorder="1" applyAlignment="1">
      <alignment horizontal="center" wrapText="1"/>
    </xf>
    <xf numFmtId="0" fontId="10" fillId="0" borderId="21" xfId="0" applyFont="1" applyBorder="1" applyAlignment="1">
      <alignment horizontal="center" wrapText="1"/>
    </xf>
    <xf numFmtId="0" fontId="5"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center" wrapText="1"/>
    </xf>
    <xf numFmtId="0" fontId="19" fillId="0" borderId="0" xfId="0" applyFont="1" applyAlignment="1">
      <alignment horizontal="center" wrapText="1"/>
    </xf>
    <xf numFmtId="0" fontId="19" fillId="0" borderId="21" xfId="0" applyFont="1" applyBorder="1" applyAlignment="1">
      <alignment horizontal="center" wrapText="1"/>
    </xf>
    <xf numFmtId="0" fontId="10" fillId="0" borderId="0" xfId="0" applyFont="1" applyAlignment="1">
      <alignment wrapText="1"/>
    </xf>
    <xf numFmtId="0" fontId="0" fillId="0" borderId="53" xfId="0" applyBorder="1" applyAlignment="1">
      <alignment horizontal="center" vertical="center" wrapText="1"/>
    </xf>
    <xf numFmtId="0" fontId="0" fillId="0" borderId="8" xfId="0" applyBorder="1" applyAlignment="1">
      <alignment horizontal="center" vertical="center" wrapText="1"/>
    </xf>
    <xf numFmtId="0" fontId="0" fillId="0" borderId="52" xfId="0" applyBorder="1" applyAlignment="1">
      <alignment horizontal="center" vertical="center" wrapText="1"/>
    </xf>
    <xf numFmtId="0" fontId="5" fillId="0" borderId="0" xfId="0" applyFont="1" applyAlignment="1">
      <alignment horizontal="left" vertical="top" wrapText="1"/>
    </xf>
    <xf numFmtId="0" fontId="0" fillId="0" borderId="0" xfId="0" applyAlignment="1">
      <alignment horizontal="left" vertical="top" wrapText="1"/>
    </xf>
    <xf numFmtId="0" fontId="2" fillId="0" borderId="21" xfId="0" applyFont="1" applyBorder="1" applyAlignment="1">
      <alignment horizontal="center" wrapText="1"/>
    </xf>
    <xf numFmtId="0" fontId="25" fillId="3" borderId="38" xfId="0" applyFont="1" applyFill="1" applyBorder="1" applyAlignment="1">
      <alignment horizontal="center" vertical="center" wrapText="1"/>
    </xf>
    <xf numFmtId="0" fontId="25" fillId="3" borderId="39" xfId="0" applyFont="1" applyFill="1" applyBorder="1" applyAlignment="1">
      <alignment horizontal="center" vertical="center" wrapText="1"/>
    </xf>
    <xf numFmtId="0" fontId="25" fillId="3" borderId="40" xfId="0" applyFont="1" applyFill="1" applyBorder="1" applyAlignment="1">
      <alignment horizontal="center" vertical="center" wrapText="1"/>
    </xf>
    <xf numFmtId="0" fontId="25" fillId="2" borderId="8" xfId="0" applyFont="1" applyFill="1" applyBorder="1" applyAlignment="1">
      <alignment horizontal="center" vertical="center" textRotation="90"/>
    </xf>
    <xf numFmtId="0" fontId="25" fillId="2" borderId="52" xfId="0" applyFont="1" applyFill="1" applyBorder="1" applyAlignment="1">
      <alignment horizontal="center" vertical="center" textRotation="90"/>
    </xf>
    <xf numFmtId="0" fontId="30" fillId="7" borderId="1" xfId="1" applyFill="1" applyBorder="1" applyAlignment="1">
      <alignment horizontal="center" vertical="center" wrapText="1"/>
    </xf>
    <xf numFmtId="0" fontId="26" fillId="7" borderId="1" xfId="0" applyFont="1" applyFill="1" applyBorder="1" applyAlignment="1">
      <alignment horizontal="center" vertical="center" wrapText="1"/>
    </xf>
    <xf numFmtId="0" fontId="26" fillId="7" borderId="12" xfId="0" applyFont="1" applyFill="1" applyBorder="1" applyAlignment="1">
      <alignment horizontal="center" vertical="center" wrapText="1"/>
    </xf>
    <xf numFmtId="0" fontId="26" fillId="7" borderId="11" xfId="0" applyFont="1" applyFill="1" applyBorder="1" applyAlignment="1">
      <alignment horizontal="center" vertical="center" wrapText="1"/>
    </xf>
    <xf numFmtId="0" fontId="26" fillId="7" borderId="64" xfId="0" applyFont="1" applyFill="1" applyBorder="1" applyAlignment="1">
      <alignment horizontal="center" vertical="center" wrapText="1"/>
    </xf>
    <xf numFmtId="0" fontId="30" fillId="7" borderId="5" xfId="1" applyFill="1" applyBorder="1" applyAlignment="1">
      <alignment horizontal="center" vertical="center" wrapText="1"/>
    </xf>
    <xf numFmtId="0" fontId="0" fillId="0" borderId="12" xfId="0" applyBorder="1" applyAlignment="1">
      <alignment horizontal="center" vertical="center" wrapText="1"/>
    </xf>
    <xf numFmtId="0" fontId="26" fillId="7" borderId="3" xfId="0" applyFont="1" applyFill="1" applyBorder="1" applyAlignment="1">
      <alignment horizontal="center" vertical="center" wrapText="1"/>
    </xf>
    <xf numFmtId="0" fontId="30" fillId="7" borderId="59" xfId="1" applyFill="1" applyBorder="1" applyAlignment="1">
      <alignment horizontal="center" vertical="center" wrapText="1"/>
    </xf>
    <xf numFmtId="0" fontId="0" fillId="7" borderId="3" xfId="0" applyFill="1" applyBorder="1" applyAlignment="1">
      <alignment horizontal="center" vertical="center" wrapText="1"/>
    </xf>
    <xf numFmtId="0" fontId="0" fillId="7" borderId="1" xfId="0" applyFill="1" applyBorder="1" applyAlignment="1">
      <alignment horizontal="center" vertical="center" wrapText="1"/>
    </xf>
    <xf numFmtId="0" fontId="28" fillId="4" borderId="15" xfId="0" applyFont="1" applyFill="1" applyBorder="1" applyAlignment="1">
      <alignment horizontal="center" vertical="center" wrapText="1"/>
    </xf>
    <xf numFmtId="0" fontId="28" fillId="4" borderId="17" xfId="0" applyFont="1" applyFill="1" applyBorder="1" applyAlignment="1">
      <alignment horizontal="center" vertical="center" wrapText="1"/>
    </xf>
    <xf numFmtId="0" fontId="28" fillId="4" borderId="16" xfId="0" applyFont="1" applyFill="1" applyBorder="1" applyAlignment="1">
      <alignment horizontal="center" vertical="center" wrapText="1"/>
    </xf>
    <xf numFmtId="0" fontId="29" fillId="4" borderId="15" xfId="0" applyFont="1" applyFill="1" applyBorder="1" applyAlignment="1">
      <alignment horizontal="center" vertical="center" wrapText="1"/>
    </xf>
    <xf numFmtId="0" fontId="29" fillId="4" borderId="16" xfId="0" applyFont="1" applyFill="1" applyBorder="1" applyAlignment="1">
      <alignment horizontal="center" vertical="center" wrapText="1"/>
    </xf>
    <xf numFmtId="0" fontId="0" fillId="7" borderId="46" xfId="0" applyFill="1" applyBorder="1" applyAlignment="1">
      <alignment horizontal="center" vertical="center" wrapText="1"/>
    </xf>
    <xf numFmtId="0" fontId="0" fillId="7" borderId="11" xfId="0" applyFill="1" applyBorder="1" applyAlignment="1">
      <alignment horizontal="center" vertical="center" wrapText="1"/>
    </xf>
    <xf numFmtId="0" fontId="3" fillId="4" borderId="15" xfId="0" applyFont="1" applyFill="1" applyBorder="1" applyAlignment="1">
      <alignment horizontal="center" wrapText="1"/>
    </xf>
    <xf numFmtId="0" fontId="3" fillId="4" borderId="17" xfId="0" applyFont="1" applyFill="1" applyBorder="1" applyAlignment="1">
      <alignment horizontal="center" wrapText="1"/>
    </xf>
    <xf numFmtId="0" fontId="3" fillId="4" borderId="21" xfId="0" applyFont="1" applyFill="1" applyBorder="1" applyAlignment="1">
      <alignment horizontal="center" wrapText="1"/>
    </xf>
    <xf numFmtId="0" fontId="3" fillId="4" borderId="22" xfId="0" applyFont="1" applyFill="1" applyBorder="1" applyAlignment="1">
      <alignment horizontal="center" wrapText="1"/>
    </xf>
    <xf numFmtId="0" fontId="26" fillId="4" borderId="15" xfId="0" applyFont="1" applyFill="1" applyBorder="1" applyAlignment="1">
      <alignment horizontal="center" vertical="center" wrapText="1"/>
    </xf>
    <xf numFmtId="0" fontId="26" fillId="4" borderId="16" xfId="0" applyFont="1" applyFill="1" applyBorder="1" applyAlignment="1">
      <alignment horizontal="center" vertical="center" wrapText="1"/>
    </xf>
    <xf numFmtId="0" fontId="33" fillId="6" borderId="48" xfId="0" applyFont="1" applyFill="1" applyBorder="1" applyAlignment="1">
      <alignment horizontal="center" vertical="center" wrapText="1"/>
    </xf>
    <xf numFmtId="0" fontId="33" fillId="6" borderId="28" xfId="0" applyFont="1" applyFill="1" applyBorder="1" applyAlignment="1">
      <alignment horizontal="center" vertical="center" wrapText="1"/>
    </xf>
    <xf numFmtId="0" fontId="33" fillId="6" borderId="60" xfId="0" applyFont="1" applyFill="1" applyBorder="1" applyAlignment="1">
      <alignment horizontal="center" vertical="center" wrapText="1"/>
    </xf>
    <xf numFmtId="0" fontId="33" fillId="6" borderId="53" xfId="0" applyFont="1" applyFill="1" applyBorder="1" applyAlignment="1">
      <alignment horizontal="center" vertical="center" wrapText="1"/>
    </xf>
    <xf numFmtId="0" fontId="32" fillId="6" borderId="48" xfId="0" applyFont="1" applyFill="1" applyBorder="1" applyAlignment="1">
      <alignment horizontal="center" vertical="center" wrapText="1"/>
    </xf>
    <xf numFmtId="0" fontId="32" fillId="6" borderId="47" xfId="0" applyFont="1" applyFill="1" applyBorder="1" applyAlignment="1">
      <alignment horizontal="center" vertical="center" wrapText="1"/>
    </xf>
    <xf numFmtId="0" fontId="32" fillId="6" borderId="28" xfId="0" applyFont="1" applyFill="1" applyBorder="1" applyAlignment="1">
      <alignment horizontal="center" vertical="center" wrapText="1"/>
    </xf>
    <xf numFmtId="0" fontId="32" fillId="6" borderId="21" xfId="0" applyFont="1" applyFill="1" applyBorder="1" applyAlignment="1">
      <alignment horizontal="center" vertical="center" wrapText="1"/>
    </xf>
    <xf numFmtId="0" fontId="33" fillId="6" borderId="57" xfId="0" applyFont="1" applyFill="1" applyBorder="1" applyAlignment="1">
      <alignment horizontal="center" vertical="center" wrapText="1"/>
    </xf>
    <xf numFmtId="0" fontId="33" fillId="6" borderId="58" xfId="0" applyFont="1" applyFill="1" applyBorder="1" applyAlignment="1">
      <alignment horizontal="center" vertical="center" wrapText="1"/>
    </xf>
    <xf numFmtId="0" fontId="32" fillId="6" borderId="68" xfId="0" applyFont="1" applyFill="1" applyBorder="1" applyAlignment="1">
      <alignment horizontal="center" vertical="center" wrapText="1"/>
    </xf>
    <xf numFmtId="0" fontId="32" fillId="6" borderId="13" xfId="0" applyFont="1" applyFill="1" applyBorder="1" applyAlignment="1">
      <alignment horizontal="center" vertical="center" wrapText="1"/>
    </xf>
    <xf numFmtId="0" fontId="30" fillId="7" borderId="10" xfId="1" applyFill="1" applyBorder="1" applyAlignment="1">
      <alignment horizontal="center" vertical="center" wrapText="1"/>
    </xf>
    <xf numFmtId="0" fontId="30" fillId="7" borderId="8" xfId="1" applyFill="1" applyBorder="1" applyAlignment="1">
      <alignment horizontal="center" vertical="center" wrapText="1"/>
    </xf>
    <xf numFmtId="0" fontId="8" fillId="0" borderId="0" xfId="0" applyFont="1" applyAlignment="1">
      <alignment horizontal="left" vertical="center" wrapText="1"/>
    </xf>
    <xf numFmtId="0" fontId="0" fillId="7" borderId="12" xfId="0" applyFill="1" applyBorder="1" applyAlignment="1">
      <alignment horizontal="center" vertical="center" wrapText="1"/>
    </xf>
    <xf numFmtId="0" fontId="26" fillId="4" borderId="29" xfId="0" applyFont="1" applyFill="1" applyBorder="1" applyAlignment="1">
      <alignment horizontal="center" vertical="center" wrapText="1"/>
    </xf>
    <xf numFmtId="0" fontId="26" fillId="4" borderId="30" xfId="0" applyFont="1" applyFill="1" applyBorder="1" applyAlignment="1">
      <alignment horizontal="center" vertical="center" wrapText="1"/>
    </xf>
    <xf numFmtId="0" fontId="26" fillId="4" borderId="35" xfId="0" applyFont="1" applyFill="1" applyBorder="1" applyAlignment="1">
      <alignment horizontal="center" vertical="center" wrapText="1"/>
    </xf>
    <xf numFmtId="0" fontId="32" fillId="6" borderId="23" xfId="0" applyFont="1" applyFill="1" applyBorder="1" applyAlignment="1">
      <alignment horizontal="center" vertical="center" wrapText="1"/>
    </xf>
    <xf numFmtId="0" fontId="32" fillId="6" borderId="1" xfId="0" applyFont="1" applyFill="1" applyBorder="1" applyAlignment="1">
      <alignment horizontal="center" vertical="center" wrapText="1"/>
    </xf>
    <xf numFmtId="0" fontId="32" fillId="6" borderId="36" xfId="0" applyFont="1" applyFill="1" applyBorder="1" applyAlignment="1">
      <alignment horizontal="center" vertical="center" wrapText="1"/>
    </xf>
    <xf numFmtId="0" fontId="30" fillId="7" borderId="23" xfId="1" applyFill="1" applyBorder="1" applyAlignment="1">
      <alignment horizontal="center" vertical="center" wrapText="1"/>
    </xf>
    <xf numFmtId="0" fontId="30" fillId="7" borderId="36" xfId="1" applyFill="1" applyBorder="1" applyAlignment="1">
      <alignment horizontal="center" vertical="center" wrapText="1"/>
    </xf>
    <xf numFmtId="0" fontId="0" fillId="7" borderId="36" xfId="0" applyFill="1" applyBorder="1" applyAlignment="1">
      <alignment horizontal="center" vertical="center" wrapText="1"/>
    </xf>
    <xf numFmtId="0" fontId="0" fillId="7" borderId="23" xfId="0" applyFill="1" applyBorder="1" applyAlignment="1">
      <alignment horizontal="center" vertical="center" wrapText="1"/>
    </xf>
    <xf numFmtId="0" fontId="0" fillId="7" borderId="65" xfId="0" applyFill="1" applyBorder="1" applyAlignment="1">
      <alignment horizontal="center" vertical="center" wrapText="1"/>
    </xf>
    <xf numFmtId="0" fontId="0" fillId="7" borderId="66" xfId="0" applyFill="1" applyBorder="1" applyAlignment="1">
      <alignment horizontal="center" vertical="center" wrapText="1"/>
    </xf>
    <xf numFmtId="0" fontId="27" fillId="4" borderId="16" xfId="0" applyFont="1" applyFill="1" applyBorder="1" applyAlignment="1">
      <alignment horizontal="center" vertical="center" wrapText="1"/>
    </xf>
    <xf numFmtId="0" fontId="33" fillId="6" borderId="47" xfId="0" applyFont="1" applyFill="1" applyBorder="1" applyAlignment="1">
      <alignment horizontal="center" vertical="center" wrapText="1"/>
    </xf>
    <xf numFmtId="0" fontId="26" fillId="4" borderId="17" xfId="0" applyFont="1" applyFill="1" applyBorder="1" applyAlignment="1">
      <alignment horizontal="center" vertical="center" wrapText="1"/>
    </xf>
    <xf numFmtId="0" fontId="2" fillId="0" borderId="0" xfId="0" applyFont="1" applyAlignment="1">
      <alignment horizontal="center" wrapText="1"/>
    </xf>
    <xf numFmtId="0" fontId="25" fillId="0" borderId="1" xfId="0" applyFont="1" applyBorder="1" applyAlignment="1">
      <alignment horizontal="center" vertical="center" textRotation="90"/>
    </xf>
    <xf numFmtId="0" fontId="35" fillId="6" borderId="60" xfId="0" applyFont="1" applyFill="1" applyBorder="1" applyAlignment="1">
      <alignment horizontal="center" vertical="center" wrapText="1"/>
    </xf>
    <xf numFmtId="0" fontId="35" fillId="6" borderId="21" xfId="0" applyFont="1" applyFill="1" applyBorder="1" applyAlignment="1">
      <alignment horizontal="center" vertical="center" wrapText="1"/>
    </xf>
    <xf numFmtId="0" fontId="35" fillId="6" borderId="53" xfId="0" applyFont="1" applyFill="1" applyBorder="1" applyAlignment="1">
      <alignment horizontal="center" vertical="center" wrapText="1"/>
    </xf>
    <xf numFmtId="0" fontId="19" fillId="0" borderId="0" xfId="0" applyFont="1" applyAlignment="1">
      <alignment horizontal="left" indent="1"/>
    </xf>
    <xf numFmtId="0" fontId="19" fillId="0" borderId="19" xfId="0" applyFont="1" applyBorder="1" applyAlignment="1">
      <alignment horizontal="left" indent="1"/>
    </xf>
    <xf numFmtId="0" fontId="5" fillId="0" borderId="21" xfId="0" applyFont="1" applyBorder="1" applyAlignment="1">
      <alignment horizontal="left"/>
    </xf>
    <xf numFmtId="0" fontId="19" fillId="0" borderId="21" xfId="0" applyFont="1" applyBorder="1" applyAlignment="1">
      <alignment horizontal="left"/>
    </xf>
    <xf numFmtId="0" fontId="19" fillId="0" borderId="21" xfId="0" applyFont="1" applyBorder="1" applyAlignment="1">
      <alignment horizontal="left" indent="1"/>
    </xf>
    <xf numFmtId="0" fontId="19" fillId="0" borderId="22" xfId="0" applyFont="1" applyBorder="1" applyAlignment="1">
      <alignment horizontal="left" indent="1"/>
    </xf>
    <xf numFmtId="0" fontId="5" fillId="0" borderId="0" xfId="0" applyFont="1" applyAlignment="1">
      <alignment horizontal="center" vertical="center"/>
      <extLst>
        <ext xmlns:xfpb="http://schemas.microsoft.com/office/spreadsheetml/2022/featurepropertybag" uri="{C7286773-470A-42A8-94C5-96B5CB345126}">
          <xfpb:xfComplement i="0"/>
        </ext>
      </extLst>
    </xf>
    <xf numFmtId="0" fontId="0" fillId="0" borderId="20" xfId="0" applyBorder="1" applyAlignment="1">
      <alignment horizontal="center" vertical="center" wrapText="1"/>
    </xf>
    <xf numFmtId="0" fontId="0" fillId="0" borderId="18" xfId="0" applyBorder="1" applyAlignment="1">
      <alignment horizontal="center" vertical="center" wrapText="1"/>
    </xf>
    <xf numFmtId="0" fontId="0" fillId="0" borderId="24" xfId="0" applyBorder="1" applyAlignment="1">
      <alignment horizontal="center" vertical="center" wrapText="1"/>
    </xf>
    <xf numFmtId="0" fontId="5" fillId="0" borderId="0" xfId="0" applyFont="1" applyAlignment="1">
      <alignment horizontal="left"/>
    </xf>
    <xf numFmtId="0" fontId="19" fillId="0" borderId="0" xfId="0" applyFont="1" applyAlignment="1">
      <alignment horizontal="left"/>
    </xf>
    <xf numFmtId="0" fontId="2" fillId="0" borderId="55" xfId="0" applyFont="1" applyBorder="1" applyAlignment="1">
      <alignment horizontal="center" wrapText="1"/>
    </xf>
    <xf numFmtId="0" fontId="44" fillId="0" borderId="0" xfId="0" applyFont="1" applyAlignment="1">
      <alignment horizontal="left" wrapText="1"/>
    </xf>
    <xf numFmtId="0" fontId="28" fillId="4" borderId="15" xfId="0" applyFont="1" applyFill="1" applyBorder="1" applyAlignment="1">
      <alignment horizontal="center" vertical="center"/>
    </xf>
    <xf numFmtId="0" fontId="28" fillId="4" borderId="16" xfId="0" applyFont="1" applyFill="1" applyBorder="1" applyAlignment="1">
      <alignment horizontal="center" vertical="center"/>
    </xf>
    <xf numFmtId="0" fontId="19" fillId="0" borderId="82" xfId="0" applyFont="1" applyBorder="1" applyAlignment="1">
      <alignment horizontal="left" indent="1"/>
    </xf>
    <xf numFmtId="0" fontId="19" fillId="0" borderId="55" xfId="0" applyFont="1" applyBorder="1" applyAlignment="1">
      <alignment horizontal="left" indent="1"/>
    </xf>
    <xf numFmtId="0" fontId="19" fillId="0" borderId="80" xfId="0" applyFont="1" applyBorder="1" applyAlignment="1">
      <alignment horizontal="left" indent="1"/>
    </xf>
    <xf numFmtId="0" fontId="25" fillId="3" borderId="3" xfId="0" applyFont="1" applyFill="1" applyBorder="1" applyAlignment="1">
      <alignment horizontal="center" vertical="center"/>
    </xf>
    <xf numFmtId="0" fontId="25" fillId="3" borderId="4" xfId="0" applyFont="1" applyFill="1" applyBorder="1" applyAlignment="1">
      <alignment horizontal="center" vertical="center"/>
    </xf>
    <xf numFmtId="0" fontId="25" fillId="3" borderId="5" xfId="0" applyFont="1" applyFill="1" applyBorder="1" applyAlignment="1">
      <alignment horizontal="center" vertical="center"/>
    </xf>
    <xf numFmtId="0" fontId="26" fillId="4" borderId="15" xfId="0" applyFont="1" applyFill="1" applyBorder="1" applyAlignment="1">
      <alignment horizontal="center" vertical="center"/>
    </xf>
    <xf numFmtId="0" fontId="26" fillId="4" borderId="16" xfId="0" applyFont="1" applyFill="1" applyBorder="1" applyAlignment="1">
      <alignment horizontal="center" vertical="center"/>
    </xf>
    <xf numFmtId="0" fontId="5" fillId="0" borderId="55" xfId="0" applyFont="1" applyBorder="1" applyAlignment="1">
      <alignment horizontal="left"/>
    </xf>
    <xf numFmtId="0" fontId="19" fillId="0" borderId="55" xfId="0" applyFont="1" applyBorder="1" applyAlignment="1">
      <alignment horizontal="left"/>
    </xf>
    <xf numFmtId="0" fontId="32" fillId="6" borderId="7" xfId="0" applyFont="1" applyFill="1" applyBorder="1" applyAlignment="1">
      <alignment horizontal="center" vertical="center" wrapText="1"/>
    </xf>
    <xf numFmtId="0" fontId="25" fillId="0" borderId="1" xfId="0" applyFont="1" applyBorder="1" applyAlignment="1">
      <alignment horizontal="center" vertical="center" textRotation="90" wrapText="1"/>
    </xf>
    <xf numFmtId="0" fontId="0" fillId="7" borderId="54" xfId="0" applyFill="1" applyBorder="1" applyAlignment="1">
      <alignment horizontal="center" vertical="center" wrapText="1"/>
    </xf>
    <xf numFmtId="0" fontId="0" fillId="7" borderId="56" xfId="0" applyFill="1" applyBorder="1" applyAlignment="1">
      <alignment horizontal="center" vertical="center" wrapText="1"/>
    </xf>
    <xf numFmtId="0" fontId="1" fillId="16" borderId="65" xfId="0" applyFont="1" applyFill="1" applyBorder="1" applyAlignment="1">
      <alignment horizontal="center" vertical="center"/>
    </xf>
    <xf numFmtId="0" fontId="1" fillId="16" borderId="44" xfId="0" applyFont="1" applyFill="1" applyBorder="1" applyAlignment="1">
      <alignment horizontal="center" vertical="center"/>
    </xf>
    <xf numFmtId="0" fontId="1" fillId="16" borderId="38" xfId="0" applyFont="1" applyFill="1" applyBorder="1" applyAlignment="1">
      <alignment horizontal="center" vertical="center"/>
    </xf>
    <xf numFmtId="0" fontId="1" fillId="16" borderId="39" xfId="0" applyFont="1" applyFill="1" applyBorder="1" applyAlignment="1">
      <alignment horizontal="center" vertical="center"/>
    </xf>
    <xf numFmtId="0" fontId="1" fillId="16" borderId="40" xfId="0" applyFont="1" applyFill="1" applyBorder="1" applyAlignment="1">
      <alignment horizontal="center" vertical="center"/>
    </xf>
    <xf numFmtId="0" fontId="1" fillId="4" borderId="39" xfId="0" applyFont="1" applyFill="1" applyBorder="1" applyAlignment="1">
      <alignment horizontal="center" vertical="center"/>
    </xf>
    <xf numFmtId="0" fontId="1" fillId="4" borderId="40" xfId="0" applyFont="1" applyFill="1" applyBorder="1" applyAlignment="1">
      <alignment horizontal="center" vertical="center"/>
    </xf>
    <xf numFmtId="0" fontId="1" fillId="4" borderId="65" xfId="0" applyFont="1" applyFill="1" applyBorder="1" applyAlignment="1">
      <alignment horizontal="center" vertical="center"/>
    </xf>
    <xf numFmtId="0" fontId="1" fillId="4" borderId="44" xfId="0" applyFont="1" applyFill="1" applyBorder="1" applyAlignment="1">
      <alignment horizontal="center" vertical="center"/>
    </xf>
    <xf numFmtId="0" fontId="0" fillId="16" borderId="66" xfId="0" applyFill="1" applyBorder="1" applyAlignment="1">
      <alignment horizontal="left" vertical="center"/>
    </xf>
    <xf numFmtId="0" fontId="0" fillId="16" borderId="72" xfId="0" applyFill="1" applyBorder="1" applyAlignment="1">
      <alignment horizontal="left" vertical="center"/>
    </xf>
    <xf numFmtId="0" fontId="0" fillId="16" borderId="66" xfId="0" applyFill="1" applyBorder="1" applyAlignment="1">
      <alignment horizontal="left" wrapText="1"/>
    </xf>
    <xf numFmtId="0" fontId="0" fillId="16" borderId="72" xfId="0" applyFill="1" applyBorder="1" applyAlignment="1">
      <alignment horizontal="left" wrapText="1"/>
    </xf>
    <xf numFmtId="0" fontId="0" fillId="4" borderId="66" xfId="0" applyFill="1" applyBorder="1" applyAlignment="1">
      <alignment horizontal="left" wrapText="1"/>
    </xf>
    <xf numFmtId="0" fontId="0" fillId="4" borderId="72" xfId="0" applyFill="1" applyBorder="1" applyAlignment="1">
      <alignment horizontal="left" wrapText="1"/>
    </xf>
    <xf numFmtId="0" fontId="1" fillId="16" borderId="20" xfId="0" applyFont="1" applyFill="1" applyBorder="1" applyAlignment="1">
      <alignment horizontal="center" vertical="center"/>
    </xf>
    <xf numFmtId="0" fontId="1" fillId="16" borderId="74" xfId="0" applyFont="1" applyFill="1" applyBorder="1" applyAlignment="1">
      <alignment horizontal="center" vertical="center"/>
    </xf>
    <xf numFmtId="0" fontId="0" fillId="16" borderId="31" xfId="0" applyFill="1" applyBorder="1" applyAlignment="1">
      <alignment horizontal="left" vertical="center"/>
    </xf>
    <xf numFmtId="0" fontId="0" fillId="16" borderId="5" xfId="0" applyFill="1" applyBorder="1" applyAlignment="1">
      <alignment horizontal="left" vertical="center"/>
    </xf>
    <xf numFmtId="0" fontId="1" fillId="16" borderId="60" xfId="0" applyFont="1" applyFill="1" applyBorder="1" applyAlignment="1">
      <alignment horizontal="center" vertical="center"/>
    </xf>
    <xf numFmtId="0" fontId="1" fillId="16" borderId="68" xfId="0" applyFont="1" applyFill="1" applyBorder="1" applyAlignment="1">
      <alignment horizontal="center" vertical="center"/>
    </xf>
    <xf numFmtId="0" fontId="1" fillId="16" borderId="73" xfId="0" applyFont="1" applyFill="1" applyBorder="1" applyAlignment="1">
      <alignment horizontal="center" vertical="center"/>
    </xf>
    <xf numFmtId="0" fontId="1" fillId="16" borderId="24" xfId="0" applyFont="1" applyFill="1" applyBorder="1" applyAlignment="1">
      <alignment horizontal="center" vertical="center"/>
    </xf>
    <xf numFmtId="0" fontId="0" fillId="16" borderId="3" xfId="0" applyFill="1" applyBorder="1" applyAlignment="1">
      <alignment horizontal="left" vertical="center" wrapText="1"/>
    </xf>
    <xf numFmtId="0" fontId="0" fillId="16" borderId="34" xfId="0" applyFill="1" applyBorder="1" applyAlignment="1">
      <alignment horizontal="left" vertical="center" wrapText="1"/>
    </xf>
    <xf numFmtId="0" fontId="1" fillId="16" borderId="10" xfId="0" applyFont="1" applyFill="1" applyBorder="1" applyAlignment="1">
      <alignment horizontal="center" vertical="center"/>
    </xf>
    <xf numFmtId="0" fontId="1" fillId="16" borderId="69" xfId="0" applyFont="1" applyFill="1" applyBorder="1" applyAlignment="1">
      <alignment horizontal="center" vertical="center"/>
    </xf>
    <xf numFmtId="0" fontId="0" fillId="16" borderId="4" xfId="0" applyFill="1" applyBorder="1" applyAlignment="1">
      <alignment horizontal="left" vertical="center" wrapText="1"/>
    </xf>
    <xf numFmtId="0" fontId="1" fillId="16" borderId="11" xfId="0" applyFont="1" applyFill="1" applyBorder="1" applyAlignment="1">
      <alignment horizontal="center" vertical="center"/>
    </xf>
    <xf numFmtId="0" fontId="1" fillId="4" borderId="18" xfId="0" applyFont="1" applyFill="1" applyBorder="1" applyAlignment="1">
      <alignment horizontal="center" vertical="center"/>
    </xf>
    <xf numFmtId="0" fontId="1" fillId="4" borderId="74" xfId="0" applyFont="1" applyFill="1" applyBorder="1" applyAlignment="1">
      <alignment horizontal="center" vertical="center"/>
    </xf>
    <xf numFmtId="0" fontId="0" fillId="4" borderId="4" xfId="0" applyFill="1" applyBorder="1" applyAlignment="1">
      <alignment horizontal="left" vertical="center"/>
    </xf>
    <xf numFmtId="0" fontId="0" fillId="4" borderId="5" xfId="0" applyFill="1" applyBorder="1" applyAlignment="1">
      <alignment horizontal="left" vertical="center"/>
    </xf>
    <xf numFmtId="0" fontId="1" fillId="4" borderId="10" xfId="0" applyFont="1" applyFill="1" applyBorder="1" applyAlignment="1">
      <alignment horizontal="center" vertical="center"/>
    </xf>
    <xf numFmtId="0" fontId="1" fillId="4" borderId="68" xfId="0" applyFont="1" applyFill="1" applyBorder="1" applyAlignment="1">
      <alignment horizontal="center" vertical="center"/>
    </xf>
    <xf numFmtId="0" fontId="1" fillId="4" borderId="73" xfId="0" applyFont="1" applyFill="1" applyBorder="1" applyAlignment="1">
      <alignment horizontal="center" vertical="center"/>
    </xf>
    <xf numFmtId="0" fontId="0" fillId="4" borderId="3" xfId="0" applyFill="1" applyBorder="1" applyAlignment="1">
      <alignment horizontal="left" vertical="center" wrapText="1"/>
    </xf>
    <xf numFmtId="0" fontId="0" fillId="4" borderId="4" xfId="0" applyFill="1" applyBorder="1" applyAlignment="1">
      <alignment horizontal="left" vertical="center" wrapText="1"/>
    </xf>
    <xf numFmtId="0" fontId="1" fillId="4" borderId="11" xfId="0" applyFont="1" applyFill="1" applyBorder="1" applyAlignment="1">
      <alignment horizontal="center" vertical="center"/>
    </xf>
    <xf numFmtId="0" fontId="0" fillId="4" borderId="66" xfId="0" applyFill="1" applyBorder="1" applyAlignment="1">
      <alignment horizontal="left" vertical="center"/>
    </xf>
    <xf numFmtId="0" fontId="0" fillId="4" borderId="71" xfId="0" applyFill="1" applyBorder="1" applyAlignment="1">
      <alignment horizontal="left" vertical="center"/>
    </xf>
    <xf numFmtId="0" fontId="0" fillId="16" borderId="70" xfId="0" applyFill="1" applyBorder="1" applyAlignment="1">
      <alignment horizontal="left" vertical="center" wrapText="1"/>
    </xf>
    <xf numFmtId="0" fontId="0" fillId="16" borderId="75" xfId="0" applyFill="1" applyBorder="1" applyAlignment="1">
      <alignment horizontal="left" vertical="center" wrapText="1"/>
    </xf>
    <xf numFmtId="0" fontId="0" fillId="4" borderId="71" xfId="0" applyFill="1" applyBorder="1" applyAlignment="1">
      <alignment horizontal="left" vertical="center" wrapText="1"/>
    </xf>
    <xf numFmtId="0" fontId="0" fillId="4" borderId="75" xfId="0" applyFill="1" applyBorder="1" applyAlignment="1">
      <alignment horizontal="left" vertical="center" wrapText="1"/>
    </xf>
    <xf numFmtId="0" fontId="0" fillId="4" borderId="29" xfId="0" applyFill="1" applyBorder="1" applyAlignment="1">
      <alignment horizontal="center" vertical="center"/>
    </xf>
    <xf numFmtId="0" fontId="0" fillId="4" borderId="23" xfId="0" applyFill="1" applyBorder="1" applyAlignment="1">
      <alignment horizontal="center" vertical="center"/>
    </xf>
    <xf numFmtId="0" fontId="0" fillId="4" borderId="32" xfId="0" applyFill="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4" borderId="31" xfId="0" applyFill="1" applyBorder="1" applyAlignment="1">
      <alignment horizontal="center" vertical="center" wrapText="1"/>
    </xf>
    <xf numFmtId="0" fontId="0" fillId="4" borderId="4" xfId="0" applyFill="1" applyBorder="1" applyAlignment="1">
      <alignment horizontal="center" vertical="center" wrapText="1"/>
    </xf>
    <xf numFmtId="0" fontId="0" fillId="4" borderId="34" xfId="0" applyFill="1" applyBorder="1" applyAlignment="1">
      <alignment horizontal="center" vertical="center" wrapText="1"/>
    </xf>
    <xf numFmtId="0" fontId="0" fillId="0" borderId="21" xfId="0" applyBorder="1" applyAlignment="1">
      <alignment horizontal="center" vertical="center"/>
    </xf>
    <xf numFmtId="0" fontId="0" fillId="0" borderId="0" xfId="0" applyAlignment="1">
      <alignment horizontal="center" vertical="center"/>
    </xf>
    <xf numFmtId="0" fontId="0" fillId="0" borderId="25" xfId="0" applyBorder="1" applyAlignment="1">
      <alignment horizontal="center" vertical="center"/>
    </xf>
    <xf numFmtId="0" fontId="0" fillId="4" borderId="0" xfId="0" applyFill="1" applyAlignment="1">
      <alignment horizontal="center" vertical="center"/>
    </xf>
    <xf numFmtId="0" fontId="0" fillId="4" borderId="25" xfId="0" applyFill="1" applyBorder="1" applyAlignment="1">
      <alignment horizontal="center" vertical="center"/>
    </xf>
    <xf numFmtId="0" fontId="0" fillId="4" borderId="0" xfId="0" applyFill="1" applyAlignment="1">
      <alignment horizontal="center" vertical="top"/>
    </xf>
    <xf numFmtId="0" fontId="0" fillId="4" borderId="25" xfId="0" applyFill="1" applyBorder="1" applyAlignment="1">
      <alignment horizontal="center" vertical="top"/>
    </xf>
    <xf numFmtId="0" fontId="0" fillId="0" borderId="21" xfId="0" applyBorder="1" applyAlignment="1">
      <alignment horizontal="center" vertical="top"/>
    </xf>
    <xf numFmtId="0" fontId="0" fillId="0" borderId="0" xfId="0" applyAlignment="1">
      <alignment horizontal="center" vertical="top"/>
    </xf>
    <xf numFmtId="0" fontId="0" fillId="0" borderId="25" xfId="0" applyBorder="1" applyAlignment="1">
      <alignment horizontal="center" vertical="top"/>
    </xf>
    <xf numFmtId="0" fontId="4" fillId="13" borderId="15" xfId="0" applyFont="1" applyFill="1" applyBorder="1" applyAlignment="1">
      <alignment horizontal="center" vertical="center"/>
    </xf>
    <xf numFmtId="0" fontId="4" fillId="13" borderId="17" xfId="0" applyFont="1" applyFill="1" applyBorder="1" applyAlignment="1">
      <alignment horizontal="center" vertical="center"/>
    </xf>
    <xf numFmtId="0" fontId="4" fillId="13" borderId="16" xfId="0" applyFont="1" applyFill="1" applyBorder="1" applyAlignment="1">
      <alignment horizontal="center" vertical="center"/>
    </xf>
    <xf numFmtId="0" fontId="26" fillId="14" borderId="10" xfId="0" applyFont="1" applyFill="1" applyBorder="1" applyAlignment="1">
      <alignment horizontal="center" vertical="center" wrapText="1"/>
    </xf>
    <xf numFmtId="0" fontId="26" fillId="14" borderId="0" xfId="0" applyFont="1" applyFill="1" applyAlignment="1">
      <alignment horizontal="center" vertical="center" wrapText="1"/>
    </xf>
    <xf numFmtId="0" fontId="26" fillId="14" borderId="60" xfId="0" applyFont="1" applyFill="1" applyBorder="1" applyAlignment="1">
      <alignment horizontal="center" vertical="center" wrapText="1"/>
    </xf>
    <xf numFmtId="0" fontId="26" fillId="14" borderId="22" xfId="0" applyFont="1" applyFill="1" applyBorder="1" applyAlignment="1">
      <alignment horizontal="center" vertical="center" wrapText="1"/>
    </xf>
    <xf numFmtId="0" fontId="26" fillId="14" borderId="53" xfId="0" applyFont="1" applyFill="1" applyBorder="1" applyAlignment="1">
      <alignment horizontal="center" vertical="center" wrapText="1"/>
    </xf>
    <xf numFmtId="0" fontId="26" fillId="14" borderId="18" xfId="0" applyFont="1" applyFill="1" applyBorder="1" applyAlignment="1">
      <alignment horizontal="center" vertical="center" wrapText="1"/>
    </xf>
    <xf numFmtId="0" fontId="26" fillId="13" borderId="21" xfId="0" applyFont="1" applyFill="1" applyBorder="1" applyAlignment="1">
      <alignment horizontal="center" vertical="center" wrapText="1"/>
    </xf>
    <xf numFmtId="0" fontId="26" fillId="13" borderId="18"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9" xfId="0" applyFont="1" applyFill="1" applyBorder="1" applyAlignment="1">
      <alignment horizontal="center" vertical="center" wrapText="1"/>
    </xf>
    <xf numFmtId="0" fontId="0" fillId="4" borderId="10" xfId="0" applyFill="1" applyBorder="1" applyAlignment="1">
      <alignment horizontal="center" vertical="center" wrapText="1"/>
    </xf>
    <xf numFmtId="0" fontId="0" fillId="4" borderId="69" xfId="0" applyFill="1" applyBorder="1" applyAlignment="1">
      <alignment horizontal="center" vertical="center" wrapText="1"/>
    </xf>
    <xf numFmtId="0" fontId="1" fillId="4" borderId="69" xfId="0" applyFont="1" applyFill="1" applyBorder="1" applyAlignment="1">
      <alignment horizontal="center" vertical="center"/>
    </xf>
    <xf numFmtId="0" fontId="0" fillId="0" borderId="60" xfId="0" applyBorder="1" applyAlignment="1">
      <alignment horizontal="center" vertical="center" wrapText="1"/>
    </xf>
    <xf numFmtId="0" fontId="0" fillId="0" borderId="10" xfId="0" applyBorder="1" applyAlignment="1">
      <alignment horizontal="center" vertical="center" wrapText="1"/>
    </xf>
    <xf numFmtId="0" fontId="0" fillId="0" borderId="69" xfId="0" applyBorder="1" applyAlignment="1">
      <alignment horizontal="center" vertical="center" wrapText="1"/>
    </xf>
    <xf numFmtId="0" fontId="1" fillId="0" borderId="60" xfId="0" applyFont="1" applyBorder="1" applyAlignment="1">
      <alignment horizontal="center" vertical="center"/>
    </xf>
    <xf numFmtId="0" fontId="1" fillId="0" borderId="10" xfId="0" applyFont="1" applyBorder="1" applyAlignment="1">
      <alignment horizontal="center" vertical="center"/>
    </xf>
    <xf numFmtId="0" fontId="1" fillId="0" borderId="69" xfId="0" applyFont="1" applyBorder="1" applyAlignment="1">
      <alignment horizontal="center" vertical="center"/>
    </xf>
    <xf numFmtId="0" fontId="1" fillId="2" borderId="38" xfId="0" applyFont="1" applyFill="1" applyBorder="1" applyAlignment="1">
      <alignment horizontal="center" vertical="center" textRotation="90"/>
    </xf>
    <xf numFmtId="0" fontId="1" fillId="2" borderId="40" xfId="0" applyFont="1" applyFill="1" applyBorder="1" applyAlignment="1">
      <alignment horizontal="center" vertical="center" textRotation="90"/>
    </xf>
    <xf numFmtId="0" fontId="1" fillId="2" borderId="39" xfId="0" applyFont="1" applyFill="1" applyBorder="1" applyAlignment="1">
      <alignment horizontal="center" vertical="center" textRotation="90"/>
    </xf>
    <xf numFmtId="0" fontId="0" fillId="17" borderId="48" xfId="0" applyFill="1" applyBorder="1" applyAlignment="1">
      <alignment horizontal="left" vertical="center" wrapText="1"/>
    </xf>
    <xf numFmtId="0" fontId="0" fillId="17" borderId="28" xfId="0" applyFill="1" applyBorder="1" applyAlignment="1">
      <alignment horizontal="left" vertical="center" wrapText="1"/>
    </xf>
    <xf numFmtId="0" fontId="0" fillId="17" borderId="50" xfId="0" applyFill="1" applyBorder="1" applyAlignment="1">
      <alignment horizontal="left" vertical="center" wrapText="1"/>
    </xf>
    <xf numFmtId="0" fontId="0" fillId="17" borderId="41" xfId="0" applyFill="1" applyBorder="1" applyAlignment="1">
      <alignment horizontal="left" vertical="center" wrapText="1"/>
    </xf>
    <xf numFmtId="0" fontId="32" fillId="6" borderId="60" xfId="0" applyFont="1" applyFill="1" applyBorder="1" applyAlignment="1">
      <alignment horizontal="center" vertical="center" wrapText="1"/>
    </xf>
    <xf numFmtId="0" fontId="32" fillId="6" borderId="53" xfId="0" applyFont="1" applyFill="1" applyBorder="1" applyAlignment="1">
      <alignment horizontal="center" vertical="center" wrapText="1"/>
    </xf>
    <xf numFmtId="0" fontId="32" fillId="6" borderId="10" xfId="0" applyFont="1" applyFill="1" applyBorder="1" applyAlignment="1">
      <alignment horizontal="center" vertical="center" wrapText="1"/>
    </xf>
    <xf numFmtId="0" fontId="32" fillId="6" borderId="8" xfId="0" applyFont="1" applyFill="1" applyBorder="1" applyAlignment="1">
      <alignment horizontal="center" vertical="center" wrapText="1"/>
    </xf>
    <xf numFmtId="0" fontId="32" fillId="6" borderId="22" xfId="0" applyFont="1" applyFill="1" applyBorder="1" applyAlignment="1">
      <alignment horizontal="center" vertical="center" wrapText="1"/>
    </xf>
    <xf numFmtId="0" fontId="32" fillId="6" borderId="19" xfId="0" applyFont="1" applyFill="1" applyBorder="1" applyAlignment="1">
      <alignment horizontal="center" vertical="center" wrapText="1"/>
    </xf>
    <xf numFmtId="0" fontId="41" fillId="18" borderId="48" xfId="0" applyFont="1" applyFill="1" applyBorder="1" applyAlignment="1">
      <alignment horizontal="left" vertical="center" wrapText="1"/>
    </xf>
    <xf numFmtId="0" fontId="41" fillId="18" borderId="47" xfId="0" applyFont="1" applyFill="1" applyBorder="1" applyAlignment="1">
      <alignment horizontal="left" vertical="center" wrapText="1"/>
    </xf>
    <xf numFmtId="0" fontId="41" fillId="18" borderId="50" xfId="0" applyFont="1" applyFill="1" applyBorder="1" applyAlignment="1">
      <alignment horizontal="left" vertical="center" wrapText="1"/>
    </xf>
    <xf numFmtId="0" fontId="41" fillId="18" borderId="51" xfId="0" applyFont="1" applyFill="1" applyBorder="1" applyAlignment="1">
      <alignment horizontal="left" vertical="center" wrapText="1"/>
    </xf>
    <xf numFmtId="0" fontId="41" fillId="18" borderId="28" xfId="0" applyFont="1" applyFill="1" applyBorder="1" applyAlignment="1">
      <alignment horizontal="left" vertical="center" wrapText="1"/>
    </xf>
    <xf numFmtId="0" fontId="41" fillId="18" borderId="41" xfId="0" applyFont="1" applyFill="1" applyBorder="1" applyAlignment="1">
      <alignment horizontal="left" vertical="center" wrapText="1"/>
    </xf>
    <xf numFmtId="0" fontId="41" fillId="18" borderId="76" xfId="0" applyFont="1" applyFill="1" applyBorder="1" applyAlignment="1">
      <alignment horizontal="left" vertical="center" wrapText="1"/>
    </xf>
    <xf numFmtId="0" fontId="41" fillId="18" borderId="77" xfId="0" applyFont="1" applyFill="1" applyBorder="1" applyAlignment="1">
      <alignment horizontal="left" vertical="center" wrapText="1"/>
    </xf>
    <xf numFmtId="0" fontId="32" fillId="6" borderId="31" xfId="0" applyFont="1" applyFill="1" applyBorder="1" applyAlignment="1">
      <alignment horizontal="center" vertical="center" wrapText="1"/>
    </xf>
    <xf numFmtId="0" fontId="32" fillId="6" borderId="4" xfId="0" applyFont="1" applyFill="1" applyBorder="1" applyAlignment="1">
      <alignment horizontal="center" vertical="center" wrapText="1"/>
    </xf>
    <xf numFmtId="0" fontId="32" fillId="6" borderId="0" xfId="0" applyFont="1" applyFill="1" applyAlignment="1">
      <alignment horizontal="center" vertical="center" wrapText="1"/>
    </xf>
    <xf numFmtId="0" fontId="0" fillId="0" borderId="0" xfId="0" applyAlignment="1">
      <alignment horizontal="center" vertical="top"/>
      <extLst>
        <ext xmlns:xfpb="http://schemas.microsoft.com/office/spreadsheetml/2022/featurepropertybag" uri="{C7286773-470A-42A8-94C5-96B5CB345126}">
          <xfpb:xfComplement i="0"/>
        </ext>
      </extLst>
    </xf>
    <xf numFmtId="0" fontId="1" fillId="0" borderId="0" xfId="0" applyFont="1" applyAlignment="1">
      <alignment horizontal="left"/>
    </xf>
    <xf numFmtId="0" fontId="0" fillId="0" borderId="29" xfId="0" applyBorder="1" applyAlignment="1">
      <alignment horizontal="center" vertical="center" wrapText="1"/>
    </xf>
    <xf numFmtId="0" fontId="0" fillId="0" borderId="23" xfId="0" applyBorder="1" applyAlignment="1">
      <alignment horizontal="center" vertical="center" wrapText="1"/>
    </xf>
    <xf numFmtId="0" fontId="0" fillId="0" borderId="65" xfId="0" applyBorder="1" applyAlignment="1">
      <alignment horizontal="center" vertical="center" wrapText="1"/>
    </xf>
    <xf numFmtId="0" fontId="0" fillId="0" borderId="32" xfId="0" applyBorder="1" applyAlignment="1">
      <alignment horizontal="center" vertical="center" wrapText="1"/>
    </xf>
    <xf numFmtId="0" fontId="0" fillId="0" borderId="30" xfId="0" applyBorder="1" applyAlignment="1">
      <alignment horizontal="center" vertical="center" wrapText="1"/>
    </xf>
    <xf numFmtId="0" fontId="0" fillId="0" borderId="3" xfId="0" applyBorder="1" applyAlignment="1">
      <alignment horizontal="center" vertical="center" wrapText="1"/>
    </xf>
    <xf numFmtId="0" fontId="0" fillId="0" borderId="33" xfId="0" applyBorder="1" applyAlignment="1">
      <alignment horizontal="center" vertical="center" wrapText="1"/>
    </xf>
    <xf numFmtId="0" fontId="32" fillId="6" borderId="2" xfId="0" applyFont="1" applyFill="1" applyBorder="1" applyAlignment="1">
      <alignment horizontal="center" vertical="center" wrapText="1"/>
    </xf>
    <xf numFmtId="0" fontId="32" fillId="6" borderId="46" xfId="0" applyFont="1" applyFill="1" applyBorder="1" applyAlignment="1">
      <alignment horizontal="center" vertical="center" wrapText="1"/>
    </xf>
    <xf numFmtId="0" fontId="2" fillId="0" borderId="6" xfId="0" applyFont="1" applyBorder="1" applyAlignment="1">
      <alignment horizontal="center" wrapText="1"/>
    </xf>
    <xf numFmtId="0" fontId="0" fillId="0" borderId="3" xfId="0" applyBorder="1" applyAlignment="1">
      <alignment horizontal="center" wrapText="1"/>
    </xf>
    <xf numFmtId="0" fontId="0" fillId="0" borderId="5" xfId="0" applyBorder="1" applyAlignment="1">
      <alignment horizontal="center" wrapText="1"/>
    </xf>
    <xf numFmtId="0" fontId="28" fillId="4" borderId="17" xfId="0" applyFont="1" applyFill="1" applyBorder="1" applyAlignment="1">
      <alignment horizontal="center" vertical="center"/>
    </xf>
    <xf numFmtId="0" fontId="0" fillId="0" borderId="5" xfId="0" applyBorder="1" applyAlignment="1">
      <alignment horizontal="center" vertical="center" wrapText="1"/>
    </xf>
    <xf numFmtId="0" fontId="17" fillId="0" borderId="0" xfId="0" applyFont="1" applyAlignment="1">
      <alignment horizontal="left" vertical="center"/>
    </xf>
    <xf numFmtId="0" fontId="11" fillId="3" borderId="20" xfId="0" applyFont="1" applyFill="1" applyBorder="1" applyAlignment="1">
      <alignment horizontal="center" vertical="center"/>
    </xf>
    <xf numFmtId="0" fontId="11" fillId="3" borderId="18" xfId="0" applyFont="1" applyFill="1" applyBorder="1" applyAlignment="1">
      <alignment horizontal="center" vertical="center"/>
    </xf>
    <xf numFmtId="0" fontId="11" fillId="3" borderId="24" xfId="0" applyFont="1" applyFill="1" applyBorder="1" applyAlignment="1">
      <alignment horizontal="center" vertical="center"/>
    </xf>
    <xf numFmtId="0" fontId="0" fillId="0" borderId="35" xfId="0" applyBorder="1" applyAlignment="1">
      <alignment horizontal="center"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61" xfId="0" applyBorder="1" applyAlignment="1">
      <alignment horizontal="center" vertical="center" wrapText="1"/>
    </xf>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11" fillId="3" borderId="38" xfId="0" applyFont="1" applyFill="1" applyBorder="1" applyAlignment="1">
      <alignment horizontal="center" vertical="center"/>
    </xf>
    <xf numFmtId="0" fontId="11" fillId="3" borderId="39" xfId="0" applyFont="1" applyFill="1" applyBorder="1" applyAlignment="1">
      <alignment horizontal="center" vertical="center"/>
    </xf>
    <xf numFmtId="0" fontId="11" fillId="3" borderId="40" xfId="0" applyFont="1" applyFill="1" applyBorder="1" applyAlignment="1">
      <alignment horizontal="center" vertical="center"/>
    </xf>
    <xf numFmtId="0" fontId="0" fillId="0" borderId="28" xfId="0" applyBorder="1" applyAlignment="1">
      <alignment horizontal="center" vertical="center" wrapText="1"/>
    </xf>
    <xf numFmtId="0" fontId="0" fillId="0" borderId="2" xfId="0" applyBorder="1" applyAlignment="1">
      <alignment horizontal="center" vertical="center" wrapText="1"/>
    </xf>
    <xf numFmtId="0" fontId="0" fillId="0" borderId="41" xfId="0" applyBorder="1" applyAlignment="1">
      <alignment horizontal="center" vertical="center" wrapText="1"/>
    </xf>
    <xf numFmtId="0" fontId="25" fillId="3" borderId="12" xfId="0" applyFont="1" applyFill="1" applyBorder="1" applyAlignment="1">
      <alignment horizontal="center" vertical="center"/>
    </xf>
    <xf numFmtId="0" fontId="25" fillId="3" borderId="8" xfId="0" applyFont="1" applyFill="1" applyBorder="1" applyAlignment="1">
      <alignment horizontal="center" vertical="center"/>
    </xf>
    <xf numFmtId="0" fontId="25" fillId="3" borderId="13" xfId="0" applyFont="1" applyFill="1" applyBorder="1" applyAlignment="1">
      <alignment horizontal="center" vertical="center"/>
    </xf>
    <xf numFmtId="0" fontId="1" fillId="11" borderId="68" xfId="0" applyFont="1" applyFill="1" applyBorder="1" applyAlignment="1">
      <alignment horizontal="center" wrapText="1"/>
    </xf>
    <xf numFmtId="0" fontId="1" fillId="11" borderId="7" xfId="0" applyFont="1" applyFill="1" applyBorder="1" applyAlignment="1">
      <alignment horizontal="center" wrapText="1"/>
    </xf>
    <xf numFmtId="0" fontId="0" fillId="0" borderId="6" xfId="0" applyBorder="1" applyAlignment="1">
      <alignment horizontal="center" wrapText="1"/>
    </xf>
    <xf numFmtId="0" fontId="0" fillId="0" borderId="0" xfId="0" applyAlignment="1">
      <alignment horizontal="left" wrapText="1"/>
    </xf>
    <xf numFmtId="0" fontId="6" fillId="12" borderId="3" xfId="0" applyFont="1" applyFill="1" applyBorder="1" applyAlignment="1">
      <alignment horizontal="center"/>
    </xf>
    <xf numFmtId="0" fontId="6" fillId="12" borderId="46" xfId="0" applyFont="1" applyFill="1" applyBorder="1" applyAlignment="1">
      <alignment horizontal="center" wrapText="1"/>
    </xf>
    <xf numFmtId="0" fontId="6" fillId="12" borderId="49" xfId="0" applyFont="1" applyFill="1" applyBorder="1" applyAlignment="1">
      <alignment horizont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xf>
    <xf numFmtId="0" fontId="0" fillId="0" borderId="68" xfId="0" applyBorder="1" applyAlignment="1">
      <alignment horizontal="center" vertical="center"/>
    </xf>
    <xf numFmtId="0" fontId="0" fillId="0" borderId="13"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wrapText="1"/>
    </xf>
    <xf numFmtId="0" fontId="0" fillId="0" borderId="0" xfId="0" applyAlignment="1">
      <alignment horizontal="center" vertical="center" wrapText="1"/>
    </xf>
    <xf numFmtId="0" fontId="0" fillId="0" borderId="7" xfId="0" applyBorder="1" applyAlignment="1">
      <alignment horizontal="center" vertical="center" wrapText="1"/>
    </xf>
    <xf numFmtId="0" fontId="0" fillId="0" borderId="13" xfId="0" applyBorder="1" applyAlignment="1">
      <alignment horizontal="center" vertical="center" wrapText="1"/>
    </xf>
    <xf numFmtId="0" fontId="0" fillId="0" borderId="6" xfId="0" applyBorder="1" applyAlignment="1">
      <alignment horizontal="left" wrapText="1"/>
    </xf>
    <xf numFmtId="0" fontId="0" fillId="0" borderId="6" xfId="0" applyBorder="1" applyAlignment="1">
      <alignment horizontal="center" vertical="top"/>
    </xf>
    <xf numFmtId="0" fontId="0" fillId="0" borderId="11" xfId="0" applyBorder="1" applyAlignment="1">
      <alignment horizontal="center" vertical="top"/>
    </xf>
    <xf numFmtId="0" fontId="0" fillId="0" borderId="10" xfId="0" applyBorder="1" applyAlignment="1">
      <alignment horizontal="center" vertical="top"/>
    </xf>
    <xf numFmtId="0" fontId="10" fillId="0" borderId="0" xfId="0" applyFont="1" applyAlignment="1">
      <alignment horizontal="center" vertical="top" wrapText="1"/>
    </xf>
    <xf numFmtId="0" fontId="5" fillId="0" borderId="1" xfId="0" applyFont="1" applyBorder="1" applyAlignment="1">
      <alignment horizontal="center" vertical="top"/>
    </xf>
    <xf numFmtId="0" fontId="0" fillId="0" borderId="11" xfId="0" applyBorder="1" applyAlignment="1">
      <alignment horizontal="left" wrapText="1"/>
    </xf>
    <xf numFmtId="0" fontId="0" fillId="0" borderId="12" xfId="0" applyBorder="1" applyAlignment="1">
      <alignment horizontal="left" wrapText="1"/>
    </xf>
    <xf numFmtId="0" fontId="0" fillId="0" borderId="68" xfId="0" applyBorder="1" applyAlignment="1">
      <alignment horizontal="left" wrapText="1"/>
    </xf>
    <xf numFmtId="0" fontId="0" fillId="0" borderId="7" xfId="0" applyBorder="1" applyAlignment="1">
      <alignment horizontal="left" wrapText="1"/>
    </xf>
    <xf numFmtId="0" fontId="0" fillId="0" borderId="13" xfId="0" applyBorder="1" applyAlignment="1">
      <alignment horizontal="left" wrapText="1"/>
    </xf>
    <xf numFmtId="0" fontId="6" fillId="12" borderId="11" xfId="0" applyFont="1" applyFill="1" applyBorder="1" applyAlignment="1">
      <alignment horizontal="center"/>
    </xf>
    <xf numFmtId="0" fontId="6" fillId="12" borderId="6" xfId="0" applyFont="1" applyFill="1" applyBorder="1" applyAlignment="1">
      <alignment horizontal="center"/>
    </xf>
    <xf numFmtId="0" fontId="6" fillId="12" borderId="12" xfId="0" applyFont="1" applyFill="1" applyBorder="1" applyAlignment="1">
      <alignment horizontal="center"/>
    </xf>
    <xf numFmtId="0" fontId="0" fillId="0" borderId="46" xfId="0" applyBorder="1" applyAlignment="1">
      <alignment horizontal="center" vertical="center" wrapText="1"/>
    </xf>
    <xf numFmtId="0" fontId="6" fillId="12" borderId="11" xfId="0" applyFont="1" applyFill="1" applyBorder="1" applyAlignment="1">
      <alignment horizontal="center" wrapText="1"/>
    </xf>
    <xf numFmtId="0" fontId="6" fillId="12" borderId="6" xfId="0" applyFont="1" applyFill="1" applyBorder="1" applyAlignment="1">
      <alignment horizontal="center" wrapText="1"/>
    </xf>
    <xf numFmtId="0" fontId="6" fillId="12" borderId="12" xfId="0" applyFont="1" applyFill="1" applyBorder="1" applyAlignment="1">
      <alignment horizont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19" fillId="0" borderId="11" xfId="0" applyFont="1" applyBorder="1" applyAlignment="1">
      <alignment horizontal="center" wrapText="1"/>
    </xf>
    <xf numFmtId="0" fontId="19" fillId="0" borderId="6" xfId="0" applyFont="1" applyBorder="1" applyAlignment="1">
      <alignment horizontal="center" wrapText="1"/>
    </xf>
    <xf numFmtId="0" fontId="19" fillId="0" borderId="12" xfId="0" applyFont="1" applyBorder="1" applyAlignment="1">
      <alignment horizontal="center" wrapText="1"/>
    </xf>
    <xf numFmtId="0" fontId="5" fillId="2" borderId="0" xfId="0" applyFont="1" applyFill="1" applyAlignment="1">
      <alignment horizontal="center" wrapText="1"/>
    </xf>
    <xf numFmtId="0" fontId="0" fillId="0" borderId="46" xfId="0" applyBorder="1" applyAlignment="1">
      <alignment horizontal="center" wrapText="1"/>
    </xf>
    <xf numFmtId="0" fontId="0" fillId="0" borderId="49" xfId="0" applyBorder="1" applyAlignment="1">
      <alignment horizontal="center" wrapText="1"/>
    </xf>
    <xf numFmtId="0" fontId="0" fillId="0" borderId="2" xfId="0" applyBorder="1" applyAlignment="1">
      <alignment horizontal="center" wrapText="1"/>
    </xf>
    <xf numFmtId="0" fontId="19" fillId="0" borderId="6" xfId="0" applyFont="1" applyBorder="1" applyAlignment="1">
      <alignment horizontal="center"/>
    </xf>
    <xf numFmtId="0" fontId="19" fillId="0" borderId="12" xfId="0" applyFont="1" applyBorder="1" applyAlignment="1">
      <alignment horizontal="center"/>
    </xf>
    <xf numFmtId="0" fontId="5" fillId="0" borderId="19" xfId="0" applyFont="1" applyBorder="1" applyAlignment="1">
      <alignment horizontal="center" vertical="center" wrapText="1"/>
    </xf>
    <xf numFmtId="0" fontId="5" fillId="0" borderId="0" xfId="0" applyFont="1" applyAlignment="1">
      <alignment horizontal="center" vertical="center" wrapText="1"/>
    </xf>
    <xf numFmtId="0" fontId="5" fillId="0" borderId="8" xfId="0" applyFont="1" applyBorder="1" applyAlignment="1">
      <alignment horizontal="center" vertical="center" wrapText="1"/>
    </xf>
    <xf numFmtId="0" fontId="1" fillId="11" borderId="11" xfId="0" applyFont="1" applyFill="1" applyBorder="1" applyAlignment="1">
      <alignment horizontal="center" wrapText="1"/>
    </xf>
    <xf numFmtId="0" fontId="1" fillId="11" borderId="6" xfId="0" applyFont="1" applyFill="1" applyBorder="1" applyAlignment="1">
      <alignment horizontal="center" wrapText="1"/>
    </xf>
    <xf numFmtId="0" fontId="1" fillId="11" borderId="12" xfId="0" applyFont="1" applyFill="1" applyBorder="1" applyAlignment="1">
      <alignment horizontal="center" wrapText="1"/>
    </xf>
    <xf numFmtId="0" fontId="5" fillId="0" borderId="8" xfId="0" applyFont="1" applyBorder="1" applyAlignment="1">
      <alignment horizontal="left" wrapText="1"/>
    </xf>
    <xf numFmtId="0" fontId="0" fillId="0" borderId="49" xfId="0" applyBorder="1" applyAlignment="1">
      <alignment horizontal="center" vertical="center" wrapText="1"/>
    </xf>
    <xf numFmtId="0" fontId="0" fillId="0" borderId="11" xfId="0" applyBorder="1" applyAlignment="1">
      <alignment horizontal="center"/>
    </xf>
    <xf numFmtId="0" fontId="0" fillId="0" borderId="6" xfId="0" applyBorder="1" applyAlignment="1">
      <alignment horizontal="center"/>
    </xf>
    <xf numFmtId="0" fontId="5" fillId="0" borderId="10" xfId="0" applyFont="1" applyBorder="1" applyAlignment="1">
      <alignment horizontal="center" vertical="center"/>
      <extLst>
        <ext xmlns:xfpb="http://schemas.microsoft.com/office/spreadsheetml/2022/featurepropertybag" uri="{C7286773-470A-42A8-94C5-96B5CB345126}">
          <xfpb:xfComplement i="0"/>
        </ext>
      </extLst>
    </xf>
    <xf numFmtId="0" fontId="6" fillId="8" borderId="1" xfId="0" applyFont="1" applyFill="1" applyBorder="1" applyAlignment="1">
      <alignment horizontal="center"/>
    </xf>
    <xf numFmtId="0" fontId="6" fillId="8" borderId="3" xfId="0" applyFont="1" applyFill="1" applyBorder="1" applyAlignment="1">
      <alignment horizontal="center"/>
    </xf>
    <xf numFmtId="0" fontId="6" fillId="8" borderId="1" xfId="0" applyFont="1" applyFill="1" applyBorder="1" applyAlignment="1">
      <alignment horizontal="center" wrapText="1"/>
    </xf>
    <xf numFmtId="0" fontId="0" fillId="0" borderId="6" xfId="0" applyBorder="1" applyAlignment="1">
      <alignment horizontal="left"/>
    </xf>
    <xf numFmtId="0" fontId="0" fillId="0" borderId="12" xfId="0" applyBorder="1" applyAlignment="1">
      <alignment horizontal="left"/>
    </xf>
    <xf numFmtId="0" fontId="6" fillId="8" borderId="46" xfId="0" applyFont="1" applyFill="1" applyBorder="1" applyAlignment="1">
      <alignment horizontal="center"/>
    </xf>
    <xf numFmtId="0" fontId="6" fillId="8" borderId="49" xfId="0" applyFont="1" applyFill="1" applyBorder="1" applyAlignment="1">
      <alignment horizontal="center"/>
    </xf>
    <xf numFmtId="0" fontId="6" fillId="8" borderId="2" xfId="0" applyFont="1" applyFill="1" applyBorder="1" applyAlignment="1">
      <alignment horizontal="center"/>
    </xf>
    <xf numFmtId="0" fontId="0" fillId="0" borderId="46" xfId="0" applyBorder="1" applyAlignment="1">
      <alignment horizontal="left"/>
    </xf>
    <xf numFmtId="0" fontId="0" fillId="0" borderId="2" xfId="0" applyBorder="1" applyAlignment="1">
      <alignment horizontal="left"/>
    </xf>
    <xf numFmtId="0" fontId="10" fillId="0" borderId="11" xfId="0" applyFont="1" applyBorder="1" applyAlignment="1">
      <alignment horizontal="left" vertical="top" wrapText="1"/>
    </xf>
    <xf numFmtId="0" fontId="10" fillId="0" borderId="12" xfId="0" applyFont="1" applyBorder="1" applyAlignment="1">
      <alignment horizontal="left" vertical="top" wrapText="1"/>
    </xf>
    <xf numFmtId="0" fontId="10" fillId="0" borderId="10" xfId="0" applyFont="1" applyBorder="1" applyAlignment="1">
      <alignment horizontal="left" vertical="top" wrapText="1"/>
    </xf>
    <xf numFmtId="0" fontId="10" fillId="0" borderId="8" xfId="0" applyFont="1" applyBorder="1" applyAlignment="1">
      <alignment horizontal="left" vertical="top" wrapText="1"/>
    </xf>
    <xf numFmtId="0" fontId="10" fillId="0" borderId="68" xfId="0" applyFont="1" applyBorder="1" applyAlignment="1">
      <alignment horizontal="left" vertical="top" wrapText="1"/>
    </xf>
    <xf numFmtId="0" fontId="10" fillId="0" borderId="13" xfId="0" applyFont="1" applyBorder="1" applyAlignment="1">
      <alignment horizontal="left" vertical="top" wrapText="1"/>
    </xf>
    <xf numFmtId="0" fontId="5" fillId="0" borderId="11" xfId="0" applyFont="1" applyBorder="1" applyAlignment="1">
      <alignment horizontal="left" vertical="top" wrapText="1"/>
    </xf>
    <xf numFmtId="0" fontId="5" fillId="0" borderId="6" xfId="0" applyFont="1" applyBorder="1" applyAlignment="1">
      <alignment horizontal="left" vertical="top" wrapText="1"/>
    </xf>
    <xf numFmtId="0" fontId="5" fillId="0" borderId="10" xfId="0" applyFont="1" applyBorder="1" applyAlignment="1">
      <alignment horizontal="left" vertical="top" wrapText="1"/>
    </xf>
    <xf numFmtId="0" fontId="5" fillId="0" borderId="68" xfId="0" applyFont="1" applyBorder="1" applyAlignment="1">
      <alignment horizontal="left" vertical="top" wrapText="1"/>
    </xf>
    <xf numFmtId="0" fontId="5" fillId="0" borderId="7" xfId="0" applyFont="1" applyBorder="1" applyAlignment="1">
      <alignment horizontal="left" vertical="top" wrapText="1"/>
    </xf>
    <xf numFmtId="0" fontId="6" fillId="8" borderId="46" xfId="0" applyFont="1" applyFill="1" applyBorder="1" applyAlignment="1">
      <alignment horizontal="center" wrapText="1"/>
    </xf>
    <xf numFmtId="0" fontId="6" fillId="8" borderId="49" xfId="0" applyFont="1" applyFill="1" applyBorder="1" applyAlignment="1">
      <alignment horizontal="center" wrapText="1"/>
    </xf>
    <xf numFmtId="0" fontId="6" fillId="8" borderId="2" xfId="0" applyFont="1" applyFill="1" applyBorder="1" applyAlignment="1">
      <alignment horizontal="center" wrapText="1"/>
    </xf>
    <xf numFmtId="0" fontId="0" fillId="0" borderId="11" xfId="0" applyBorder="1" applyAlignment="1">
      <alignment horizontal="center" vertical="center" wrapText="1"/>
    </xf>
    <xf numFmtId="0" fontId="0" fillId="0" borderId="68" xfId="0" applyBorder="1" applyAlignment="1">
      <alignment horizontal="center" vertical="center" wrapText="1"/>
    </xf>
    <xf numFmtId="0" fontId="0" fillId="0" borderId="0" xfId="0" applyAlignment="1">
      <alignment horizontal="left"/>
    </xf>
    <xf numFmtId="0" fontId="5" fillId="0" borderId="11" xfId="0" applyFont="1" applyBorder="1" applyAlignment="1">
      <alignment horizontal="center" vertical="top"/>
    </xf>
    <xf numFmtId="0" fontId="5" fillId="0" borderId="6" xfId="0" applyFont="1" applyBorder="1" applyAlignment="1">
      <alignment horizontal="center" vertical="top"/>
    </xf>
    <xf numFmtId="0" fontId="5" fillId="0" borderId="12" xfId="0" applyFont="1" applyBorder="1" applyAlignment="1">
      <alignment horizontal="center" vertical="top"/>
    </xf>
    <xf numFmtId="0" fontId="5" fillId="0" borderId="10" xfId="0" applyFont="1" applyBorder="1" applyAlignment="1">
      <alignment horizontal="center" vertical="top"/>
    </xf>
    <xf numFmtId="0" fontId="5" fillId="0" borderId="0" xfId="0" applyFont="1" applyAlignment="1">
      <alignment horizontal="center" vertical="top"/>
    </xf>
    <xf numFmtId="0" fontId="5" fillId="0" borderId="8" xfId="0" applyFont="1" applyBorder="1" applyAlignment="1">
      <alignment horizontal="center" vertical="top"/>
    </xf>
    <xf numFmtId="0" fontId="5" fillId="0" borderId="68" xfId="0" applyFont="1" applyBorder="1" applyAlignment="1">
      <alignment horizontal="center" vertical="top"/>
    </xf>
    <xf numFmtId="0" fontId="5" fillId="0" borderId="7" xfId="0" applyFont="1" applyBorder="1" applyAlignment="1">
      <alignment horizontal="center" vertical="top"/>
    </xf>
    <xf numFmtId="0" fontId="5" fillId="0" borderId="13" xfId="0" applyFont="1" applyBorder="1" applyAlignment="1">
      <alignment horizontal="center" vertical="top"/>
    </xf>
    <xf numFmtId="0" fontId="0" fillId="0" borderId="6" xfId="0" applyBorder="1" applyAlignment="1">
      <alignment horizontal="left" vertical="center"/>
    </xf>
    <xf numFmtId="0" fontId="0" fillId="0" borderId="0" xfId="0" applyAlignment="1">
      <alignment horizontal="left" vertical="top"/>
    </xf>
    <xf numFmtId="0" fontId="25" fillId="3" borderId="11" xfId="0" applyFont="1" applyFill="1" applyBorder="1" applyAlignment="1">
      <alignment horizontal="center" vertical="center"/>
    </xf>
    <xf numFmtId="0" fontId="25" fillId="3" borderId="10" xfId="0" applyFont="1" applyFill="1" applyBorder="1" applyAlignment="1">
      <alignment horizontal="center" vertical="center"/>
    </xf>
    <xf numFmtId="0" fontId="25" fillId="3" borderId="68" xfId="0" applyFont="1" applyFill="1" applyBorder="1" applyAlignment="1">
      <alignment horizontal="center" vertical="center"/>
    </xf>
    <xf numFmtId="0" fontId="0" fillId="10" borderId="12" xfId="0" applyFill="1" applyBorder="1" applyAlignment="1">
      <alignment horizontal="center"/>
    </xf>
    <xf numFmtId="0" fontId="0" fillId="10" borderId="3" xfId="0" applyFill="1" applyBorder="1" applyAlignment="1">
      <alignment horizontal="center"/>
    </xf>
    <xf numFmtId="0" fontId="6" fillId="8" borderId="12" xfId="0" applyFont="1" applyFill="1" applyBorder="1" applyAlignment="1">
      <alignment horizontal="center"/>
    </xf>
    <xf numFmtId="0" fontId="9" fillId="0" borderId="8" xfId="0" applyFont="1" applyBorder="1" applyAlignment="1">
      <alignment horizontal="left" vertical="top" wrapText="1"/>
    </xf>
    <xf numFmtId="0" fontId="0" fillId="0" borderId="8" xfId="0" applyBorder="1" applyAlignment="1">
      <alignment horizontal="left" vertical="top" wrapText="1"/>
    </xf>
    <xf numFmtId="0" fontId="6" fillId="12" borderId="3" xfId="0" applyFont="1" applyFill="1" applyBorder="1" applyAlignment="1">
      <alignment horizontal="center" wrapText="1"/>
    </xf>
    <xf numFmtId="0" fontId="5" fillId="0" borderId="8" xfId="0" applyFont="1" applyBorder="1" applyAlignment="1">
      <alignment horizontal="left" vertical="top" wrapText="1"/>
    </xf>
    <xf numFmtId="0" fontId="20" fillId="11" borderId="12" xfId="0" applyFont="1" applyFill="1" applyBorder="1" applyAlignment="1">
      <alignment horizontal="center" wrapText="1"/>
    </xf>
    <xf numFmtId="0" fontId="20" fillId="11" borderId="3" xfId="0" applyFont="1" applyFill="1" applyBorder="1" applyAlignment="1">
      <alignment horizontal="center" wrapText="1"/>
    </xf>
    <xf numFmtId="0" fontId="1" fillId="11" borderId="3" xfId="0" applyFont="1" applyFill="1" applyBorder="1" applyAlignment="1">
      <alignment horizontal="center" wrapText="1"/>
    </xf>
    <xf numFmtId="0" fontId="38" fillId="11" borderId="3" xfId="0" applyFont="1" applyFill="1" applyBorder="1" applyAlignment="1">
      <alignment horizontal="center" vertical="top" wrapText="1"/>
    </xf>
    <xf numFmtId="0" fontId="12" fillId="0" borderId="6" xfId="0" applyFont="1" applyBorder="1" applyAlignment="1">
      <alignment horizontal="center" wrapText="1"/>
    </xf>
    <xf numFmtId="0" fontId="12" fillId="0" borderId="12" xfId="0" applyFont="1" applyBorder="1" applyAlignment="1">
      <alignment horizontal="center" wrapText="1"/>
    </xf>
    <xf numFmtId="0" fontId="10" fillId="0" borderId="11" xfId="0" applyFont="1" applyBorder="1" applyAlignment="1">
      <alignment horizontal="center" wrapText="1"/>
    </xf>
    <xf numFmtId="0" fontId="10" fillId="0" borderId="12" xfId="0" applyFont="1" applyBorder="1" applyAlignment="1">
      <alignment horizontal="center" wrapText="1"/>
    </xf>
    <xf numFmtId="0" fontId="1" fillId="11" borderId="1" xfId="0" applyFont="1" applyFill="1" applyBorder="1" applyAlignment="1">
      <alignment horizontal="center" vertical="top"/>
    </xf>
    <xf numFmtId="0" fontId="20" fillId="6" borderId="6" xfId="0" applyFont="1" applyFill="1" applyBorder="1" applyAlignment="1">
      <alignment horizontal="center" vertical="top" wrapText="1"/>
    </xf>
    <xf numFmtId="0" fontId="23" fillId="6" borderId="0" xfId="0" applyFont="1" applyFill="1" applyAlignment="1">
      <alignment horizontal="center" vertical="top" wrapText="1"/>
    </xf>
    <xf numFmtId="0" fontId="1" fillId="11" borderId="3" xfId="0" applyFont="1" applyFill="1" applyBorder="1" applyAlignment="1">
      <alignment horizontal="center" vertical="top" wrapText="1"/>
    </xf>
    <xf numFmtId="0" fontId="1" fillId="11" borderId="12" xfId="0" applyFont="1" applyFill="1" applyBorder="1" applyAlignment="1">
      <alignment horizontal="center" vertical="top" wrapText="1"/>
    </xf>
    <xf numFmtId="0" fontId="23" fillId="2" borderId="46" xfId="0" applyFont="1" applyFill="1" applyBorder="1" applyAlignment="1" applyProtection="1">
      <alignment horizontal="center"/>
      <protection locked="0"/>
    </xf>
    <xf numFmtId="0" fontId="23" fillId="2" borderId="2" xfId="0" applyFont="1" applyFill="1" applyBorder="1" applyAlignment="1" applyProtection="1">
      <alignment horizontal="center"/>
      <protection locked="0"/>
    </xf>
    <xf numFmtId="0" fontId="1" fillId="2" borderId="4" xfId="0" applyFont="1" applyFill="1" applyBorder="1" applyAlignment="1">
      <alignment horizontal="center" vertical="center" textRotation="90"/>
    </xf>
    <xf numFmtId="0" fontId="1" fillId="2" borderId="5" xfId="0" applyFont="1" applyFill="1" applyBorder="1" applyAlignment="1">
      <alignment horizontal="center" vertical="center" textRotation="90"/>
    </xf>
    <xf numFmtId="0" fontId="32" fillId="6" borderId="3" xfId="0" applyFont="1" applyFill="1" applyBorder="1" applyAlignment="1">
      <alignment horizontal="center" vertical="center" wrapText="1"/>
    </xf>
    <xf numFmtId="0" fontId="32" fillId="6" borderId="5" xfId="0" applyFont="1" applyFill="1" applyBorder="1" applyAlignment="1">
      <alignment horizontal="center" vertical="center" wrapText="1"/>
    </xf>
    <xf numFmtId="0" fontId="32" fillId="6" borderId="11" xfId="0" applyFont="1" applyFill="1" applyBorder="1" applyAlignment="1">
      <alignment horizontal="center" vertical="center" wrapText="1"/>
    </xf>
    <xf numFmtId="0" fontId="32" fillId="6" borderId="12" xfId="0" applyFont="1" applyFill="1" applyBorder="1" applyAlignment="1">
      <alignment horizontal="center" vertical="center" wrapText="1"/>
    </xf>
    <xf numFmtId="0" fontId="1" fillId="2" borderId="10" xfId="0" applyFont="1" applyFill="1" applyBorder="1" applyAlignment="1">
      <alignment horizontal="center" vertical="center" textRotation="90"/>
    </xf>
    <xf numFmtId="0" fontId="1" fillId="11" borderId="46" xfId="0" applyFont="1" applyFill="1" applyBorder="1" applyAlignment="1">
      <alignment horizontal="center" vertical="top"/>
    </xf>
    <xf numFmtId="0" fontId="1" fillId="11" borderId="49" xfId="0" applyFont="1" applyFill="1" applyBorder="1" applyAlignment="1">
      <alignment horizontal="center" vertical="top"/>
    </xf>
    <xf numFmtId="0" fontId="1" fillId="11" borderId="2" xfId="0" applyFont="1" applyFill="1" applyBorder="1" applyAlignment="1">
      <alignment horizontal="center" vertical="top"/>
    </xf>
    <xf numFmtId="14" fontId="5" fillId="0" borderId="0" xfId="0" applyNumberFormat="1" applyFont="1" applyAlignment="1">
      <alignment horizontal="center" wrapText="1"/>
    </xf>
    <xf numFmtId="1" fontId="5" fillId="0" borderId="0" xfId="0" applyNumberFormat="1" applyFont="1" applyAlignment="1">
      <alignment horizontal="center" wrapText="1"/>
    </xf>
    <xf numFmtId="0" fontId="20" fillId="11" borderId="46" xfId="0" applyFont="1" applyFill="1" applyBorder="1" applyAlignment="1">
      <alignment horizontal="center" wrapText="1"/>
    </xf>
    <xf numFmtId="0" fontId="20" fillId="11" borderId="49" xfId="0" applyFont="1" applyFill="1" applyBorder="1" applyAlignment="1">
      <alignment horizontal="center" wrapText="1"/>
    </xf>
    <xf numFmtId="0" fontId="20" fillId="11" borderId="2" xfId="0" applyFont="1" applyFill="1" applyBorder="1" applyAlignment="1">
      <alignment horizontal="center" wrapText="1"/>
    </xf>
    <xf numFmtId="0" fontId="20" fillId="7" borderId="1" xfId="0" applyFont="1" applyFill="1" applyBorder="1" applyAlignment="1">
      <alignment horizontal="center" vertical="center" wrapText="1"/>
    </xf>
    <xf numFmtId="0" fontId="5" fillId="0" borderId="8" xfId="0" applyFont="1" applyBorder="1" applyAlignment="1">
      <alignment horizontal="center" wrapText="1"/>
    </xf>
    <xf numFmtId="0" fontId="1" fillId="11" borderId="3" xfId="0" applyFont="1" applyFill="1" applyBorder="1" applyAlignment="1">
      <alignment horizontal="center" vertical="top"/>
    </xf>
    <xf numFmtId="0" fontId="1" fillId="11" borderId="1" xfId="0" applyFont="1" applyFill="1" applyBorder="1" applyAlignment="1">
      <alignment horizontal="center" vertical="top" wrapText="1"/>
    </xf>
    <xf numFmtId="0" fontId="9" fillId="0" borderId="46" xfId="0" applyFont="1" applyBorder="1" applyAlignment="1">
      <alignment horizontal="center" wrapText="1"/>
    </xf>
    <xf numFmtId="0" fontId="9" fillId="0" borderId="2" xfId="0" applyFont="1" applyBorder="1" applyAlignment="1">
      <alignment horizontal="center" wrapText="1"/>
    </xf>
    <xf numFmtId="0" fontId="20" fillId="11" borderId="11" xfId="0" applyFont="1" applyFill="1" applyBorder="1" applyAlignment="1">
      <alignment horizontal="center" wrapText="1"/>
    </xf>
    <xf numFmtId="0" fontId="20" fillId="11" borderId="6" xfId="0" applyFont="1" applyFill="1" applyBorder="1" applyAlignment="1">
      <alignment horizontal="center" wrapText="1"/>
    </xf>
    <xf numFmtId="0" fontId="1" fillId="11" borderId="46" xfId="0" applyFont="1" applyFill="1" applyBorder="1" applyAlignment="1">
      <alignment horizontal="center" vertical="top" wrapText="1"/>
    </xf>
    <xf numFmtId="0" fontId="1" fillId="11" borderId="2" xfId="0" applyFont="1" applyFill="1" applyBorder="1" applyAlignment="1">
      <alignment horizontal="center" vertical="top" wrapText="1"/>
    </xf>
    <xf numFmtId="0" fontId="1" fillId="11" borderId="3" xfId="0" applyFont="1" applyFill="1" applyBorder="1" applyAlignment="1">
      <alignment horizontal="center"/>
    </xf>
    <xf numFmtId="0" fontId="19" fillId="0" borderId="8" xfId="0" applyFont="1" applyBorder="1" applyAlignment="1">
      <alignment horizontal="center" wrapText="1"/>
    </xf>
    <xf numFmtId="0" fontId="5" fillId="0" borderId="10" xfId="0" applyFont="1" applyBorder="1" applyAlignment="1">
      <alignment horizontal="center" vertical="center" wrapText="1"/>
      <extLst>
        <ext xmlns:xfpb="http://schemas.microsoft.com/office/spreadsheetml/2022/featurepropertybag" uri="{C7286773-470A-42A8-94C5-96B5CB345126}">
          <xfpb:xfComplement i="0"/>
        </ext>
      </extLst>
    </xf>
    <xf numFmtId="0" fontId="5" fillId="0" borderId="8" xfId="0" applyFont="1" applyBorder="1" applyAlignment="1">
      <alignment horizontal="center"/>
    </xf>
  </cellXfs>
  <cellStyles count="2">
    <cellStyle name="Hyperlink" xfId="1" builtinId="8"/>
    <cellStyle name="Normal" xfId="0" builtinId="0"/>
  </cellStyles>
  <dxfs count="3421">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font>
    </dxf>
    <dxf>
      <font>
        <color theme="1"/>
      </font>
    </dxf>
    <dxf>
      <font>
        <color theme="1"/>
      </font>
      <fill>
        <patternFill>
          <bgColor theme="0"/>
        </patternFill>
      </fill>
      <border>
        <left style="thin">
          <color auto="1"/>
        </left>
        <right/>
        <top/>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0" tint="-0.2499465926084170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5" tint="-0.499984740745262"/>
      </font>
    </dxf>
    <dxf>
      <font>
        <color theme="1"/>
      </font>
    </dxf>
    <dxf>
      <font>
        <color theme="5" tint="-0.24994659260841701"/>
      </font>
    </dxf>
    <dxf>
      <font>
        <color rgb="FFFFC000"/>
      </font>
    </dxf>
    <dxf>
      <font>
        <color theme="8"/>
      </font>
    </dxf>
    <dxf>
      <font>
        <color rgb="FF00B0F0"/>
      </font>
    </dxf>
    <dxf>
      <font>
        <color rgb="FF00B050"/>
      </font>
    </dxf>
    <dxf>
      <font>
        <color theme="2" tint="-0.749961851863155"/>
      </font>
    </dxf>
    <dxf>
      <font>
        <color rgb="FF7030A0"/>
      </font>
    </dxf>
    <dxf>
      <font>
        <color theme="0" tint="-0.499984740745262"/>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top style="thin">
          <color auto="1"/>
        </top>
        <bottom style="thin">
          <color auto="1"/>
        </bottom>
        <vertical/>
        <horizontal/>
      </border>
    </dxf>
    <dxf>
      <font>
        <color theme="1"/>
      </font>
    </dxf>
    <dxf>
      <font>
        <color theme="1"/>
      </font>
    </dxf>
    <dxf>
      <font>
        <color theme="1"/>
      </font>
    </dxf>
    <dxf>
      <font>
        <color theme="1"/>
      </font>
      <border>
        <left style="thin">
          <color auto="1"/>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bottom style="thin">
          <color auto="1"/>
        </bottom>
        <vertical/>
        <horizontal/>
      </border>
    </dxf>
    <dxf>
      <font>
        <color theme="1"/>
      </font>
    </dxf>
    <dxf>
      <font>
        <color theme="1"/>
      </font>
    </dxf>
    <dxf>
      <font>
        <color theme="1"/>
      </font>
    </dxf>
    <dxf>
      <font>
        <color theme="1"/>
      </font>
    </dxf>
    <dxf>
      <font>
        <color theme="1"/>
      </font>
      <border>
        <left style="thin">
          <color auto="1"/>
        </left>
        <vertical/>
        <horizontal/>
      </border>
    </dxf>
    <dxf>
      <font>
        <color theme="1"/>
      </font>
    </dxf>
    <dxf>
      <font>
        <color theme="1"/>
      </font>
    </dxf>
    <dxf>
      <font>
        <color theme="1"/>
      </font>
    </dxf>
    <dxf>
      <font>
        <color theme="1"/>
      </font>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0"/>
      </font>
    </dxf>
    <dxf>
      <font>
        <color theme="0"/>
      </font>
    </dxf>
    <dxf>
      <font>
        <color theme="1"/>
      </font>
    </dxf>
    <dxf>
      <font>
        <color theme="0"/>
      </font>
    </dxf>
    <dxf>
      <font>
        <color theme="0"/>
      </font>
    </dxf>
    <dxf>
      <font>
        <color theme="0"/>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2" tint="-0.499984740745262"/>
      </font>
      <fill>
        <patternFill>
          <bgColor theme="2" tint="-0.499984740745262"/>
        </patternFill>
      </fill>
    </dxf>
    <dxf>
      <font>
        <color theme="2" tint="-0.499984740745262"/>
      </font>
      <fill>
        <patternFill>
          <bgColor theme="2" tint="-0.499984740745262"/>
        </patternFill>
      </fill>
    </dxf>
    <dxf>
      <font>
        <color theme="1"/>
      </font>
      <border>
        <left style="thin">
          <color auto="1"/>
        </left>
        <right style="thin">
          <color auto="1"/>
        </right>
        <top style="thin">
          <color auto="1"/>
        </top>
        <bottom style="thin">
          <color auto="1"/>
        </bottom>
        <vertical/>
        <horizontal/>
      </border>
    </dxf>
    <dxf>
      <font>
        <color theme="1"/>
      </font>
    </dxf>
    <dxf>
      <font>
        <color theme="0"/>
      </font>
    </dxf>
    <dxf>
      <font>
        <color theme="1"/>
      </font>
    </dxf>
    <dxf>
      <font>
        <color theme="2" tint="-0.499984740745262"/>
      </font>
      <fill>
        <patternFill>
          <bgColor theme="2" tint="-0.499984740745262"/>
        </patternFill>
      </fill>
    </dxf>
    <dxf>
      <font>
        <color theme="2" tint="-0.499984740745262"/>
      </font>
      <fill>
        <patternFill>
          <bgColor theme="2" tint="-0.499984740745262"/>
        </patternFill>
      </fill>
    </dxf>
    <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top style="thin">
          <color auto="1"/>
        </top>
        <vertical/>
        <horizontal/>
      </border>
    </dxf>
    <dxf>
      <font>
        <color theme="0"/>
      </font>
      <fill>
        <patternFill>
          <bgColor theme="0"/>
        </patternFill>
      </fill>
      <border>
        <left/>
        <right style="thin">
          <color auto="1"/>
        </right>
        <top/>
        <bottom/>
        <vertical/>
        <horizontal/>
      </border>
    </dxf>
    <dxf>
      <font>
        <color theme="0"/>
      </font>
      <border>
        <right style="thin">
          <color auto="1"/>
        </right>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0"/>
      </font>
    </dxf>
    <dxf>
      <font>
        <color theme="0"/>
      </font>
    </dxf>
    <dxf>
      <font>
        <color theme="1"/>
      </font>
    </dxf>
    <dxf>
      <font>
        <color theme="0"/>
      </font>
    </dxf>
    <dxf>
      <font>
        <color theme="0"/>
      </font>
    </dxf>
    <dxf>
      <font>
        <color theme="2" tint="-0.499984740745262"/>
      </font>
      <fill>
        <patternFill>
          <bgColor theme="2" tint="-0.499984740745262"/>
        </patternFill>
      </fill>
    </dxf>
    <dxf>
      <font>
        <color theme="0"/>
      </font>
      <border>
        <left style="thin">
          <color auto="1"/>
        </left>
        <vertical/>
        <horizontal/>
      </border>
    </dxf>
    <dxf>
      <font>
        <color theme="0"/>
      </font>
      <border>
        <left style="thin">
          <color auto="1"/>
        </left>
        <vertical/>
        <horizontal/>
      </border>
    </dxf>
    <dxf>
      <font>
        <color theme="1"/>
      </font>
      <border>
        <left style="thin">
          <color auto="1"/>
        </left>
        <vertical/>
        <horizontal/>
      </border>
    </dxf>
    <dxf>
      <font>
        <color theme="0"/>
      </font>
      <border>
        <left style="thin">
          <color auto="1"/>
        </left>
        <vertical/>
        <horizontal/>
      </border>
    </dxf>
    <dxf>
      <font>
        <color theme="0"/>
      </font>
      <border>
        <left style="thin">
          <color auto="1"/>
        </left>
        <vertical/>
        <horizontal/>
      </border>
    </dxf>
    <dxf>
      <font>
        <color theme="1"/>
      </font>
    </dxf>
    <dxf>
      <font>
        <color theme="1"/>
      </font>
    </dxf>
    <dxf>
      <font>
        <color theme="1"/>
      </font>
    </dxf>
    <dxf>
      <font>
        <color theme="0"/>
      </font>
      <border>
        <right style="thin">
          <color auto="1"/>
        </right>
        <vertical/>
        <horizontal/>
      </border>
    </dxf>
    <dxf>
      <font>
        <color theme="1"/>
      </font>
    </dxf>
    <dxf>
      <font>
        <color theme="1"/>
      </font>
    </dxf>
    <dxf>
      <font>
        <color theme="0"/>
      </font>
      <border>
        <right style="thin">
          <color auto="1"/>
        </right>
        <vertical/>
        <horizontal/>
      </border>
    </dxf>
    <dxf>
      <font>
        <color theme="1"/>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2" tint="-0.499984740745262"/>
      </font>
      <fill>
        <patternFill>
          <bgColor theme="2" tint="-0.499984740745262"/>
        </patternFill>
      </fill>
      <border>
        <left/>
        <right/>
        <top/>
        <bottom/>
      </border>
    </dxf>
    <dxf>
      <font>
        <color theme="0"/>
      </font>
      <fill>
        <patternFill>
          <bgColor theme="0"/>
        </patternFill>
      </fill>
    </dxf>
    <dxf>
      <font>
        <color theme="0" tint="-0.34998626667073579"/>
      </font>
    </dxf>
    <dxf>
      <font>
        <color theme="0"/>
      </font>
    </dxf>
    <dxf>
      <font>
        <color theme="1"/>
      </font>
    </dxf>
    <dxf>
      <font>
        <color theme="1"/>
      </font>
    </dxf>
    <dxf>
      <font>
        <color theme="0"/>
      </font>
      <border>
        <left style="thin">
          <color auto="1"/>
        </left>
        <vertical/>
        <horizontal/>
      </border>
    </dxf>
    <dxf>
      <font>
        <color theme="1"/>
      </font>
    </dxf>
    <dxf>
      <font>
        <color theme="0"/>
      </font>
      <fill>
        <patternFill>
          <bgColor theme="0"/>
        </patternFill>
      </fill>
      <border>
        <left style="thin">
          <color auto="1"/>
        </left>
        <right/>
        <top/>
        <bottom/>
        <vertical/>
        <horizontal/>
      </border>
    </dxf>
    <dxf>
      <font>
        <color theme="1"/>
      </font>
    </dxf>
    <dxf>
      <border>
        <left style="thin">
          <color auto="1"/>
        </left>
        <vertical/>
        <horizontal/>
      </border>
    </dxf>
    <dxf>
      <font>
        <color theme="1"/>
      </font>
      <border>
        <left style="thin">
          <color auto="1"/>
        </left>
        <right/>
        <top/>
        <bottom/>
        <vertical/>
        <horizontal/>
      </border>
    </dxf>
    <dxf>
      <font>
        <color theme="1"/>
      </font>
    </dxf>
    <dxf>
      <font>
        <color theme="2" tint="-0.24994659260841701"/>
      </font>
      <fill>
        <patternFill>
          <bgColor theme="2" tint="-0.24994659260841701"/>
        </patternFill>
      </fill>
    </dxf>
    <dxf>
      <border>
        <right style="thin">
          <color auto="1"/>
        </right>
        <vertical/>
        <horizontal/>
      </border>
    </dxf>
    <dxf>
      <font>
        <color theme="0"/>
      </font>
    </dxf>
    <dxf>
      <font>
        <color theme="1"/>
      </font>
      <border>
        <left style="thin">
          <color auto="1"/>
        </left>
        <right style="thin">
          <color auto="1"/>
        </right>
        <top style="thin">
          <color auto="1"/>
        </top>
        <bottom style="thin">
          <color auto="1"/>
        </bottom>
        <vertical/>
        <horizontal/>
      </border>
    </dxf>
    <dxf>
      <font>
        <color theme="0"/>
      </font>
    </dxf>
    <dxf>
      <font>
        <color theme="2" tint="-0.499984740745262"/>
      </font>
      <fill>
        <patternFill>
          <bgColor theme="2" tint="-0.499984740745262"/>
        </patternFill>
      </fill>
    </dxf>
    <dxf>
      <font>
        <color theme="0"/>
      </font>
      <fill>
        <patternFill>
          <bgColor theme="0"/>
        </patternFill>
      </fill>
      <border>
        <left/>
        <right/>
        <top/>
        <bottom/>
        <vertical/>
        <horizontal/>
      </border>
    </dxf>
    <dxf>
      <font>
        <color theme="0"/>
      </font>
      <border>
        <left/>
        <right/>
        <top/>
        <bottom/>
      </border>
    </dxf>
    <dxf>
      <font>
        <color theme="1"/>
      </font>
    </dxf>
    <dxf>
      <font>
        <color theme="2" tint="-0.24994659260841701"/>
      </font>
      <fill>
        <patternFill>
          <bgColor theme="2" tint="-0.24994659260841701"/>
        </patternFill>
      </fill>
    </dxf>
    <dxf>
      <border>
        <left style="thin">
          <color auto="1"/>
        </left>
        <vertical/>
        <horizontal/>
      </border>
    </dxf>
    <dxf>
      <border>
        <left style="thin">
          <color auto="1"/>
        </left>
        <vertical/>
        <horizontal/>
      </border>
    </dxf>
    <dxf>
      <border>
        <left style="thin">
          <color auto="1"/>
        </left>
        <vertical/>
        <horizontal/>
      </border>
    </dxf>
    <dxf>
      <font>
        <color theme="0"/>
      </font>
      <fill>
        <patternFill>
          <bgColor theme="0"/>
        </patternFill>
      </fill>
      <border>
        <left style="thin">
          <color auto="1"/>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0"/>
      </font>
    </dxf>
    <dxf>
      <font>
        <color theme="0"/>
      </font>
    </dxf>
    <dxf>
      <font>
        <color theme="0"/>
      </font>
    </dxf>
    <dxf>
      <font>
        <color theme="0"/>
      </font>
    </dxf>
    <dxf>
      <font>
        <color theme="0"/>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font>
    </dxf>
    <dxf>
      <font>
        <color theme="0" tint="-0.34998626667073579"/>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1"/>
      </font>
      <border>
        <left style="thin">
          <color auto="1"/>
        </left>
        <right style="thin">
          <color auto="1"/>
        </right>
        <top style="thin">
          <color auto="1"/>
        </top>
        <bottom style="thin">
          <color auto="1"/>
        </bottom>
      </border>
    </dxf>
    <dxf>
      <font>
        <color theme="0" tint="-0.34998626667073579"/>
      </font>
    </dxf>
    <dxf>
      <font>
        <color theme="0"/>
      </font>
    </dxf>
    <dxf>
      <font>
        <color theme="0" tint="-0.34998626667073579"/>
      </font>
      <fill>
        <patternFill patternType="none">
          <bgColor auto="1"/>
        </patternFill>
      </fill>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fill>
        <patternFill>
          <bgColor theme="0"/>
        </patternFill>
      </fill>
      <border>
        <left/>
        <right/>
        <top/>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0"/>
      </font>
    </dxf>
    <dxf>
      <font>
        <color theme="2"/>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font>
    </dxf>
    <dxf>
      <font>
        <color theme="2"/>
      </font>
    </dxf>
    <dxf>
      <font>
        <color theme="2"/>
      </font>
    </dxf>
    <dxf>
      <font>
        <color theme="2"/>
      </font>
    </dxf>
    <dxf>
      <font>
        <color theme="2"/>
      </font>
    </dxf>
    <dxf>
      <font>
        <color theme="2"/>
      </font>
    </dxf>
    <dxf>
      <font>
        <color theme="2"/>
      </font>
    </dxf>
    <dxf>
      <font>
        <color theme="2"/>
      </font>
    </dxf>
    <dxf>
      <font>
        <color theme="2"/>
      </font>
    </dxf>
    <dxf>
      <font>
        <color theme="0"/>
      </font>
    </dxf>
    <dxf>
      <font>
        <color theme="2"/>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style="thin">
          <color auto="1"/>
        </top>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border>
        <left style="thin">
          <color auto="1"/>
        </left>
        <right style="thin">
          <color auto="1"/>
        </right>
        <top style="thin">
          <color auto="1"/>
        </top>
        <bottom style="thin">
          <color auto="1"/>
        </bottom>
        <vertical/>
        <horizontal/>
      </border>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1"/>
      </font>
    </dxf>
    <dxf>
      <font>
        <color theme="0"/>
      </font>
    </dxf>
    <dxf>
      <font>
        <color theme="1"/>
      </font>
      <border>
        <left style="thin">
          <color auto="1"/>
        </left>
        <right style="thin">
          <color auto="1"/>
        </right>
        <top style="thin">
          <color auto="1"/>
        </top>
        <bottom style="thin">
          <color auto="1"/>
        </bottom>
        <vertical/>
        <horizontal/>
      </border>
    </dxf>
    <dxf>
      <font>
        <color theme="1"/>
      </font>
    </dxf>
    <dxf>
      <font>
        <color theme="1"/>
      </font>
      <fill>
        <patternFill patternType="none">
          <bgColor auto="1"/>
        </patternFill>
      </fill>
      <border>
        <left style="thin">
          <color auto="1"/>
        </left>
        <right style="thin">
          <color auto="1"/>
        </right>
        <top style="thin">
          <color auto="1"/>
        </top>
        <bottom style="thin">
          <color auto="1"/>
        </bottom>
        <vertical/>
        <horizontal/>
      </border>
    </dxf>
    <dxf>
      <font>
        <color theme="0" tint="-0.34998626667073579"/>
      </font>
    </dxf>
    <dxf>
      <font>
        <color theme="0"/>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dxf>
    <dxf>
      <font>
        <color theme="2" tint="-0.499984740745262"/>
      </font>
      <fill>
        <patternFill>
          <bgColor theme="2" tint="-0.499984740745262"/>
        </patternFill>
      </fill>
      <border>
        <left/>
        <right/>
        <top/>
        <bottom/>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499984740745262"/>
      </font>
      <fill>
        <patternFill>
          <bgColor theme="2" tint="-0.499984740745262"/>
        </patternFill>
      </fill>
      <border>
        <left/>
        <right/>
        <top/>
        <bottom/>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0"/>
      </font>
      <fill>
        <patternFill>
          <bgColor theme="0"/>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24994659260841701"/>
      </font>
      <fill>
        <patternFill>
          <bgColor theme="2" tint="-0.24994659260841701"/>
        </patternFill>
      </fill>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0" tint="-0.34998626667073579"/>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0" tint="-0.34998626667073579"/>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499984740745262"/>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1"/>
      </font>
    </dxf>
    <dxf>
      <font>
        <color theme="0" tint="-0.24994659260841701"/>
      </font>
    </dxf>
    <dxf>
      <font>
        <color theme="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2" tint="-0.24994659260841701"/>
      </font>
    </dxf>
    <dxf>
      <font>
        <color theme="1"/>
      </font>
    </dxf>
    <dxf>
      <font>
        <color theme="1"/>
      </font>
    </dxf>
    <dxf>
      <font>
        <color theme="1"/>
      </font>
    </dxf>
    <dxf>
      <font>
        <color theme="2" tint="-0.24994659260841701"/>
      </font>
    </dxf>
    <dxf>
      <font>
        <color theme="1"/>
      </font>
    </dxf>
    <dxf>
      <font>
        <color theme="2" tint="-0.24994659260841701"/>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2" tint="-0.2499465926084170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vertical/>
        <horizontal/>
      </border>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1"/>
      </font>
      <border>
        <left style="thin">
          <color auto="1"/>
        </left>
        <right style="thin">
          <color auto="1"/>
        </right>
        <top style="thin">
          <color auto="1"/>
        </top>
        <bottom style="thin">
          <color auto="1"/>
        </bottom>
        <vertical/>
        <horizontal/>
      </border>
    </dxf>
    <dxf>
      <font>
        <color theme="1"/>
      </font>
      <border>
        <left style="thin">
          <color auto="1"/>
        </left>
        <right style="thin">
          <color auto="1"/>
        </right>
        <top style="thin">
          <color auto="1"/>
        </top>
        <bottom style="thin">
          <color auto="1"/>
        </bottom>
        <vertical/>
        <horizontal/>
      </border>
    </dxf>
    <dxf>
      <font>
        <color theme="1"/>
      </font>
    </dxf>
    <dxf>
      <font>
        <color theme="1"/>
      </font>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bgColor theme="0"/>
        </patternFill>
      </fill>
      <border>
        <left/>
        <right/>
        <top/>
        <bottom/>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fgColor theme="0"/>
        </patternFill>
      </fill>
      <border>
        <left/>
        <right/>
        <top/>
        <bottom/>
        <vertical/>
        <horizontal/>
      </border>
    </dxf>
    <dxf>
      <font>
        <color theme="0"/>
      </font>
      <fill>
        <patternFill>
          <bgColor theme="0"/>
        </patternFill>
      </fill>
      <border>
        <left/>
        <right/>
        <top/>
        <bottom/>
        <vertical/>
        <horizontal/>
      </border>
    </dxf>
    <dxf>
      <font>
        <color theme="0" tint="-0.34998626667073579"/>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0"/>
      </font>
    </dxf>
    <dxf>
      <font>
        <color theme="0" tint="-0.34998626667073579"/>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0"/>
      </font>
    </dxf>
    <dxf>
      <font>
        <color theme="1"/>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0"/>
      </font>
    </dxf>
    <dxf>
      <font>
        <color theme="1"/>
      </font>
    </dxf>
    <dxf>
      <font>
        <color theme="1"/>
      </font>
    </dxf>
    <dxf>
      <font>
        <color theme="1"/>
      </font>
    </dxf>
    <dxf>
      <font>
        <color theme="0"/>
      </font>
    </dxf>
    <dxf>
      <font>
        <color theme="1"/>
      </font>
    </dxf>
    <dxf>
      <font>
        <color theme="1"/>
      </font>
    </dxf>
    <dxf>
      <font>
        <color theme="0"/>
      </font>
    </dxf>
    <dxf>
      <font>
        <color theme="1"/>
      </font>
    </dxf>
    <dxf>
      <font>
        <color theme="0"/>
      </font>
    </dxf>
    <dxf>
      <font>
        <color theme="1"/>
      </font>
    </dxf>
    <dxf>
      <font>
        <color theme="1"/>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fill>
        <patternFill>
          <bgColor theme="0"/>
        </patternFill>
      </fill>
      <border>
        <left/>
        <right/>
        <top/>
        <bottom/>
        <vertical/>
        <horizontal/>
      </border>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499984740745262"/>
      </font>
      <fill>
        <patternFill>
          <bgColor theme="2" tint="-0.499984740745262"/>
        </patternFill>
      </fill>
      <border>
        <left/>
        <right/>
        <top/>
        <bottom/>
        <vertical/>
        <horizontal/>
      </border>
    </dxf>
    <dxf>
      <font>
        <color theme="2" tint="-0.24994659260841701"/>
      </font>
    </dxf>
    <dxf>
      <font>
        <color theme="2" tint="-0.24994659260841701"/>
      </font>
    </dxf>
    <dxf>
      <font>
        <color theme="5" tint="-0.24994659260841701"/>
      </font>
    </dxf>
    <dxf>
      <font>
        <color theme="5" tint="-0.499984740745262"/>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2" tint="-0.749961851863155"/>
      </font>
    </dxf>
    <dxf>
      <font>
        <color theme="8"/>
      </font>
    </dxf>
    <dxf>
      <font>
        <color theme="1"/>
      </font>
    </dxf>
    <dxf>
      <font>
        <color theme="0" tint="-0.499984740745262"/>
      </font>
    </dxf>
    <dxf>
      <font>
        <color rgb="FFFFC000"/>
      </font>
    </dxf>
    <dxf>
      <font>
        <color rgb="FF00B050"/>
      </font>
    </dxf>
    <dxf>
      <font>
        <color rgb="FF00B0F0"/>
      </font>
    </dxf>
    <dxf>
      <font>
        <color theme="5" tint="-0.499984740745262"/>
      </font>
    </dxf>
    <dxf>
      <font>
        <color rgb="FF7030A0"/>
      </font>
    </dxf>
    <dxf>
      <font>
        <color theme="5" tint="-0.24994659260841701"/>
      </font>
    </dxf>
    <dxf>
      <font>
        <color theme="8"/>
      </font>
    </dxf>
    <dxf>
      <font>
        <color theme="5" tint="-0.499984740745262"/>
      </font>
    </dxf>
    <dxf>
      <font>
        <color theme="5" tint="-0.24994659260841701"/>
      </font>
    </dxf>
    <dxf>
      <font>
        <color rgb="FFFFC000"/>
      </font>
    </dxf>
    <dxf>
      <font>
        <color rgb="FF00B050"/>
      </font>
    </dxf>
    <dxf>
      <font>
        <color rgb="FF00B0F0"/>
      </font>
    </dxf>
    <dxf>
      <font>
        <color rgb="FF7030A0"/>
      </font>
    </dxf>
    <dxf>
      <font>
        <color theme="1"/>
      </font>
    </dxf>
    <dxf>
      <font>
        <color theme="2" tint="-0.749961851863155"/>
      </font>
    </dxf>
    <dxf>
      <font>
        <color theme="0" tint="-0.499984740745262"/>
      </font>
    </dxf>
    <dxf>
      <font>
        <color rgb="FF00B0F0"/>
      </font>
    </dxf>
    <dxf>
      <font>
        <color theme="1"/>
      </font>
    </dxf>
    <dxf>
      <font>
        <color theme="0" tint="-0.499984740745262"/>
      </font>
    </dxf>
    <dxf>
      <font>
        <color theme="8"/>
      </font>
    </dxf>
    <dxf>
      <font>
        <color theme="2" tint="-0.749961851863155"/>
      </font>
    </dxf>
    <dxf>
      <font>
        <color theme="5" tint="-0.499984740745262"/>
      </font>
    </dxf>
    <dxf>
      <font>
        <color theme="5" tint="-0.24994659260841701"/>
      </font>
    </dxf>
    <dxf>
      <font>
        <color rgb="FFFFC000"/>
      </font>
    </dxf>
    <dxf>
      <font>
        <color rgb="FF00B050"/>
      </font>
    </dxf>
    <dxf>
      <font>
        <color rgb="FF7030A0"/>
      </font>
    </dxf>
    <dxf>
      <font>
        <color rgb="FF00B050"/>
      </font>
    </dxf>
    <dxf>
      <font>
        <color rgb="FFFFC000"/>
      </font>
    </dxf>
    <dxf>
      <font>
        <color theme="5" tint="-0.24994659260841701"/>
      </font>
    </dxf>
    <dxf>
      <font>
        <color theme="5" tint="-0.499984740745262"/>
      </font>
    </dxf>
    <dxf>
      <font>
        <color rgb="FF00B0F0"/>
      </font>
    </dxf>
    <dxf>
      <font>
        <color theme="1"/>
      </font>
    </dxf>
    <dxf>
      <font>
        <color theme="0" tint="-0.499984740745262"/>
      </font>
    </dxf>
    <dxf>
      <font>
        <color theme="8"/>
      </font>
    </dxf>
    <dxf>
      <font>
        <color theme="2" tint="-0.749961851863155"/>
      </font>
    </dxf>
    <dxf>
      <font>
        <color rgb="FF7030A0"/>
      </font>
    </dxf>
    <dxf>
      <font>
        <color theme="5" tint="-0.499984740745262"/>
      </font>
    </dxf>
    <dxf>
      <font>
        <color theme="2" tint="-0.749961851863155"/>
      </font>
    </dxf>
    <dxf>
      <font>
        <color theme="8"/>
      </font>
    </dxf>
    <dxf>
      <font>
        <color theme="0" tint="-0.499984740745262"/>
      </font>
    </dxf>
    <dxf>
      <font>
        <color theme="1"/>
      </font>
    </dxf>
    <dxf>
      <font>
        <color rgb="FFFFC000"/>
      </font>
    </dxf>
    <dxf>
      <font>
        <color theme="5" tint="-0.24994659260841701"/>
      </font>
    </dxf>
    <dxf>
      <font>
        <color rgb="FF00B050"/>
      </font>
    </dxf>
    <dxf>
      <font>
        <color rgb="FF00B0F0"/>
      </font>
    </dxf>
    <dxf>
      <font>
        <color rgb="FF7030A0"/>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1"/>
      </font>
    </dxf>
    <dxf>
      <font>
        <color theme="5" tint="-0.499984740745262"/>
      </font>
    </dxf>
    <dxf>
      <font>
        <color theme="5" tint="-0.24994659260841701"/>
      </font>
    </dxf>
    <dxf>
      <font>
        <color theme="1"/>
      </font>
    </dxf>
    <dxf>
      <font>
        <color theme="0" tint="-0.499984740745262"/>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8"/>
      </font>
    </dxf>
    <dxf>
      <font>
        <color rgb="FF00B050"/>
      </font>
    </dxf>
    <dxf>
      <font>
        <color theme="1"/>
      </font>
    </dxf>
    <dxf>
      <font>
        <color theme="8"/>
      </font>
    </dxf>
    <dxf>
      <font>
        <color theme="0" tint="-0.499984740745262"/>
      </font>
    </dxf>
    <dxf>
      <font>
        <color theme="2" tint="-0.749961851863155"/>
      </font>
    </dxf>
    <dxf>
      <font>
        <color rgb="FF7030A0"/>
      </font>
    </dxf>
    <dxf>
      <font>
        <color rgb="FF00B0F0"/>
      </font>
    </dxf>
    <dxf>
      <font>
        <color rgb="FFFFC000"/>
      </font>
    </dxf>
    <dxf>
      <font>
        <color theme="5" tint="-0.24994659260841701"/>
      </font>
    </dxf>
    <dxf>
      <font>
        <color theme="5" tint="-0.499984740745262"/>
      </font>
    </dxf>
    <dxf>
      <font>
        <color theme="0" tint="-0.499984740745262"/>
      </font>
    </dxf>
    <dxf>
      <font>
        <color theme="2" tint="-0.749961851863155"/>
      </font>
    </dxf>
    <dxf>
      <font>
        <color rgb="FF7030A0"/>
      </font>
    </dxf>
    <dxf>
      <font>
        <color theme="8"/>
      </font>
    </dxf>
    <dxf>
      <font>
        <color rgb="FF00B050"/>
      </font>
    </dxf>
    <dxf>
      <font>
        <color rgb="FFFFC000"/>
      </font>
    </dxf>
    <dxf>
      <font>
        <color theme="5" tint="-0.24994659260841701"/>
      </font>
    </dxf>
    <dxf>
      <font>
        <color theme="5" tint="-0.499984740745262"/>
      </font>
    </dxf>
    <dxf>
      <font>
        <color rgb="FF00B0F0"/>
      </font>
    </dxf>
    <dxf>
      <font>
        <color theme="1"/>
      </font>
    </dxf>
    <dxf>
      <font>
        <color rgb="FF7030A0"/>
      </font>
    </dxf>
    <dxf>
      <font>
        <color theme="1"/>
      </font>
    </dxf>
    <dxf>
      <font>
        <color theme="0" tint="-0.499984740745262"/>
      </font>
    </dxf>
    <dxf>
      <font>
        <color theme="8"/>
      </font>
    </dxf>
    <dxf>
      <font>
        <color theme="2" tint="-0.749961851863155"/>
      </font>
    </dxf>
    <dxf>
      <font>
        <color rgb="FF00B0F0"/>
      </font>
    </dxf>
    <dxf>
      <font>
        <color rgb="FF00B050"/>
      </font>
    </dxf>
    <dxf>
      <font>
        <color rgb="FFFFC000"/>
      </font>
    </dxf>
    <dxf>
      <font>
        <color theme="5" tint="-0.24994659260841701"/>
      </font>
    </dxf>
    <dxf>
      <font>
        <color theme="5" tint="-0.499984740745262"/>
      </font>
    </dxf>
    <dxf>
      <font>
        <color theme="0" tint="-0.499984740745262"/>
      </font>
    </dxf>
    <dxf>
      <font>
        <color theme="8"/>
      </font>
    </dxf>
    <dxf>
      <font>
        <color theme="2" tint="-0.749961851863155"/>
      </font>
    </dxf>
    <dxf>
      <font>
        <color rgb="FF7030A0"/>
      </font>
    </dxf>
    <dxf>
      <font>
        <color rgb="FF00B0F0"/>
      </font>
    </dxf>
    <dxf>
      <font>
        <color theme="5" tint="-0.24994659260841701"/>
      </font>
    </dxf>
    <dxf>
      <font>
        <color theme="5" tint="-0.499984740745262"/>
      </font>
    </dxf>
    <dxf>
      <font>
        <color rgb="FF00B050"/>
      </font>
    </dxf>
    <dxf>
      <font>
        <color rgb="FFFFC000"/>
      </font>
    </dxf>
    <dxf>
      <font>
        <color theme="1"/>
      </font>
    </dxf>
    <dxf>
      <font>
        <color theme="1"/>
      </font>
    </dxf>
    <dxf>
      <font>
        <color theme="0" tint="-0.499984740745262"/>
      </font>
    </dxf>
    <dxf>
      <font>
        <color theme="8"/>
      </font>
    </dxf>
    <dxf>
      <font>
        <color theme="2" tint="-0.749961851863155"/>
      </font>
    </dxf>
    <dxf>
      <font>
        <color rgb="FF00B0F0"/>
      </font>
    </dxf>
    <dxf>
      <font>
        <color rgb="FF00B050"/>
      </font>
    </dxf>
    <dxf>
      <font>
        <color rgb="FFFFC000"/>
      </font>
    </dxf>
    <dxf>
      <font>
        <color theme="5" tint="-0.24994659260841701"/>
      </font>
    </dxf>
    <dxf>
      <font>
        <color rgb="FF7030A0"/>
      </font>
    </dxf>
    <dxf>
      <font>
        <color theme="5" tint="-0.499984740745262"/>
      </font>
    </dxf>
    <dxf>
      <font>
        <color theme="5" tint="-0.24994659260841701"/>
      </font>
    </dxf>
    <dxf>
      <font>
        <color theme="5" tint="-0.499984740745262"/>
      </font>
    </dxf>
    <dxf>
      <font>
        <color rgb="FF00B050"/>
      </font>
    </dxf>
    <dxf>
      <font>
        <color rgb="FF00B0F0"/>
      </font>
    </dxf>
    <dxf>
      <font>
        <color theme="2" tint="-0.749961851863155"/>
      </font>
    </dxf>
    <dxf>
      <font>
        <color theme="8"/>
      </font>
    </dxf>
    <dxf>
      <font>
        <color theme="0" tint="-0.499984740745262"/>
      </font>
    </dxf>
    <dxf>
      <font>
        <color theme="1"/>
      </font>
    </dxf>
    <dxf>
      <font>
        <color rgb="FFFFC000"/>
      </font>
    </dxf>
    <dxf>
      <font>
        <color rgb="FF7030A0"/>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5" tint="-0.24994659260841701"/>
      </font>
    </dxf>
    <dxf>
      <font>
        <color theme="1"/>
      </font>
    </dxf>
    <dxf>
      <font>
        <color theme="5" tint="-0.499984740745262"/>
      </font>
    </dxf>
    <dxf>
      <font>
        <color theme="8"/>
      </font>
    </dxf>
    <dxf>
      <font>
        <color theme="5" tint="-0.499984740745262"/>
      </font>
    </dxf>
    <dxf>
      <font>
        <color theme="1"/>
      </font>
    </dxf>
    <dxf>
      <font>
        <color theme="0" tint="-0.499984740745262"/>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1"/>
      </font>
    </dxf>
    <dxf>
      <font>
        <color theme="0"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8"/>
      </font>
    </dxf>
    <dxf>
      <font>
        <color theme="2" tint="-0.749961851863155"/>
      </font>
    </dxf>
    <dxf>
      <font>
        <color rgb="FF7030A0"/>
      </font>
    </dxf>
    <dxf>
      <font>
        <color rgb="FF00B0F0"/>
      </font>
    </dxf>
    <dxf>
      <font>
        <color rgb="FF00B050"/>
      </font>
    </dxf>
    <dxf>
      <font>
        <color rgb="FFFFC000"/>
      </font>
    </dxf>
    <dxf>
      <font>
        <color theme="5" tint="-0.24994659260841701"/>
      </font>
    </dxf>
    <dxf>
      <font>
        <color theme="5" tint="-0.499984740745262"/>
      </font>
    </dxf>
    <dxf>
      <font>
        <color theme="1"/>
      </font>
    </dxf>
    <dxf>
      <font>
        <color theme="0" tint="-0.499984740745262"/>
      </font>
    </dxf>
    <dxf>
      <font>
        <color theme="5" tint="-0.499984740745262"/>
      </font>
    </dxf>
    <dxf>
      <font>
        <color theme="5" tint="-0.24994659260841701"/>
      </font>
    </dxf>
    <dxf>
      <font>
        <color rgb="FFFFC000"/>
      </font>
    </dxf>
    <dxf>
      <font>
        <color rgb="FF00B050"/>
      </font>
    </dxf>
    <dxf>
      <font>
        <color rgb="FF00B0F0"/>
      </font>
    </dxf>
    <dxf>
      <font>
        <color rgb="FF7030A0"/>
      </font>
    </dxf>
    <dxf>
      <font>
        <color theme="2" tint="-0.749961851863155"/>
      </font>
    </dxf>
    <dxf>
      <font>
        <color theme="8"/>
      </font>
    </dxf>
    <dxf>
      <font>
        <color theme="0" tint="-0.499984740745262"/>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0"/>
      </font>
    </dxf>
    <dxf>
      <font>
        <color theme="0"/>
      </font>
    </dxf>
    <dxf>
      <font>
        <color theme="1"/>
      </font>
    </dxf>
    <dxf>
      <font>
        <color theme="0"/>
      </font>
    </dxf>
    <dxf>
      <font>
        <color theme="0"/>
      </font>
    </dxf>
    <dxf>
      <font>
        <color theme="1"/>
      </font>
    </dxf>
    <dxf>
      <font>
        <color theme="0"/>
      </font>
    </dxf>
    <dxf>
      <font>
        <color theme="0"/>
      </font>
    </dxf>
    <dxf>
      <font>
        <color theme="0"/>
      </font>
    </dxf>
    <dxf>
      <font>
        <color theme="1"/>
      </font>
    </dxf>
    <dxf>
      <font>
        <color theme="0"/>
      </font>
    </dxf>
    <dxf>
      <font>
        <color theme="0"/>
      </font>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1"/>
      </font>
      <fill>
        <patternFill patternType="none">
          <bgColor auto="1"/>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0"/>
      </font>
      <fill>
        <patternFill>
          <bgColor theme="0"/>
        </patternFill>
      </fill>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border>
        <left style="thin">
          <color auto="1"/>
        </left>
        <right/>
        <top/>
        <bottom/>
        <vertical/>
        <horizontal/>
      </border>
    </dxf>
    <dxf>
      <font>
        <color theme="1"/>
      </font>
    </dxf>
    <dxf>
      <font>
        <color theme="1"/>
      </font>
    </dxf>
  </dxfs>
  <tableStyles count="0" defaultTableStyle="TableStyleMedium2" defaultPivotStyle="PivotStyleLight16"/>
  <colors>
    <mruColors>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22/11/relationships/FeaturePropertyBag" Target="featurePropertyBag/featurePropertyBag.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learn.microsoft.com/en-us/purview/deploymentmodels/depmod-securebydefault-phase1" TargetMode="External"/><Relationship Id="rId7" Type="http://schemas.openxmlformats.org/officeDocument/2006/relationships/hyperlink" Target="https://www.linkedin.com/pulse/how-enable-container-based-groups-sites-sensitivity-label-bear-pberc/" TargetMode="External"/><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apply-sensitivity-label-automatically" TargetMode="External"/><Relationship Id="rId4" Type="http://schemas.openxmlformats.org/officeDocument/2006/relationships/hyperlink" Target="https://learn.microsoft.com/en-us/purview/dlp-learn-about-dlp"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learn.microsoft.com/en-us/purview/sensitivity-labels" TargetMode="External"/><Relationship Id="rId7" Type="http://schemas.openxmlformats.org/officeDocument/2006/relationships/printerSettings" Target="../printerSettings/printerSettings1.bin"/><Relationship Id="rId2" Type="http://schemas.openxmlformats.org/officeDocument/2006/relationships/hyperlink" Target="https://learn.microsoft.com/en-us/purview/get-started-with-sensitivity-labels" TargetMode="External"/><Relationship Id="rId1" Type="http://schemas.openxmlformats.org/officeDocument/2006/relationships/hyperlink" Target="https://learn.microsoft.com/en-us/purview/sensitivity-labels"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migrate-sensitivity-label-scheme"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learn.microsoft.com/en-us/purview/encryption-sensitivity-labels" TargetMode="External"/><Relationship Id="rId13"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encryption-sensitivity-labels" TargetMode="External"/><Relationship Id="rId7" Type="http://schemas.openxmlformats.org/officeDocument/2006/relationships/hyperlink" Target="https://learn.microsoft.com/en-us/purview/encryption-sensitivity-labels" TargetMode="External"/><Relationship Id="rId12" Type="http://schemas.openxmlformats.org/officeDocument/2006/relationships/hyperlink" Target="https://learn.microsoft.com/en-us/purview/sensitivity-labels" TargetMode="External"/><Relationship Id="rId2" Type="http://schemas.openxmlformats.org/officeDocument/2006/relationships/hyperlink" Target="https://learn.microsoft.com/en-us/purview/encryption-sensitivity-labels" TargetMode="External"/><Relationship Id="rId16" Type="http://schemas.openxmlformats.org/officeDocument/2006/relationships/printerSettings" Target="../printerSettings/printerSettings2.bin"/><Relationship Id="rId1" Type="http://schemas.openxmlformats.org/officeDocument/2006/relationships/hyperlink" Target="https://learn.microsoft.com/en-us/purview/encryption-sensitivity-labels" TargetMode="External"/><Relationship Id="rId6" Type="http://schemas.openxmlformats.org/officeDocument/2006/relationships/hyperlink" Target="https://learn.microsoft.com/en-us/purview/create-sensitivity-labels?tabs=classic-label-scheme" TargetMode="External"/><Relationship Id="rId11" Type="http://schemas.openxmlformats.org/officeDocument/2006/relationships/hyperlink" Target="https://learn.microsoft.com/en-us/purview/encryption-sensitivity-labels" TargetMode="External"/><Relationship Id="rId5" Type="http://schemas.openxmlformats.org/officeDocument/2006/relationships/hyperlink" Target="https://learn.microsoft.com/en-us/purview/encryption-sensitivity-labels" TargetMode="External"/><Relationship Id="rId15" Type="http://schemas.openxmlformats.org/officeDocument/2006/relationships/hyperlink" Target="https://learn.microsoft.com/en-us/purview/apply-sensitivity-label-automatically" TargetMode="External"/><Relationship Id="rId10" Type="http://schemas.openxmlformats.org/officeDocument/2006/relationships/hyperlink" Target="https://learn.microsoft.com/en-us/azure/information-protection/configure-usage-rights" TargetMode="External"/><Relationship Id="rId4" Type="http://schemas.openxmlformats.org/officeDocument/2006/relationships/hyperlink" Target="https://learn.microsoft.com/en-us/purview/encryption-sensitivity-labels" TargetMode="External"/><Relationship Id="rId9" Type="http://schemas.openxmlformats.org/officeDocument/2006/relationships/hyperlink" Target="https://learn.microsoft.com/en-us/purview/encryption-sensitivity-labels" TargetMode="External"/><Relationship Id="rId14" Type="http://schemas.openxmlformats.org/officeDocument/2006/relationships/hyperlink" Target="https://learn.microsoft.com/en-us/purview/apply-sensitivity-label-automatically"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purview/sensitivity-labels-meetings" TargetMode="External"/><Relationship Id="rId1" Type="http://schemas.openxmlformats.org/officeDocument/2006/relationships/hyperlink" Target="https://learn.microsoft.com/en-us/microsoftteams/who-can-bypass-meeting-lobby"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learn.microsoft.com/en-us/purview/sensitivity-labels-teams-groups-sites" TargetMode="External"/><Relationship Id="rId1" Type="http://schemas.openxmlformats.org/officeDocument/2006/relationships/hyperlink" Target="https://learn.microsoft.com/en-us/purview/sensitivity-labels-teams-groups-sites"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learn.microsoft.com/en-us/purview/get-started-with-sensitivity-labels" TargetMode="External"/><Relationship Id="rId13" Type="http://schemas.openxmlformats.org/officeDocument/2006/relationships/hyperlink" Target="https://learn.microsoft.com/en-us/purview/sensitivity-labels-sharepoint-default-label" TargetMode="External"/><Relationship Id="rId3" Type="http://schemas.openxmlformats.org/officeDocument/2006/relationships/hyperlink" Target="https://learn.microsoft.com/en-us/purview/get-started-with-sensitivity-labels" TargetMode="External"/><Relationship Id="rId7" Type="http://schemas.openxmlformats.org/officeDocument/2006/relationships/hyperlink" Target="https://learn.microsoft.com/en-us/fabric/governance/mandatory-label-policy" TargetMode="External"/><Relationship Id="rId12" Type="http://schemas.openxmlformats.org/officeDocument/2006/relationships/hyperlink" Target="https://learn.microsoft.com/en-us/purview/sensitivity-labels-meetings"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6" Type="http://schemas.openxmlformats.org/officeDocument/2006/relationships/hyperlink" Target="https://learn.microsoft.com/en-us/purview/sensitivity-labels-office-apps" TargetMode="External"/><Relationship Id="rId11" Type="http://schemas.openxmlformats.org/officeDocument/2006/relationships/hyperlink" Target="https://learn.microsoft.com/en-us/purview/sensitivity-labels-office-apps" TargetMode="External"/><Relationship Id="rId5" Type="http://schemas.openxmlformats.org/officeDocument/2006/relationships/hyperlink" Target="https://learn.microsoft.com/en-us/purview/create-sensitivity-labels?tabs=classic-label-scheme" TargetMode="External"/><Relationship Id="rId10" Type="http://schemas.openxmlformats.org/officeDocument/2006/relationships/hyperlink" Target="https://learn.microsoft.com/en-us/purview/sensitivity-labels-office-apps" TargetMode="External"/><Relationship Id="rId4" Type="http://schemas.openxmlformats.org/officeDocument/2006/relationships/hyperlink" Target="https://learn.microsoft.com/en-us/purview/create-sensitivity-labels?tabs=classic-label-scheme" TargetMode="External"/><Relationship Id="rId9" Type="http://schemas.openxmlformats.org/officeDocument/2006/relationships/hyperlink" Target="https://learn.microsoft.com/en-us/purview/sensitivity-labels-office-apps" TargetMode="External"/><Relationship Id="rId14" Type="http://schemas.openxmlformats.org/officeDocument/2006/relationships/hyperlink" Target="https://learn.microsoft.com/en-us/fabric/governance/sensitivity-label-default-label-policy"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learn.microsoft.com/en-us/purview/apply-sensitivity-label-automatically" TargetMode="External"/><Relationship Id="rId3" Type="http://schemas.openxmlformats.org/officeDocument/2006/relationships/hyperlink" Target="https://learn.microsoft.com/en-us/purview/purview-admin-units" TargetMode="External"/><Relationship Id="rId7" Type="http://schemas.openxmlformats.org/officeDocument/2006/relationships/hyperlink" Target="https://learn.microsoft.com/en-us/azure/information-protection/configure-usage-rights" TargetMode="External"/><Relationship Id="rId2" Type="http://schemas.openxmlformats.org/officeDocument/2006/relationships/hyperlink" Target="https://support.microsoft.com/en-us/office/apply-sensitivity-labels-to-your-files-2f96e7cd-d5a4-403b-8bd7-4cc636bae0f9" TargetMode="External"/><Relationship Id="rId1" Type="http://schemas.openxmlformats.org/officeDocument/2006/relationships/hyperlink" Target="https://learn.microsoft.com/en-us/purview/apply-sensitivity-label-automatically" TargetMode="External"/><Relationship Id="rId6" Type="http://schemas.openxmlformats.org/officeDocument/2006/relationships/hyperlink" Target="https://learn.microsoft.com/en-us/purview/sensitivity-labels" TargetMode="External"/><Relationship Id="rId5" Type="http://schemas.openxmlformats.org/officeDocument/2006/relationships/hyperlink" Target="https://learn.microsoft.com/en-us/defender-office-365/scc-permissions?view=o365-worldwide" TargetMode="External"/><Relationship Id="rId4" Type="http://schemas.openxmlformats.org/officeDocument/2006/relationships/hyperlink" Target="https://learn.microsoft.com/en-us/purview/data-map-scan-data-sources" TargetMode="External"/><Relationship Id="rId9"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hyperlink" Target="https://learn.microsoft.com/en-us/purview/dlp-on-premises-scanner-learn" TargetMode="External"/><Relationship Id="rId2" Type="http://schemas.openxmlformats.org/officeDocument/2006/relationships/hyperlink" Target="https://learn.microsoft.com/en-us/defender-office-365/scc-permissions?view=o365-worldwide" TargetMode="External"/><Relationship Id="rId1" Type="http://schemas.openxmlformats.org/officeDocument/2006/relationships/hyperlink" Target="https://learn.microsoft.com/en-us/purview/purview-admin-units" TargetMode="External"/><Relationship Id="rId5" Type="http://schemas.openxmlformats.org/officeDocument/2006/relationships/hyperlink" Target="https://learn.microsoft.com/en-us/purview/dlp-simulation-mode-learn" TargetMode="External"/><Relationship Id="rId4" Type="http://schemas.openxmlformats.org/officeDocument/2006/relationships/hyperlink" Target="https://learn.microsoft.com/en-us/purview/purview-billing-models"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75C39-96A4-40B8-B066-A63A6AD23AE8}">
  <dimension ref="A1:BB225"/>
  <sheetViews>
    <sheetView workbookViewId="0">
      <selection activeCell="I40" sqref="I40"/>
    </sheetView>
  </sheetViews>
  <sheetFormatPr defaultColWidth="9.1796875" defaultRowHeight="14.5" x14ac:dyDescent="0.35"/>
  <cols>
    <col min="1" max="1" width="16.1796875" style="3" customWidth="1"/>
    <col min="2" max="2" width="6.453125" style="3" customWidth="1"/>
    <col min="3" max="3" width="19.54296875" style="3" customWidth="1"/>
    <col min="4" max="5" width="24.453125" style="3" customWidth="1"/>
    <col min="6" max="6" width="3.7265625" style="3" customWidth="1"/>
    <col min="7" max="8" width="7.54296875" style="3" customWidth="1"/>
    <col min="9" max="9" width="15" style="3" customWidth="1"/>
    <col min="10" max="10" width="8.453125" style="3" customWidth="1"/>
    <col min="11" max="11" width="11.1796875" style="3" customWidth="1"/>
    <col min="12" max="12" width="9.81640625" style="3" customWidth="1"/>
    <col min="13" max="13" width="41.26953125" style="3" customWidth="1"/>
    <col min="14" max="14" width="33.453125" style="3" customWidth="1"/>
    <col min="15" max="15" width="34.26953125" style="3" customWidth="1"/>
    <col min="16" max="16" width="28.1796875" style="3" customWidth="1"/>
    <col min="17" max="17" width="4.54296875" style="3" customWidth="1"/>
    <col min="18" max="18" width="18.453125" style="3" customWidth="1"/>
    <col min="19" max="19" width="27.7265625" style="3" customWidth="1"/>
    <col min="20" max="20" width="7.54296875" style="3" customWidth="1"/>
    <col min="21" max="21" width="2.453125" style="3" customWidth="1"/>
    <col min="22" max="22" width="46.1796875" style="3" customWidth="1"/>
    <col min="23" max="23" width="2.453125" style="3" customWidth="1"/>
    <col min="24" max="24" width="43.81640625" style="3" customWidth="1"/>
    <col min="25" max="25" width="1.81640625" style="3" customWidth="1"/>
    <col min="26" max="26" width="45.81640625" style="3" customWidth="1"/>
    <col min="27" max="27" width="1.7265625" style="3" customWidth="1"/>
    <col min="28" max="28" width="37.453125" style="3" customWidth="1"/>
    <col min="29" max="29" width="2.7265625" style="3" customWidth="1"/>
    <col min="30" max="30" width="27.81640625" style="3" customWidth="1"/>
    <col min="31" max="31" width="1.7265625" style="3" customWidth="1"/>
    <col min="32" max="32" width="27.7265625" style="3" customWidth="1"/>
    <col min="33" max="33" width="1.7265625" style="3" customWidth="1"/>
    <col min="34" max="34" width="23.81640625" style="3" customWidth="1"/>
    <col min="35" max="35" width="1.7265625" style="3" customWidth="1"/>
    <col min="36" max="36" width="31.54296875" style="3" customWidth="1"/>
    <col min="37" max="37" width="2.1796875" style="3" customWidth="1"/>
    <col min="38" max="38" width="21.81640625" style="3" customWidth="1"/>
    <col min="39" max="39" width="2.7265625" style="3" customWidth="1"/>
    <col min="40" max="40" width="21.54296875" style="3" customWidth="1"/>
    <col min="41" max="41" width="2.26953125" style="3" customWidth="1"/>
    <col min="42" max="42" width="32.1796875" style="3" customWidth="1"/>
    <col min="43" max="43" width="2.7265625" style="3" customWidth="1"/>
    <col min="44" max="44" width="36.81640625" style="3" customWidth="1"/>
    <col min="45" max="45" width="3" style="3" customWidth="1"/>
    <col min="46" max="46" width="41.7265625" style="3" customWidth="1"/>
    <col min="47" max="47" width="3" style="3" customWidth="1"/>
    <col min="48" max="48" width="26.1796875" style="3" customWidth="1"/>
    <col min="49" max="49" width="3" style="3" customWidth="1"/>
    <col min="50" max="50" width="23.26953125" style="3" customWidth="1"/>
    <col min="51" max="51" width="3" style="3" customWidth="1"/>
    <col min="52" max="52" width="30.7265625" style="3" customWidth="1"/>
    <col min="53" max="53" width="2.26953125" style="3" customWidth="1"/>
    <col min="54" max="54" width="44" style="3" customWidth="1"/>
    <col min="55" max="16384" width="9.1796875" style="3"/>
  </cols>
  <sheetData>
    <row r="1" spans="1:54" x14ac:dyDescent="0.35">
      <c r="A1" s="3" t="str">
        <f>'Sensitivity Labels'!C1</f>
        <v>Sensitivity Labels</v>
      </c>
      <c r="C1" s="4" t="s">
        <v>0</v>
      </c>
      <c r="R1" s="3" t="s">
        <v>1</v>
      </c>
      <c r="S1" s="534" t="s">
        <v>2</v>
      </c>
      <c r="T1" s="534"/>
      <c r="U1" s="534"/>
      <c r="V1" s="534"/>
      <c r="X1" s="534" t="s">
        <v>3</v>
      </c>
      <c r="Y1" s="534"/>
      <c r="Z1" s="534"/>
      <c r="AA1" s="534"/>
      <c r="AB1" s="534"/>
      <c r="AC1" s="534"/>
      <c r="AD1" s="534"/>
      <c r="AE1" s="534"/>
      <c r="AF1" s="534"/>
      <c r="AG1" s="534"/>
      <c r="AH1" s="534"/>
      <c r="AI1" s="534"/>
      <c r="AJ1" s="534"/>
      <c r="AK1" s="534"/>
      <c r="AL1" s="534"/>
    </row>
    <row r="2" spans="1:54" ht="43.5" x14ac:dyDescent="0.35">
      <c r="B2" s="5"/>
      <c r="C2" s="5"/>
      <c r="D2" s="4"/>
      <c r="E2" s="4"/>
      <c r="G2" s="4"/>
      <c r="H2" s="4" t="s">
        <v>4</v>
      </c>
      <c r="I2" s="180" t="str">
        <f>'Sensitivity Labels'!G11</f>
        <v>Files &amp; Other Data assets</v>
      </c>
      <c r="J2" s="180" t="str">
        <f>'Sensitivity Labels'!G13</f>
        <v>Emails</v>
      </c>
      <c r="K2" s="180" t="str">
        <f>'Sensitivity Labels'!G15</f>
        <v>Meetings</v>
      </c>
      <c r="L2" s="180" t="str">
        <f>'Sensitivity Labels'!G17</f>
        <v>Groups &amp; Sites</v>
      </c>
      <c r="M2" s="524" t="s">
        <v>73</v>
      </c>
      <c r="N2" s="524" t="s">
        <v>74</v>
      </c>
      <c r="O2" s="524" t="s">
        <v>75</v>
      </c>
      <c r="P2" s="4"/>
      <c r="R2" s="3" t="s">
        <v>5</v>
      </c>
      <c r="S2" s="4" t="s">
        <v>6</v>
      </c>
      <c r="T2" s="4"/>
      <c r="U2" s="4"/>
      <c r="V2" s="4" t="str">
        <f>'Emails, Files, &amp; Other Data'!U10</f>
        <v>In outlook, enforce one of the following restrictions</v>
      </c>
      <c r="W2" s="4"/>
      <c r="X2" s="4" t="str">
        <f>'Teams meetings and chats'!D2</f>
        <v>Control who can Bypass the Lobby:</v>
      </c>
      <c r="Y2" s="4"/>
      <c r="Z2" s="4" t="str">
        <f>'Teams meetings and chats'!I2</f>
        <v>Control Who Can Present:</v>
      </c>
      <c r="AA2" s="4"/>
      <c r="AB2" s="4" t="str">
        <f>'Teams meetings and chats'!K2</f>
        <v>Control who can Record and Transcribe:</v>
      </c>
      <c r="AD2" s="4" t="str">
        <f>'Teams meetings and chats'!M2</f>
        <v>Control Whether Meetings are Recorded Automatically:</v>
      </c>
      <c r="AF2" s="4" t="str">
        <f>'Teams meetings and chats'!O2</f>
        <v>Control End-to-end Encryption for Meeting Video and Audio:</v>
      </c>
      <c r="AH2" s="4" t="str">
        <f>'Teams meetings and chats'!Q2</f>
        <v>Control Watermarks:</v>
      </c>
      <c r="AJ2" s="4" t="str">
        <f>'Teams meetings and chats'!W2</f>
        <v>Control Meeting Chat:</v>
      </c>
      <c r="AL2" s="4" t="str">
        <f>'Teams meetings and chats'!Y2</f>
        <v>Prevent Copying and Forwarding of Meeting Content:</v>
      </c>
      <c r="AN2" s="4" t="str">
        <f>'Groups &amp; Sites'!H3</f>
        <v>Define privacy and external user access settings:</v>
      </c>
      <c r="AO2" s="4"/>
      <c r="AP2" s="4" t="str">
        <f>'Groups &amp; Sites'!N13</f>
        <v>Content can be shared with:</v>
      </c>
      <c r="AQ2" s="4"/>
      <c r="AR2" s="4" t="str">
        <f>'Groups &amp; Sites'!P13</f>
        <v>Use Microsoft Entra Conditional Access to protect labeled SharePoint sites</v>
      </c>
      <c r="AS2" s="4"/>
      <c r="AT2" s="4" t="str">
        <f>Publishing!V3</f>
        <v>Default settings for meetings and calendar events:</v>
      </c>
      <c r="AU2" s="4"/>
      <c r="AV2" s="4" t="str">
        <f>'Service-side Auto-Labeling'!E2</f>
        <v>Policy Mode</v>
      </c>
      <c r="AW2" s="4"/>
      <c r="AX2" s="4" t="str">
        <f>'Service-side Auto-Labeling'!R2</f>
        <v>Common or Advanced Rules:</v>
      </c>
      <c r="AY2" s="4"/>
      <c r="AZ2" s="4" t="str">
        <f>'Data Loss Prevention (DLP)'!E3</f>
        <v>Policy mode:</v>
      </c>
      <c r="BB2" s="3" t="str">
        <f>'Emails, Files, &amp; Other Data'!AB3</f>
        <v>Auto-labeling for files and emails: "Client-side Auto-Labeling"</v>
      </c>
    </row>
    <row r="3" spans="1:54" ht="43.5" x14ac:dyDescent="0.35">
      <c r="A3" s="5" t="s">
        <v>7</v>
      </c>
      <c r="B3" s="95">
        <f>G3</f>
        <v>1</v>
      </c>
      <c r="C3" s="5" t="str">
        <f>IF('Sensitivity Labels'!C11="","",'Sensitivity Labels'!C11)</f>
        <v/>
      </c>
      <c r="D3" s="5" t="str">
        <f>IF('Sensitivity Labels'!D11="","",C3&amp;"-"&amp;'Sensitivity Labels'!D11)</f>
        <v/>
      </c>
      <c r="E3" s="5" t="str">
        <f t="shared" ref="E3:E22" si="0">IF(OR(C3="",(LEFT(D3,3)="Par"),RIGHT(C3,1)="p"),"",D3)</f>
        <v/>
      </c>
      <c r="G3" s="5">
        <v>1</v>
      </c>
      <c r="H3" s="526" t="str">
        <f>IF(OR(C3=A$3,C3=A$4),"true","false")</f>
        <v>false</v>
      </c>
      <c r="I3" s="5" t="b">
        <f>'Sensitivity Labels'!F11</f>
        <v>0</v>
      </c>
      <c r="J3" s="5" t="b">
        <f>'Sensitivity Labels'!F13</f>
        <v>0</v>
      </c>
      <c r="K3" s="5" t="b">
        <f>'Sensitivity Labels'!F15</f>
        <v>0</v>
      </c>
      <c r="L3" s="5" t="b">
        <f>'Sensitivity Labels'!F17</f>
        <v>0</v>
      </c>
      <c r="M3" s="527" t="str">
        <f t="shared" ref="M3:M22" si="1">(IF(D3="",P$3,IF(H3="TRUE",D3,(IF(OR(I3=TRUE,J3=TRUE),D3,(D3&amp;" - "&amp;P$4))))))</f>
        <v>Please fill out Sensitivity Labels Tab</v>
      </c>
      <c r="N3" s="527" t="str">
        <f>IF(D3="",P$3,IF(H3="True",D3,(IF(AND(I3=TRUE,J3=TRUE,K3=TRUE),$D3,(D3&amp;" - "&amp; P$4)))))</f>
        <v>Please fill out Sensitivity Labels Tab</v>
      </c>
      <c r="O3" s="527" t="str">
        <f t="shared" ref="O3:O22" si="2">IF(D3="",P$3,IF(H3="true",D3,IF(L3=TRUE,$D3,(D3&amp;" - "&amp;P$4))))</f>
        <v>Please fill out Sensitivity Labels Tab</v>
      </c>
      <c r="P3" s="95" t="s">
        <v>8</v>
      </c>
      <c r="R3" s="535" t="s">
        <v>9</v>
      </c>
      <c r="S3" s="5" t="s">
        <v>10</v>
      </c>
      <c r="V3" s="5" t="s">
        <v>11</v>
      </c>
      <c r="X3" s="6" t="s">
        <v>12</v>
      </c>
      <c r="Z3" s="6" t="s">
        <v>12</v>
      </c>
      <c r="AB3" s="6" t="s">
        <v>13</v>
      </c>
      <c r="AD3" s="6" t="s">
        <v>14</v>
      </c>
      <c r="AF3" s="5" t="s">
        <v>15</v>
      </c>
      <c r="AH3" s="6" t="s">
        <v>16</v>
      </c>
      <c r="AJ3" s="5" t="s">
        <v>17</v>
      </c>
      <c r="AL3" s="5" t="s">
        <v>18</v>
      </c>
      <c r="AN3" s="5" t="s">
        <v>19</v>
      </c>
      <c r="AP3" s="5" t="s">
        <v>20</v>
      </c>
      <c r="AR3" s="5" t="s">
        <v>21</v>
      </c>
      <c r="AT3" s="5" t="s">
        <v>22</v>
      </c>
      <c r="AV3" s="5" t="s">
        <v>17</v>
      </c>
      <c r="AX3" s="5" t="s">
        <v>23</v>
      </c>
      <c r="AZ3" s="5" t="s">
        <v>24</v>
      </c>
      <c r="BB3" s="22" t="s">
        <v>25</v>
      </c>
    </row>
    <row r="4" spans="1:54" ht="32" x14ac:dyDescent="0.35">
      <c r="A4" s="5" t="s">
        <v>26</v>
      </c>
      <c r="B4" s="95">
        <f t="shared" ref="B4:B22" si="3">G4</f>
        <v>2</v>
      </c>
      <c r="C4" s="5" t="str">
        <f>IF('Sensitivity Labels'!C19="","",'Sensitivity Labels'!C19)</f>
        <v/>
      </c>
      <c r="D4" s="5" t="str">
        <f>IF('Sensitivity Labels'!D19="","",C4&amp;"-"&amp;'Sensitivity Labels'!D19)</f>
        <v/>
      </c>
      <c r="E4" s="5" t="str">
        <f>IF(OR(C4="",(LEFT(D4,3)="Par"),RIGHT(C4,1)="p"),"",D4)</f>
        <v/>
      </c>
      <c r="G4" s="5">
        <f>G3+1</f>
        <v>2</v>
      </c>
      <c r="H4" s="526" t="str">
        <f t="shared" ref="H4:H22" si="4">IF(OR(C4=A$3,C4=A$4),"true","false")</f>
        <v>false</v>
      </c>
      <c r="I4" s="5" t="b">
        <f>'Sensitivity Labels'!F19</f>
        <v>0</v>
      </c>
      <c r="J4" s="5" t="b">
        <f>'Sensitivity Labels'!F21</f>
        <v>0</v>
      </c>
      <c r="K4" s="5" t="b">
        <f>'Sensitivity Labels'!F23</f>
        <v>0</v>
      </c>
      <c r="L4" s="5" t="b">
        <f>'Sensitivity Labels'!F25</f>
        <v>0</v>
      </c>
      <c r="M4" s="527" t="str">
        <f t="shared" si="1"/>
        <v>Please fill out Sensitivity Labels Tab</v>
      </c>
      <c r="N4" s="527" t="str">
        <f t="shared" ref="N4:N22" si="5">IF(D4="",P$3,IF(H4="True",D4,(IF(AND(I4=TRUE,J4=TRUE,K4=TRUE),$D4,(D4&amp;" - "&amp;P$4)))))</f>
        <v>Please fill out Sensitivity Labels Tab</v>
      </c>
      <c r="O4" s="527" t="str">
        <f t="shared" si="2"/>
        <v>Please fill out Sensitivity Labels Tab</v>
      </c>
      <c r="P4" s="533" t="s">
        <v>377</v>
      </c>
      <c r="R4" s="535"/>
      <c r="S4" s="5" t="s">
        <v>27</v>
      </c>
      <c r="V4" s="5" t="s">
        <v>28</v>
      </c>
      <c r="X4" s="6" t="s">
        <v>29</v>
      </c>
      <c r="Z4" s="6" t="s">
        <v>30</v>
      </c>
      <c r="AB4" s="6" t="s">
        <v>31</v>
      </c>
      <c r="AD4" s="6" t="s">
        <v>32</v>
      </c>
      <c r="AF4" s="5" t="s">
        <v>33</v>
      </c>
      <c r="AH4" s="6" t="s">
        <v>34</v>
      </c>
      <c r="AJ4" s="5" t="s">
        <v>35</v>
      </c>
      <c r="AL4" s="5" t="s">
        <v>36</v>
      </c>
      <c r="AN4" s="5" t="s">
        <v>37</v>
      </c>
      <c r="AP4" s="5" t="s">
        <v>38</v>
      </c>
      <c r="AR4" s="5" t="s">
        <v>39</v>
      </c>
      <c r="AT4" s="5" t="s">
        <v>40</v>
      </c>
      <c r="AV4" s="5" t="s">
        <v>41</v>
      </c>
      <c r="AX4" s="5" t="s">
        <v>42</v>
      </c>
      <c r="AZ4" s="5" t="s">
        <v>43</v>
      </c>
      <c r="BB4" s="22" t="s">
        <v>44</v>
      </c>
    </row>
    <row r="5" spans="1:54" ht="29" x14ac:dyDescent="0.35">
      <c r="A5" s="5" t="s">
        <v>45</v>
      </c>
      <c r="B5" s="95">
        <f t="shared" si="3"/>
        <v>3</v>
      </c>
      <c r="C5" s="5" t="str">
        <f>IF('Sensitivity Labels'!C27="","",'Sensitivity Labels'!C27)</f>
        <v/>
      </c>
      <c r="D5" s="5" t="str">
        <f>IF('Sensitivity Labels'!D27="","",C5&amp;"-"&amp;'Sensitivity Labels'!D27)</f>
        <v/>
      </c>
      <c r="E5" s="5" t="str">
        <f t="shared" si="0"/>
        <v/>
      </c>
      <c r="G5" s="5">
        <f t="shared" ref="G5:G22" si="6">G4+1</f>
        <v>3</v>
      </c>
      <c r="H5" s="526" t="str">
        <f t="shared" si="4"/>
        <v>false</v>
      </c>
      <c r="I5" s="5" t="b">
        <f>'Sensitivity Labels'!F27</f>
        <v>0</v>
      </c>
      <c r="J5" s="5" t="b">
        <f>'Sensitivity Labels'!F29</f>
        <v>0</v>
      </c>
      <c r="K5" s="5" t="b">
        <f>'Sensitivity Labels'!F31</f>
        <v>0</v>
      </c>
      <c r="L5" s="5" t="b">
        <f>'Sensitivity Labels'!F33</f>
        <v>0</v>
      </c>
      <c r="M5" s="527" t="str">
        <f t="shared" si="1"/>
        <v>Please fill out Sensitivity Labels Tab</v>
      </c>
      <c r="N5" s="527" t="str">
        <f t="shared" si="5"/>
        <v>Please fill out Sensitivity Labels Tab</v>
      </c>
      <c r="O5" s="527" t="str">
        <f t="shared" si="2"/>
        <v>Please fill out Sensitivity Labels Tab</v>
      </c>
      <c r="R5" s="535"/>
      <c r="S5" s="5"/>
      <c r="V5" s="5"/>
      <c r="X5" s="6" t="s">
        <v>30</v>
      </c>
      <c r="Z5" s="6" t="s">
        <v>46</v>
      </c>
      <c r="AB5" s="5"/>
      <c r="AD5" s="5"/>
      <c r="AF5" s="5"/>
      <c r="AH5" s="5"/>
      <c r="AJ5" s="5" t="s">
        <v>47</v>
      </c>
      <c r="AL5" s="5"/>
      <c r="AN5" s="5" t="s">
        <v>48</v>
      </c>
      <c r="AP5" s="5" t="s">
        <v>49</v>
      </c>
      <c r="AR5" s="5" t="s">
        <v>50</v>
      </c>
      <c r="AT5" s="5" t="s">
        <v>51</v>
      </c>
      <c r="AV5" s="5" t="s">
        <v>52</v>
      </c>
      <c r="AX5" s="5"/>
      <c r="AZ5" s="5" t="s">
        <v>53</v>
      </c>
      <c r="BB5" s="5"/>
    </row>
    <row r="6" spans="1:54" ht="16" x14ac:dyDescent="0.35">
      <c r="A6" s="5" t="s">
        <v>54</v>
      </c>
      <c r="B6" s="95">
        <f t="shared" si="3"/>
        <v>4</v>
      </c>
      <c r="C6" s="5" t="str">
        <f>IF('Sensitivity Labels'!C35="","",'Sensitivity Labels'!C35)</f>
        <v/>
      </c>
      <c r="D6" s="5" t="str">
        <f>IF('Sensitivity Labels'!D35="","",C6&amp;"-"&amp;'Sensitivity Labels'!D35)</f>
        <v/>
      </c>
      <c r="E6" s="5" t="str">
        <f t="shared" si="0"/>
        <v/>
      </c>
      <c r="G6" s="5">
        <f t="shared" si="6"/>
        <v>4</v>
      </c>
      <c r="H6" s="526" t="str">
        <f t="shared" si="4"/>
        <v>false</v>
      </c>
      <c r="I6" s="5" t="b">
        <f>'Sensitivity Labels'!F35</f>
        <v>0</v>
      </c>
      <c r="J6" s="5" t="b">
        <f>'Sensitivity Labels'!F37</f>
        <v>0</v>
      </c>
      <c r="K6" s="5" t="b">
        <f>'Sensitivity Labels'!F39</f>
        <v>0</v>
      </c>
      <c r="L6" s="5" t="b">
        <f>'Sensitivity Labels'!F41</f>
        <v>0</v>
      </c>
      <c r="M6" s="527" t="str">
        <f t="shared" si="1"/>
        <v>Please fill out Sensitivity Labels Tab</v>
      </c>
      <c r="N6" s="527" t="str">
        <f t="shared" si="5"/>
        <v>Please fill out Sensitivity Labels Tab</v>
      </c>
      <c r="O6" s="527" t="str">
        <f t="shared" si="2"/>
        <v>Please fill out Sensitivity Labels Tab</v>
      </c>
      <c r="R6" s="535"/>
      <c r="S6" s="5"/>
      <c r="V6" s="5"/>
      <c r="X6" s="6" t="s">
        <v>55</v>
      </c>
      <c r="Z6" s="6" t="s">
        <v>56</v>
      </c>
      <c r="AB6" s="5"/>
      <c r="AD6" s="5"/>
      <c r="AF6" s="5"/>
      <c r="AH6" s="5"/>
      <c r="AJ6" s="5"/>
      <c r="AN6" s="5"/>
      <c r="AP6" s="5" t="s">
        <v>57</v>
      </c>
      <c r="AR6" s="5"/>
      <c r="AT6" s="5"/>
      <c r="AV6" s="5" t="s">
        <v>35</v>
      </c>
      <c r="AZ6" s="5" t="s">
        <v>17</v>
      </c>
    </row>
    <row r="7" spans="1:54" ht="16" x14ac:dyDescent="0.35">
      <c r="A7" s="375"/>
      <c r="B7" s="5">
        <f t="shared" si="3"/>
        <v>5</v>
      </c>
      <c r="C7" s="5" t="str">
        <f>IF('Sensitivity Labels'!C43="","",'Sensitivity Labels'!C43)</f>
        <v/>
      </c>
      <c r="D7" s="5" t="str">
        <f>IF('Sensitivity Labels'!D43="","",C7&amp;"-"&amp;'Sensitivity Labels'!D43)</f>
        <v/>
      </c>
      <c r="E7" s="5" t="str">
        <f t="shared" si="0"/>
        <v/>
      </c>
      <c r="G7" s="5">
        <f t="shared" si="6"/>
        <v>5</v>
      </c>
      <c r="H7" s="526" t="str">
        <f t="shared" si="4"/>
        <v>false</v>
      </c>
      <c r="I7" s="5" t="b">
        <f>'Sensitivity Labels'!F43</f>
        <v>0</v>
      </c>
      <c r="J7" s="5" t="b">
        <f>'Sensitivity Labels'!F45</f>
        <v>0</v>
      </c>
      <c r="K7" s="5" t="b">
        <f>'Sensitivity Labels'!F47</f>
        <v>0</v>
      </c>
      <c r="L7" s="5" t="b">
        <f>'Sensitivity Labels'!F49</f>
        <v>0</v>
      </c>
      <c r="M7" s="527" t="str">
        <f t="shared" si="1"/>
        <v>Please fill out Sensitivity Labels Tab</v>
      </c>
      <c r="N7" s="527" t="str">
        <f t="shared" si="5"/>
        <v>Please fill out Sensitivity Labels Tab</v>
      </c>
      <c r="O7" s="527" t="str">
        <f t="shared" si="2"/>
        <v>Please fill out Sensitivity Labels Tab</v>
      </c>
      <c r="R7" s="535"/>
      <c r="S7" s="5"/>
      <c r="X7" s="6" t="s">
        <v>58</v>
      </c>
      <c r="Z7" s="5"/>
      <c r="AP7" s="5"/>
      <c r="AV7" s="5"/>
      <c r="AZ7" s="5"/>
    </row>
    <row r="8" spans="1:54" ht="32" x14ac:dyDescent="0.35">
      <c r="B8" s="5">
        <f t="shared" si="3"/>
        <v>6</v>
      </c>
      <c r="C8" s="5" t="str">
        <f>IF('Sensitivity Labels'!C51="","",'Sensitivity Labels'!C51)</f>
        <v/>
      </c>
      <c r="D8" s="5" t="str">
        <f>IF('Sensitivity Labels'!D51="","",C8&amp;"-"&amp;'Sensitivity Labels'!D51)</f>
        <v/>
      </c>
      <c r="E8" s="5" t="str">
        <f t="shared" si="0"/>
        <v/>
      </c>
      <c r="G8" s="5">
        <f t="shared" si="6"/>
        <v>6</v>
      </c>
      <c r="H8" s="526" t="str">
        <f t="shared" si="4"/>
        <v>false</v>
      </c>
      <c r="I8" s="5" t="b">
        <f>'Sensitivity Labels'!F51</f>
        <v>0</v>
      </c>
      <c r="J8" s="5" t="b">
        <f>'Sensitivity Labels'!F53</f>
        <v>0</v>
      </c>
      <c r="K8" s="5" t="b">
        <f>'Sensitivity Labels'!F55</f>
        <v>0</v>
      </c>
      <c r="L8" s="5" t="b">
        <f>'Sensitivity Labels'!F57</f>
        <v>0</v>
      </c>
      <c r="M8" s="527" t="str">
        <f t="shared" si="1"/>
        <v>Please fill out Sensitivity Labels Tab</v>
      </c>
      <c r="N8" s="527" t="str">
        <f t="shared" si="5"/>
        <v>Please fill out Sensitivity Labels Tab</v>
      </c>
      <c r="O8" s="527" t="str">
        <f t="shared" si="2"/>
        <v>Please fill out Sensitivity Labels Tab</v>
      </c>
      <c r="R8" s="535"/>
      <c r="X8" s="6" t="s">
        <v>56</v>
      </c>
      <c r="Z8" s="5"/>
      <c r="AH8" s="6" t="s">
        <v>59</v>
      </c>
    </row>
    <row r="9" spans="1:54" ht="48" x14ac:dyDescent="0.35">
      <c r="B9" s="5">
        <f t="shared" si="3"/>
        <v>7</v>
      </c>
      <c r="C9" s="5" t="str">
        <f>IF('Sensitivity Labels'!C59="","",'Sensitivity Labels'!C59)</f>
        <v/>
      </c>
      <c r="D9" s="5" t="str">
        <f>IF('Sensitivity Labels'!D59="","",C9&amp;"-"&amp;'Sensitivity Labels'!D59)</f>
        <v/>
      </c>
      <c r="E9" s="5" t="str">
        <f t="shared" si="0"/>
        <v/>
      </c>
      <c r="G9" s="5">
        <f t="shared" si="6"/>
        <v>7</v>
      </c>
      <c r="H9" s="526" t="str">
        <f t="shared" si="4"/>
        <v>false</v>
      </c>
      <c r="I9" s="5" t="b">
        <f>'Sensitivity Labels'!F59</f>
        <v>0</v>
      </c>
      <c r="J9" s="5" t="b">
        <f>'Sensitivity Labels'!F61</f>
        <v>0</v>
      </c>
      <c r="K9" s="5" t="b">
        <f>'Sensitivity Labels'!F63</f>
        <v>0</v>
      </c>
      <c r="L9" s="5" t="b">
        <f>'Sensitivity Labels'!F65</f>
        <v>0</v>
      </c>
      <c r="M9" s="527" t="str">
        <f t="shared" si="1"/>
        <v>Please fill out Sensitivity Labels Tab</v>
      </c>
      <c r="N9" s="527" t="str">
        <f t="shared" si="5"/>
        <v>Please fill out Sensitivity Labels Tab</v>
      </c>
      <c r="O9" s="527" t="str">
        <f t="shared" si="2"/>
        <v>Please fill out Sensitivity Labels Tab</v>
      </c>
      <c r="R9" s="535"/>
      <c r="X9" s="5"/>
      <c r="AH9" s="6" t="s">
        <v>60</v>
      </c>
    </row>
    <row r="10" spans="1:54" x14ac:dyDescent="0.35">
      <c r="B10" s="5">
        <f t="shared" si="3"/>
        <v>8</v>
      </c>
      <c r="C10" s="5" t="str">
        <f>IF('Sensitivity Labels'!C67="","",'Sensitivity Labels'!C67)</f>
        <v/>
      </c>
      <c r="D10" s="5" t="str">
        <f>IF('Sensitivity Labels'!D67="","",C10&amp;"-"&amp;'Sensitivity Labels'!D67)</f>
        <v/>
      </c>
      <c r="E10" s="5" t="str">
        <f t="shared" si="0"/>
        <v/>
      </c>
      <c r="G10" s="5">
        <f t="shared" si="6"/>
        <v>8</v>
      </c>
      <c r="H10" s="526" t="str">
        <f t="shared" si="4"/>
        <v>false</v>
      </c>
      <c r="I10" s="5" t="b">
        <f>'Sensitivity Labels'!F67</f>
        <v>0</v>
      </c>
      <c r="J10" s="5" t="b">
        <f>'Sensitivity Labels'!F69</f>
        <v>0</v>
      </c>
      <c r="K10" s="5" t="b">
        <f>'Sensitivity Labels'!F71</f>
        <v>0</v>
      </c>
      <c r="L10" s="5" t="b">
        <f>'Sensitivity Labels'!F73</f>
        <v>0</v>
      </c>
      <c r="M10" s="527" t="str">
        <f t="shared" si="1"/>
        <v>Please fill out Sensitivity Labels Tab</v>
      </c>
      <c r="N10" s="527" t="str">
        <f t="shared" si="5"/>
        <v>Please fill out Sensitivity Labels Tab</v>
      </c>
      <c r="O10" s="527" t="str">
        <f t="shared" si="2"/>
        <v>Please fill out Sensitivity Labels Tab</v>
      </c>
      <c r="R10" s="535"/>
      <c r="X10" s="5"/>
      <c r="AH10" s="5"/>
    </row>
    <row r="11" spans="1:54" x14ac:dyDescent="0.35">
      <c r="B11" s="5">
        <f t="shared" si="3"/>
        <v>9</v>
      </c>
      <c r="C11" s="5" t="str">
        <f>IF('Sensitivity Labels'!C75="","",'Sensitivity Labels'!C75)</f>
        <v/>
      </c>
      <c r="D11" s="5" t="str">
        <f>IF('Sensitivity Labels'!D75="","",C11&amp;"-"&amp;'Sensitivity Labels'!D75)</f>
        <v/>
      </c>
      <c r="E11" s="5" t="str">
        <f t="shared" si="0"/>
        <v/>
      </c>
      <c r="G11" s="5">
        <f t="shared" si="6"/>
        <v>9</v>
      </c>
      <c r="H11" s="526" t="str">
        <f t="shared" si="4"/>
        <v>false</v>
      </c>
      <c r="I11" s="5" t="b">
        <f>'Sensitivity Labels'!F75</f>
        <v>0</v>
      </c>
      <c r="J11" s="5" t="b">
        <f>'Sensitivity Labels'!F77</f>
        <v>0</v>
      </c>
      <c r="K11" s="5" t="b">
        <f>'Sensitivity Labels'!F79</f>
        <v>0</v>
      </c>
      <c r="L11" s="5" t="b">
        <f>'Sensitivity Labels'!F81</f>
        <v>0</v>
      </c>
      <c r="M11" s="527" t="str">
        <f t="shared" si="1"/>
        <v>Please fill out Sensitivity Labels Tab</v>
      </c>
      <c r="N11" s="527" t="str">
        <f t="shared" si="5"/>
        <v>Please fill out Sensitivity Labels Tab</v>
      </c>
      <c r="O11" s="527" t="str">
        <f t="shared" si="2"/>
        <v>Please fill out Sensitivity Labels Tab</v>
      </c>
      <c r="R11" s="535"/>
      <c r="S11" s="4" t="s">
        <v>61</v>
      </c>
      <c r="AH11" s="5"/>
    </row>
    <row r="12" spans="1:54" x14ac:dyDescent="0.35">
      <c r="B12" s="5">
        <f t="shared" si="3"/>
        <v>10</v>
      </c>
      <c r="C12" s="5" t="str">
        <f>IF('Sensitivity Labels'!C83="","",'Sensitivity Labels'!C83)</f>
        <v/>
      </c>
      <c r="D12" s="5" t="str">
        <f>IF('Sensitivity Labels'!D83="","",C12&amp;"-"&amp;'Sensitivity Labels'!D83)</f>
        <v/>
      </c>
      <c r="E12" s="5" t="str">
        <f t="shared" si="0"/>
        <v/>
      </c>
      <c r="G12" s="5">
        <f t="shared" si="6"/>
        <v>10</v>
      </c>
      <c r="H12" s="526" t="str">
        <f t="shared" si="4"/>
        <v>false</v>
      </c>
      <c r="I12" s="5" t="b">
        <f>'Sensitivity Labels'!F83</f>
        <v>0</v>
      </c>
      <c r="J12" s="5" t="b">
        <f>'Sensitivity Labels'!F85</f>
        <v>0</v>
      </c>
      <c r="K12" s="5" t="b">
        <f>'Sensitivity Labels'!F87</f>
        <v>0</v>
      </c>
      <c r="L12" s="5" t="b">
        <f>'Sensitivity Labels'!F89</f>
        <v>0</v>
      </c>
      <c r="M12" s="527" t="str">
        <f t="shared" si="1"/>
        <v>Please fill out Sensitivity Labels Tab</v>
      </c>
      <c r="N12" s="527" t="str">
        <f t="shared" si="5"/>
        <v>Please fill out Sensitivity Labels Tab</v>
      </c>
      <c r="O12" s="527" t="str">
        <f t="shared" si="2"/>
        <v>Please fill out Sensitivity Labels Tab</v>
      </c>
      <c r="R12" s="535"/>
      <c r="S12" s="3" t="s">
        <v>62</v>
      </c>
      <c r="AH12" s="5"/>
    </row>
    <row r="13" spans="1:54" x14ac:dyDescent="0.35">
      <c r="B13" s="5">
        <f t="shared" si="3"/>
        <v>11</v>
      </c>
      <c r="C13" s="5" t="str">
        <f>IF('Sensitivity Labels'!C91="","",'Sensitivity Labels'!C91)</f>
        <v/>
      </c>
      <c r="D13" s="5" t="str">
        <f>IF('Sensitivity Labels'!D91="","",C13&amp;"-"&amp;'Sensitivity Labels'!D91)</f>
        <v/>
      </c>
      <c r="E13" s="5" t="str">
        <f t="shared" si="0"/>
        <v/>
      </c>
      <c r="G13" s="5">
        <f t="shared" si="6"/>
        <v>11</v>
      </c>
      <c r="H13" s="526" t="str">
        <f t="shared" si="4"/>
        <v>false</v>
      </c>
      <c r="I13" s="5" t="b">
        <f>'Sensitivity Labels'!F91</f>
        <v>0</v>
      </c>
      <c r="J13" s="5" t="b">
        <f>'Sensitivity Labels'!F93</f>
        <v>0</v>
      </c>
      <c r="K13" s="5" t="b">
        <f>'Sensitivity Labels'!F95</f>
        <v>0</v>
      </c>
      <c r="L13" s="5" t="b">
        <f>'Sensitivity Labels'!F97</f>
        <v>0</v>
      </c>
      <c r="M13" s="527" t="str">
        <f t="shared" si="1"/>
        <v>Please fill out Sensitivity Labels Tab</v>
      </c>
      <c r="N13" s="527" t="str">
        <f t="shared" si="5"/>
        <v>Please fill out Sensitivity Labels Tab</v>
      </c>
      <c r="O13" s="527" t="str">
        <f t="shared" si="2"/>
        <v>Please fill out Sensitivity Labels Tab</v>
      </c>
      <c r="R13" s="535"/>
      <c r="S13" s="3" t="s">
        <v>63</v>
      </c>
    </row>
    <row r="14" spans="1:54" x14ac:dyDescent="0.35">
      <c r="B14" s="5">
        <f t="shared" si="3"/>
        <v>12</v>
      </c>
      <c r="C14" s="5" t="str">
        <f>IF('Sensitivity Labels'!C99="","",'Sensitivity Labels'!C99)</f>
        <v/>
      </c>
      <c r="D14" s="5" t="str">
        <f>IF('Sensitivity Labels'!D99="","",C14&amp;"-"&amp;'Sensitivity Labels'!D99)</f>
        <v/>
      </c>
      <c r="E14" s="5" t="str">
        <f t="shared" si="0"/>
        <v/>
      </c>
      <c r="G14" s="5">
        <f t="shared" si="6"/>
        <v>12</v>
      </c>
      <c r="H14" s="526" t="str">
        <f t="shared" si="4"/>
        <v>false</v>
      </c>
      <c r="I14" s="5" t="b">
        <f>'Sensitivity Labels'!F99</f>
        <v>0</v>
      </c>
      <c r="J14" s="5" t="b">
        <f>'Sensitivity Labels'!F101</f>
        <v>0</v>
      </c>
      <c r="K14" s="5" t="b">
        <f>'Sensitivity Labels'!F103</f>
        <v>0</v>
      </c>
      <c r="L14" s="5" t="b">
        <f>'Sensitivity Labels'!F105</f>
        <v>0</v>
      </c>
      <c r="M14" s="527" t="str">
        <f t="shared" si="1"/>
        <v>Please fill out Sensitivity Labels Tab</v>
      </c>
      <c r="N14" s="527" t="str">
        <f t="shared" si="5"/>
        <v>Please fill out Sensitivity Labels Tab</v>
      </c>
      <c r="O14" s="527" t="str">
        <f t="shared" si="2"/>
        <v>Please fill out Sensitivity Labels Tab</v>
      </c>
      <c r="R14" s="535"/>
      <c r="S14" s="3" t="s">
        <v>64</v>
      </c>
    </row>
    <row r="15" spans="1:54" x14ac:dyDescent="0.35">
      <c r="B15" s="5">
        <f t="shared" si="3"/>
        <v>13</v>
      </c>
      <c r="C15" s="5" t="str">
        <f>IF('Sensitivity Labels'!C107="","",'Sensitivity Labels'!C107)</f>
        <v/>
      </c>
      <c r="D15" s="5" t="str">
        <f>IF('Sensitivity Labels'!D107="","",C15&amp;"-"&amp;'Sensitivity Labels'!D107)</f>
        <v/>
      </c>
      <c r="E15" s="5" t="str">
        <f t="shared" si="0"/>
        <v/>
      </c>
      <c r="G15" s="5">
        <f t="shared" si="6"/>
        <v>13</v>
      </c>
      <c r="H15" s="526" t="str">
        <f t="shared" si="4"/>
        <v>false</v>
      </c>
      <c r="I15" s="5" t="b">
        <f>'Sensitivity Labels'!F107</f>
        <v>0</v>
      </c>
      <c r="J15" s="5" t="b">
        <f>'Sensitivity Labels'!F109</f>
        <v>0</v>
      </c>
      <c r="K15" s="5" t="b">
        <f>'Sensitivity Labels'!F111</f>
        <v>0</v>
      </c>
      <c r="L15" s="5" t="b">
        <f>'Sensitivity Labels'!F113</f>
        <v>0</v>
      </c>
      <c r="M15" s="527" t="str">
        <f t="shared" si="1"/>
        <v>Please fill out Sensitivity Labels Tab</v>
      </c>
      <c r="N15" s="527" t="str">
        <f t="shared" si="5"/>
        <v>Please fill out Sensitivity Labels Tab</v>
      </c>
      <c r="O15" s="527" t="str">
        <f t="shared" si="2"/>
        <v>Please fill out Sensitivity Labels Tab</v>
      </c>
      <c r="R15" s="535"/>
      <c r="S15" s="3" t="s">
        <v>65</v>
      </c>
    </row>
    <row r="16" spans="1:54" x14ac:dyDescent="0.35">
      <c r="B16" s="5">
        <f t="shared" si="3"/>
        <v>14</v>
      </c>
      <c r="C16" s="5" t="str">
        <f>IF('Sensitivity Labels'!C115="","",'Sensitivity Labels'!C115)</f>
        <v/>
      </c>
      <c r="D16" s="5" t="str">
        <f>IF('Sensitivity Labels'!D115="","",C16&amp;"-"&amp;'Sensitivity Labels'!D115)</f>
        <v/>
      </c>
      <c r="E16" s="5" t="str">
        <f t="shared" si="0"/>
        <v/>
      </c>
      <c r="G16" s="5">
        <f t="shared" si="6"/>
        <v>14</v>
      </c>
      <c r="H16" s="526" t="str">
        <f t="shared" si="4"/>
        <v>false</v>
      </c>
      <c r="I16" s="5" t="b">
        <f>'Sensitivity Labels'!F115</f>
        <v>0</v>
      </c>
      <c r="J16" s="5" t="b">
        <f>'Sensitivity Labels'!F117</f>
        <v>0</v>
      </c>
      <c r="K16" s="5" t="b">
        <f>'Sensitivity Labels'!F119</f>
        <v>0</v>
      </c>
      <c r="L16" s="5" t="b">
        <f>'Sensitivity Labels'!F121</f>
        <v>0</v>
      </c>
      <c r="M16" s="527" t="str">
        <f t="shared" si="1"/>
        <v>Please fill out Sensitivity Labels Tab</v>
      </c>
      <c r="N16" s="527" t="str">
        <f t="shared" si="5"/>
        <v>Please fill out Sensitivity Labels Tab</v>
      </c>
      <c r="O16" s="527" t="str">
        <f t="shared" si="2"/>
        <v>Please fill out Sensitivity Labels Tab</v>
      </c>
      <c r="R16" s="535"/>
      <c r="S16" s="3" t="s">
        <v>66</v>
      </c>
    </row>
    <row r="17" spans="2:19" x14ac:dyDescent="0.35">
      <c r="B17" s="5">
        <f t="shared" si="3"/>
        <v>15</v>
      </c>
      <c r="C17" s="5" t="str">
        <f>IF('Sensitivity Labels'!C123="","",'Sensitivity Labels'!C123)</f>
        <v/>
      </c>
      <c r="D17" s="5" t="str">
        <f>IF('Sensitivity Labels'!D123="","",C17&amp;"-"&amp;'Sensitivity Labels'!D123)</f>
        <v/>
      </c>
      <c r="E17" s="5" t="str">
        <f t="shared" si="0"/>
        <v/>
      </c>
      <c r="G17" s="5">
        <f t="shared" si="6"/>
        <v>15</v>
      </c>
      <c r="H17" s="526" t="str">
        <f t="shared" si="4"/>
        <v>false</v>
      </c>
      <c r="I17" s="5" t="b">
        <f>'Sensitivity Labels'!F123</f>
        <v>0</v>
      </c>
      <c r="J17" s="5" t="b">
        <f>'Sensitivity Labels'!F125</f>
        <v>0</v>
      </c>
      <c r="K17" s="5" t="b">
        <f>'Sensitivity Labels'!F127</f>
        <v>0</v>
      </c>
      <c r="L17" s="5" t="b">
        <f>'Sensitivity Labels'!F129</f>
        <v>0</v>
      </c>
      <c r="M17" s="527" t="str">
        <f t="shared" si="1"/>
        <v>Please fill out Sensitivity Labels Tab</v>
      </c>
      <c r="N17" s="527" t="str">
        <f t="shared" si="5"/>
        <v>Please fill out Sensitivity Labels Tab</v>
      </c>
      <c r="O17" s="527" t="str">
        <f t="shared" si="2"/>
        <v>Please fill out Sensitivity Labels Tab</v>
      </c>
      <c r="R17" s="535"/>
      <c r="S17" s="3" t="s">
        <v>67</v>
      </c>
    </row>
    <row r="18" spans="2:19" x14ac:dyDescent="0.35">
      <c r="B18" s="5">
        <f t="shared" si="3"/>
        <v>16</v>
      </c>
      <c r="C18" s="5" t="str">
        <f>IF('Sensitivity Labels'!C131="","",'Sensitivity Labels'!C131)</f>
        <v/>
      </c>
      <c r="D18" s="5" t="str">
        <f>IF('Sensitivity Labels'!D131="","",C18&amp;"-"&amp;'Sensitivity Labels'!D131)</f>
        <v/>
      </c>
      <c r="E18" s="5" t="str">
        <f t="shared" si="0"/>
        <v/>
      </c>
      <c r="G18" s="5">
        <f t="shared" si="6"/>
        <v>16</v>
      </c>
      <c r="H18" s="526" t="str">
        <f t="shared" si="4"/>
        <v>false</v>
      </c>
      <c r="I18" s="5" t="b">
        <f>'Sensitivity Labels'!F131</f>
        <v>0</v>
      </c>
      <c r="J18" s="5" t="b">
        <f>'Sensitivity Labels'!F133</f>
        <v>0</v>
      </c>
      <c r="K18" s="5" t="b">
        <f>'Sensitivity Labels'!F135</f>
        <v>0</v>
      </c>
      <c r="L18" s="5" t="b">
        <f>'Sensitivity Labels'!F137</f>
        <v>0</v>
      </c>
      <c r="M18" s="527" t="str">
        <f t="shared" si="1"/>
        <v>Please fill out Sensitivity Labels Tab</v>
      </c>
      <c r="N18" s="527" t="str">
        <f t="shared" si="5"/>
        <v>Please fill out Sensitivity Labels Tab</v>
      </c>
      <c r="O18" s="527" t="str">
        <f t="shared" si="2"/>
        <v>Please fill out Sensitivity Labels Tab</v>
      </c>
      <c r="R18" s="535"/>
      <c r="S18" s="3" t="s">
        <v>68</v>
      </c>
    </row>
    <row r="19" spans="2:19" x14ac:dyDescent="0.35">
      <c r="B19" s="5">
        <f t="shared" si="3"/>
        <v>17</v>
      </c>
      <c r="C19" s="5" t="str">
        <f>IF('Sensitivity Labels'!C139="","",'Sensitivity Labels'!C139)</f>
        <v/>
      </c>
      <c r="D19" s="5" t="str">
        <f>IF('Sensitivity Labels'!D139="","",C19&amp;"-"&amp;'Sensitivity Labels'!D139)</f>
        <v/>
      </c>
      <c r="E19" s="5" t="str">
        <f t="shared" si="0"/>
        <v/>
      </c>
      <c r="G19" s="5">
        <f t="shared" si="6"/>
        <v>17</v>
      </c>
      <c r="H19" s="526" t="str">
        <f t="shared" si="4"/>
        <v>false</v>
      </c>
      <c r="I19" s="5" t="b">
        <f>'Sensitivity Labels'!F139</f>
        <v>0</v>
      </c>
      <c r="J19" s="5" t="b">
        <f>'Sensitivity Labels'!F141</f>
        <v>0</v>
      </c>
      <c r="K19" s="5" t="b">
        <f>'Sensitivity Labels'!F143</f>
        <v>0</v>
      </c>
      <c r="L19" s="5" t="b">
        <f>'Sensitivity Labels'!F145</f>
        <v>0</v>
      </c>
      <c r="M19" s="527" t="str">
        <f t="shared" si="1"/>
        <v>Please fill out Sensitivity Labels Tab</v>
      </c>
      <c r="N19" s="527" t="str">
        <f t="shared" si="5"/>
        <v>Please fill out Sensitivity Labels Tab</v>
      </c>
      <c r="O19" s="527" t="str">
        <f t="shared" si="2"/>
        <v>Please fill out Sensitivity Labels Tab</v>
      </c>
      <c r="R19" s="535"/>
      <c r="S19" s="3" t="s">
        <v>69</v>
      </c>
    </row>
    <row r="20" spans="2:19" x14ac:dyDescent="0.35">
      <c r="B20" s="5">
        <f t="shared" si="3"/>
        <v>18</v>
      </c>
      <c r="C20" s="5" t="str">
        <f>IF('Sensitivity Labels'!C147="","",'Sensitivity Labels'!C147)</f>
        <v/>
      </c>
      <c r="D20" s="5" t="str">
        <f>IF('Sensitivity Labels'!D147="","",C20&amp;"-"&amp;'Sensitivity Labels'!D147)</f>
        <v/>
      </c>
      <c r="E20" s="5" t="str">
        <f t="shared" si="0"/>
        <v/>
      </c>
      <c r="G20" s="5">
        <f t="shared" si="6"/>
        <v>18</v>
      </c>
      <c r="H20" s="526" t="str">
        <f t="shared" si="4"/>
        <v>false</v>
      </c>
      <c r="I20" s="5" t="b">
        <f>'Sensitivity Labels'!F147</f>
        <v>0</v>
      </c>
      <c r="J20" s="5" t="b">
        <f>'Sensitivity Labels'!F149</f>
        <v>0</v>
      </c>
      <c r="K20" s="5" t="b">
        <f>'Sensitivity Labels'!F151</f>
        <v>0</v>
      </c>
      <c r="L20" s="5" t="b">
        <f>'Sensitivity Labels'!F153</f>
        <v>0</v>
      </c>
      <c r="M20" s="527" t="str">
        <f t="shared" si="1"/>
        <v>Please fill out Sensitivity Labels Tab</v>
      </c>
      <c r="N20" s="527" t="str">
        <f t="shared" si="5"/>
        <v>Please fill out Sensitivity Labels Tab</v>
      </c>
      <c r="O20" s="527" t="str">
        <f t="shared" si="2"/>
        <v>Please fill out Sensitivity Labels Tab</v>
      </c>
      <c r="R20" s="535"/>
      <c r="S20" s="3" t="s">
        <v>70</v>
      </c>
    </row>
    <row r="21" spans="2:19" x14ac:dyDescent="0.35">
      <c r="B21" s="5">
        <f t="shared" si="3"/>
        <v>19</v>
      </c>
      <c r="C21" s="5" t="str">
        <f>IF('Sensitivity Labels'!C155="","",'Sensitivity Labels'!C155)</f>
        <v/>
      </c>
      <c r="D21" s="5" t="str">
        <f>IF('Sensitivity Labels'!D155="","",C21&amp;"-"&amp;'Sensitivity Labels'!D155)</f>
        <v/>
      </c>
      <c r="E21" s="5" t="str">
        <f t="shared" si="0"/>
        <v/>
      </c>
      <c r="G21" s="5">
        <f t="shared" si="6"/>
        <v>19</v>
      </c>
      <c r="H21" s="526" t="str">
        <f t="shared" si="4"/>
        <v>false</v>
      </c>
      <c r="I21" s="5" t="b">
        <f>'Sensitivity Labels'!F155</f>
        <v>0</v>
      </c>
      <c r="J21" s="5" t="b">
        <f>'Sensitivity Labels'!F157</f>
        <v>0</v>
      </c>
      <c r="K21" s="5" t="b">
        <f>'Sensitivity Labels'!F159</f>
        <v>0</v>
      </c>
      <c r="L21" s="5" t="b">
        <f>'Sensitivity Labels'!F161</f>
        <v>0</v>
      </c>
      <c r="M21" s="527" t="str">
        <f t="shared" si="1"/>
        <v>Please fill out Sensitivity Labels Tab</v>
      </c>
      <c r="N21" s="527" t="str">
        <f t="shared" si="5"/>
        <v>Please fill out Sensitivity Labels Tab</v>
      </c>
      <c r="O21" s="527" t="str">
        <f t="shared" si="2"/>
        <v>Please fill out Sensitivity Labels Tab</v>
      </c>
      <c r="R21" s="535"/>
      <c r="S21" s="3" t="s">
        <v>71</v>
      </c>
    </row>
    <row r="22" spans="2:19" x14ac:dyDescent="0.35">
      <c r="B22" s="5">
        <f t="shared" si="3"/>
        <v>20</v>
      </c>
      <c r="C22" s="5" t="str">
        <f>IF('Sensitivity Labels'!C163="","",'Sensitivity Labels'!C163)</f>
        <v/>
      </c>
      <c r="D22" s="5" t="str">
        <f>IF('Sensitivity Labels'!D163="","",C22&amp;"-"&amp;'Sensitivity Labels'!D163)</f>
        <v/>
      </c>
      <c r="E22" s="5" t="str">
        <f t="shared" si="0"/>
        <v/>
      </c>
      <c r="G22" s="5">
        <f t="shared" si="6"/>
        <v>20</v>
      </c>
      <c r="H22" s="526" t="str">
        <f t="shared" si="4"/>
        <v>false</v>
      </c>
      <c r="I22" s="5" t="b">
        <f>'Sensitivity Labels'!F163</f>
        <v>0</v>
      </c>
      <c r="J22" s="5" t="b">
        <f>'Sensitivity Labels'!F165</f>
        <v>0</v>
      </c>
      <c r="K22" s="5" t="b">
        <f>'Sensitivity Labels'!F167</f>
        <v>0</v>
      </c>
      <c r="L22" s="5" t="b">
        <f>'Sensitivity Labels'!F169</f>
        <v>0</v>
      </c>
      <c r="M22" s="527" t="str">
        <f t="shared" si="1"/>
        <v>Please fill out Sensitivity Labels Tab</v>
      </c>
      <c r="N22" s="527" t="str">
        <f t="shared" si="5"/>
        <v>Please fill out Sensitivity Labels Tab</v>
      </c>
      <c r="O22" s="527" t="str">
        <f t="shared" si="2"/>
        <v>Please fill out Sensitivity Labels Tab</v>
      </c>
      <c r="R22" s="535"/>
    </row>
    <row r="23" spans="2:19" x14ac:dyDescent="0.35">
      <c r="E23" s="182" t="s">
        <v>72</v>
      </c>
      <c r="M23" s="524" t="s">
        <v>73</v>
      </c>
      <c r="N23" s="524" t="s">
        <v>74</v>
      </c>
      <c r="O23" s="524" t="s">
        <v>75</v>
      </c>
      <c r="R23" s="535"/>
    </row>
    <row r="24" spans="2:19" ht="29" x14ac:dyDescent="0.35">
      <c r="E24" s="5" t="str" cm="1">
        <f t="array" ref="E24">IFERROR(_xlfn._xlws.FILTER(E3:E22,E3:E22&lt;&gt;""),"Please fill out Sensitivity Labels Tab")</f>
        <v>Please fill out Sensitivity Labels Tab</v>
      </c>
      <c r="M24" s="5" t="str" cm="1">
        <f t="array" ref="M24:M43">IFERROR(_xlfn._xlws.FILTER(M3:M22,M3:M22&lt;&gt;""),"Please fill out Sensitivity Labels Tab")</f>
        <v>Please fill out Sensitivity Labels Tab</v>
      </c>
      <c r="N24" s="5" t="str" cm="1">
        <f t="array" ref="N24:N43">IFERROR(_xlfn._xlws.FILTER(N3:N22,N3:N22&lt;&gt;""),"Please fill out Sensitivity Labels Tab")</f>
        <v>Please fill out Sensitivity Labels Tab</v>
      </c>
      <c r="O24" s="5" t="str" cm="1">
        <f t="array" ref="O24:O43">IFERROR(_xlfn._xlws.FILTER(O3:O22,O3:O22&lt;&gt;""),"Please fill out Sensitivity Labels Tab")</f>
        <v>Please fill out Sensitivity Labels Tab</v>
      </c>
      <c r="R24" s="39"/>
    </row>
    <row r="25" spans="2:19" x14ac:dyDescent="0.35">
      <c r="E25" s="5"/>
      <c r="M25" s="5" t="str">
        <v>Please fill out Sensitivity Labels Tab</v>
      </c>
      <c r="N25" s="5" t="str">
        <v>Please fill out Sensitivity Labels Tab</v>
      </c>
      <c r="O25" s="5" t="str">
        <v>Please fill out Sensitivity Labels Tab</v>
      </c>
      <c r="R25" s="3">
        <v>1</v>
      </c>
    </row>
    <row r="26" spans="2:19" x14ac:dyDescent="0.35">
      <c r="E26" s="5"/>
      <c r="M26" s="5" t="str">
        <v>Please fill out Sensitivity Labels Tab</v>
      </c>
      <c r="N26" s="5" t="str">
        <v>Please fill out Sensitivity Labels Tab</v>
      </c>
      <c r="O26" s="5" t="str">
        <v>Please fill out Sensitivity Labels Tab</v>
      </c>
      <c r="R26" s="3">
        <f>R25+1</f>
        <v>2</v>
      </c>
    </row>
    <row r="27" spans="2:19" x14ac:dyDescent="0.35">
      <c r="E27" s="5"/>
      <c r="M27" s="5" t="str">
        <v>Please fill out Sensitivity Labels Tab</v>
      </c>
      <c r="N27" s="5" t="str">
        <v>Please fill out Sensitivity Labels Tab</v>
      </c>
      <c r="O27" s="5" t="str">
        <v>Please fill out Sensitivity Labels Tab</v>
      </c>
      <c r="R27" s="3">
        <f t="shared" ref="R27:R44" si="7">R26+1</f>
        <v>3</v>
      </c>
    </row>
    <row r="28" spans="2:19" x14ac:dyDescent="0.35">
      <c r="C28"/>
      <c r="D28"/>
      <c r="E28" s="10"/>
      <c r="F28"/>
      <c r="M28" s="10" t="str">
        <v>Please fill out Sensitivity Labels Tab</v>
      </c>
      <c r="N28" s="10" t="str">
        <v>Please fill out Sensitivity Labels Tab</v>
      </c>
      <c r="O28" s="10" t="str">
        <v>Please fill out Sensitivity Labels Tab</v>
      </c>
      <c r="R28" s="3">
        <f t="shared" si="7"/>
        <v>4</v>
      </c>
    </row>
    <row r="29" spans="2:19" x14ac:dyDescent="0.35">
      <c r="C29"/>
      <c r="D29"/>
      <c r="E29" s="10"/>
      <c r="F29"/>
      <c r="M29" s="10" t="str">
        <v>Please fill out Sensitivity Labels Tab</v>
      </c>
      <c r="N29" s="10" t="str">
        <v>Please fill out Sensitivity Labels Tab</v>
      </c>
      <c r="O29" s="10" t="str">
        <v>Please fill out Sensitivity Labels Tab</v>
      </c>
      <c r="R29" s="3">
        <f t="shared" si="7"/>
        <v>5</v>
      </c>
    </row>
    <row r="30" spans="2:19" x14ac:dyDescent="0.35">
      <c r="C30"/>
      <c r="D30"/>
      <c r="E30" s="10"/>
      <c r="F30"/>
      <c r="M30" s="10" t="str">
        <v>Please fill out Sensitivity Labels Tab</v>
      </c>
      <c r="N30" s="10" t="str">
        <v>Please fill out Sensitivity Labels Tab</v>
      </c>
      <c r="O30" s="10" t="str">
        <v>Please fill out Sensitivity Labels Tab</v>
      </c>
      <c r="R30" s="3">
        <f t="shared" si="7"/>
        <v>6</v>
      </c>
    </row>
    <row r="31" spans="2:19" x14ac:dyDescent="0.35">
      <c r="C31"/>
      <c r="D31"/>
      <c r="E31" s="10"/>
      <c r="F31"/>
      <c r="M31" s="10" t="str">
        <v>Please fill out Sensitivity Labels Tab</v>
      </c>
      <c r="N31" s="10" t="str">
        <v>Please fill out Sensitivity Labels Tab</v>
      </c>
      <c r="O31" s="10" t="str">
        <v>Please fill out Sensitivity Labels Tab</v>
      </c>
      <c r="R31" s="3">
        <f t="shared" si="7"/>
        <v>7</v>
      </c>
    </row>
    <row r="32" spans="2:19" x14ac:dyDescent="0.35">
      <c r="E32" s="5"/>
      <c r="M32" s="5" t="str">
        <v>Please fill out Sensitivity Labels Tab</v>
      </c>
      <c r="N32" s="5" t="str">
        <v>Please fill out Sensitivity Labels Tab</v>
      </c>
      <c r="O32" s="5" t="str">
        <v>Please fill out Sensitivity Labels Tab</v>
      </c>
      <c r="R32" s="3">
        <f t="shared" si="7"/>
        <v>8</v>
      </c>
    </row>
    <row r="33" spans="3:18" x14ac:dyDescent="0.35">
      <c r="E33" s="5"/>
      <c r="M33" s="5" t="str">
        <v>Please fill out Sensitivity Labels Tab</v>
      </c>
      <c r="N33" s="5" t="str">
        <v>Please fill out Sensitivity Labels Tab</v>
      </c>
      <c r="O33" s="5" t="str">
        <v>Please fill out Sensitivity Labels Tab</v>
      </c>
      <c r="R33" s="3">
        <f t="shared" si="7"/>
        <v>9</v>
      </c>
    </row>
    <row r="34" spans="3:18" x14ac:dyDescent="0.35">
      <c r="E34" s="5"/>
      <c r="M34" s="5" t="str">
        <v>Please fill out Sensitivity Labels Tab</v>
      </c>
      <c r="N34" s="5" t="str">
        <v>Please fill out Sensitivity Labels Tab</v>
      </c>
      <c r="O34" s="5" t="str">
        <v>Please fill out Sensitivity Labels Tab</v>
      </c>
      <c r="R34" s="3">
        <f t="shared" si="7"/>
        <v>10</v>
      </c>
    </row>
    <row r="35" spans="3:18" x14ac:dyDescent="0.35">
      <c r="E35" s="5"/>
      <c r="M35" s="5" t="str">
        <v>Please fill out Sensitivity Labels Tab</v>
      </c>
      <c r="N35" s="5" t="str">
        <v>Please fill out Sensitivity Labels Tab</v>
      </c>
      <c r="O35" s="5" t="str">
        <v>Please fill out Sensitivity Labels Tab</v>
      </c>
      <c r="R35" s="3">
        <f t="shared" si="7"/>
        <v>11</v>
      </c>
    </row>
    <row r="36" spans="3:18" x14ac:dyDescent="0.35">
      <c r="E36" s="5"/>
      <c r="M36" s="5" t="str">
        <v>Please fill out Sensitivity Labels Tab</v>
      </c>
      <c r="N36" s="5" t="str">
        <v>Please fill out Sensitivity Labels Tab</v>
      </c>
      <c r="O36" s="5" t="str">
        <v>Please fill out Sensitivity Labels Tab</v>
      </c>
      <c r="R36" s="3">
        <f t="shared" si="7"/>
        <v>12</v>
      </c>
    </row>
    <row r="37" spans="3:18" x14ac:dyDescent="0.35">
      <c r="E37" s="5"/>
      <c r="M37" s="5" t="str">
        <v>Please fill out Sensitivity Labels Tab</v>
      </c>
      <c r="N37" s="5" t="str">
        <v>Please fill out Sensitivity Labels Tab</v>
      </c>
      <c r="O37" s="5" t="str">
        <v>Please fill out Sensitivity Labels Tab</v>
      </c>
      <c r="R37" s="3">
        <f t="shared" si="7"/>
        <v>13</v>
      </c>
    </row>
    <row r="38" spans="3:18" x14ac:dyDescent="0.35">
      <c r="E38" s="5"/>
      <c r="M38" s="5" t="str">
        <v>Please fill out Sensitivity Labels Tab</v>
      </c>
      <c r="N38" s="5" t="str">
        <v>Please fill out Sensitivity Labels Tab</v>
      </c>
      <c r="O38" s="5" t="str">
        <v>Please fill out Sensitivity Labels Tab</v>
      </c>
      <c r="R38" s="3">
        <f t="shared" si="7"/>
        <v>14</v>
      </c>
    </row>
    <row r="39" spans="3:18" x14ac:dyDescent="0.35">
      <c r="E39" s="5"/>
      <c r="M39" s="5" t="str">
        <v>Please fill out Sensitivity Labels Tab</v>
      </c>
      <c r="N39" s="5" t="str">
        <v>Please fill out Sensitivity Labels Tab</v>
      </c>
      <c r="O39" s="5" t="str">
        <v>Please fill out Sensitivity Labels Tab</v>
      </c>
      <c r="R39" s="3">
        <f t="shared" si="7"/>
        <v>15</v>
      </c>
    </row>
    <row r="40" spans="3:18" x14ac:dyDescent="0.35">
      <c r="E40" s="5"/>
      <c r="M40" s="5" t="str">
        <v>Please fill out Sensitivity Labels Tab</v>
      </c>
      <c r="N40" s="5" t="str">
        <v>Please fill out Sensitivity Labels Tab</v>
      </c>
      <c r="O40" s="5" t="str">
        <v>Please fill out Sensitivity Labels Tab</v>
      </c>
      <c r="R40" s="3">
        <f t="shared" si="7"/>
        <v>16</v>
      </c>
    </row>
    <row r="41" spans="3:18" x14ac:dyDescent="0.35">
      <c r="E41" s="5"/>
      <c r="M41" s="5" t="str">
        <v>Please fill out Sensitivity Labels Tab</v>
      </c>
      <c r="N41" s="5" t="str">
        <v>Please fill out Sensitivity Labels Tab</v>
      </c>
      <c r="O41" s="5" t="str">
        <v>Please fill out Sensitivity Labels Tab</v>
      </c>
      <c r="R41" s="3">
        <f t="shared" si="7"/>
        <v>17</v>
      </c>
    </row>
    <row r="42" spans="3:18" x14ac:dyDescent="0.35">
      <c r="E42" s="5"/>
      <c r="M42" s="5" t="str">
        <v>Please fill out Sensitivity Labels Tab</v>
      </c>
      <c r="N42" s="5" t="str">
        <v>Please fill out Sensitivity Labels Tab</v>
      </c>
      <c r="O42" s="5" t="str">
        <v>Please fill out Sensitivity Labels Tab</v>
      </c>
      <c r="R42" s="3">
        <f t="shared" si="7"/>
        <v>18</v>
      </c>
    </row>
    <row r="43" spans="3:18" x14ac:dyDescent="0.35">
      <c r="E43" s="5"/>
      <c r="M43" s="5" t="str">
        <v>Please fill out Sensitivity Labels Tab</v>
      </c>
      <c r="N43" s="5" t="str">
        <v>Please fill out Sensitivity Labels Tab</v>
      </c>
      <c r="O43" s="5" t="str">
        <v>Please fill out Sensitivity Labels Tab</v>
      </c>
      <c r="R43" s="3">
        <f t="shared" si="7"/>
        <v>19</v>
      </c>
    </row>
    <row r="44" spans="3:18" x14ac:dyDescent="0.35">
      <c r="C44" s="4"/>
      <c r="D44" s="4"/>
      <c r="E44" s="181"/>
      <c r="F44" s="4"/>
      <c r="G44" s="4"/>
      <c r="H44" s="4"/>
      <c r="M44" s="181"/>
      <c r="N44" s="181"/>
      <c r="O44" s="181"/>
      <c r="R44" s="3">
        <f t="shared" si="7"/>
        <v>20</v>
      </c>
    </row>
    <row r="45" spans="3:18" x14ac:dyDescent="0.35">
      <c r="R45" s="39"/>
    </row>
    <row r="46" spans="3:18" x14ac:dyDescent="0.35">
      <c r="R46" s="39"/>
    </row>
    <row r="47" spans="3:18" x14ac:dyDescent="0.35">
      <c r="R47" s="39"/>
    </row>
    <row r="48" spans="3:18" x14ac:dyDescent="0.35">
      <c r="R48" s="39"/>
    </row>
    <row r="49" spans="1:52" x14ac:dyDescent="0.35">
      <c r="R49" s="39"/>
    </row>
    <row r="50" spans="1:52" x14ac:dyDescent="0.35">
      <c r="R50" s="39"/>
    </row>
    <row r="51" spans="1:52" x14ac:dyDescent="0.35">
      <c r="R51" s="39"/>
    </row>
    <row r="52" spans="1:52" x14ac:dyDescent="0.35">
      <c r="R52" s="39"/>
    </row>
    <row r="53" spans="1:52" x14ac:dyDescent="0.35">
      <c r="A53"/>
      <c r="B53"/>
      <c r="C53"/>
      <c r="D53"/>
      <c r="E53"/>
      <c r="F53"/>
      <c r="G53"/>
      <c r="H53"/>
      <c r="I53"/>
      <c r="J53"/>
      <c r="K53"/>
      <c r="L53"/>
      <c r="M53"/>
      <c r="N53"/>
      <c r="R53" s="39"/>
    </row>
    <row r="54" spans="1:52" s="13" customFormat="1" x14ac:dyDescent="0.35">
      <c r="A54"/>
      <c r="B54"/>
      <c r="C54"/>
      <c r="D54"/>
      <c r="E54"/>
      <c r="F54"/>
      <c r="G54"/>
      <c r="H54"/>
      <c r="I54"/>
      <c r="J54"/>
      <c r="K54"/>
      <c r="L54"/>
      <c r="M54"/>
      <c r="N54"/>
      <c r="R54" s="39"/>
      <c r="AZ54" s="3"/>
    </row>
    <row r="55" spans="1:52" x14ac:dyDescent="0.35">
      <c r="A55"/>
      <c r="B55"/>
      <c r="C55"/>
      <c r="D55"/>
      <c r="E55"/>
      <c r="F55"/>
      <c r="G55"/>
      <c r="H55"/>
      <c r="I55"/>
      <c r="J55"/>
      <c r="K55"/>
      <c r="L55"/>
      <c r="M55"/>
      <c r="N55"/>
      <c r="R55" s="39"/>
    </row>
    <row r="56" spans="1:52" x14ac:dyDescent="0.35">
      <c r="A56"/>
      <c r="B56"/>
      <c r="C56"/>
      <c r="D56"/>
      <c r="E56"/>
      <c r="F56"/>
      <c r="G56"/>
      <c r="H56"/>
      <c r="I56"/>
      <c r="J56"/>
      <c r="K56"/>
      <c r="L56"/>
      <c r="M56"/>
      <c r="N56"/>
      <c r="R56" s="39"/>
      <c r="AZ56" s="13"/>
    </row>
    <row r="57" spans="1:52" x14ac:dyDescent="0.35">
      <c r="A57"/>
      <c r="B57"/>
      <c r="C57"/>
      <c r="D57"/>
      <c r="E57"/>
      <c r="F57"/>
      <c r="G57"/>
      <c r="H57"/>
      <c r="I57"/>
      <c r="J57"/>
      <c r="K57"/>
      <c r="L57"/>
      <c r="M57"/>
      <c r="N57"/>
      <c r="R57" s="39"/>
    </row>
    <row r="58" spans="1:52" x14ac:dyDescent="0.35">
      <c r="A58"/>
      <c r="B58"/>
      <c r="C58"/>
      <c r="D58"/>
      <c r="E58"/>
      <c r="F58"/>
      <c r="G58"/>
      <c r="H58"/>
      <c r="I58"/>
      <c r="J58"/>
      <c r="K58"/>
      <c r="L58"/>
      <c r="M58"/>
      <c r="N58"/>
      <c r="R58" s="39"/>
    </row>
    <row r="59" spans="1:52" x14ac:dyDescent="0.35">
      <c r="A59"/>
      <c r="B59"/>
      <c r="C59"/>
      <c r="D59"/>
      <c r="E59"/>
      <c r="F59"/>
      <c r="G59"/>
      <c r="H59"/>
      <c r="I59"/>
      <c r="J59"/>
      <c r="K59"/>
      <c r="L59"/>
      <c r="M59"/>
      <c r="N59"/>
      <c r="R59" s="39"/>
    </row>
    <row r="60" spans="1:52" x14ac:dyDescent="0.35">
      <c r="A60"/>
      <c r="B60"/>
      <c r="C60"/>
      <c r="D60"/>
      <c r="E60"/>
      <c r="F60"/>
      <c r="G60"/>
      <c r="H60"/>
      <c r="I60"/>
      <c r="J60"/>
      <c r="K60"/>
      <c r="L60"/>
      <c r="M60"/>
      <c r="N60"/>
      <c r="R60" s="39"/>
    </row>
    <row r="61" spans="1:52" x14ac:dyDescent="0.35">
      <c r="A61"/>
      <c r="B61"/>
      <c r="C61"/>
      <c r="D61"/>
      <c r="E61"/>
      <c r="F61"/>
      <c r="G61"/>
      <c r="H61"/>
      <c r="I61"/>
      <c r="J61"/>
      <c r="K61"/>
      <c r="L61"/>
      <c r="M61"/>
      <c r="N61"/>
      <c r="R61" s="39"/>
    </row>
    <row r="62" spans="1:52" x14ac:dyDescent="0.35">
      <c r="A62"/>
      <c r="B62"/>
      <c r="C62"/>
      <c r="D62"/>
      <c r="E62"/>
      <c r="F62"/>
      <c r="G62"/>
      <c r="H62"/>
      <c r="I62"/>
      <c r="J62"/>
      <c r="K62"/>
      <c r="L62"/>
      <c r="M62"/>
      <c r="N62"/>
      <c r="R62" s="39"/>
    </row>
    <row r="63" spans="1:52" x14ac:dyDescent="0.35">
      <c r="A63"/>
      <c r="B63"/>
      <c r="C63"/>
      <c r="D63"/>
      <c r="E63"/>
      <c r="F63"/>
      <c r="G63"/>
      <c r="H63"/>
      <c r="I63"/>
      <c r="J63"/>
      <c r="K63"/>
      <c r="L63"/>
      <c r="M63"/>
      <c r="N63"/>
      <c r="R63" s="39"/>
    </row>
    <row r="64" spans="1:52" x14ac:dyDescent="0.35">
      <c r="A64"/>
      <c r="B64"/>
      <c r="C64"/>
      <c r="D64"/>
      <c r="E64"/>
      <c r="F64"/>
      <c r="G64"/>
      <c r="H64"/>
      <c r="I64"/>
      <c r="J64"/>
      <c r="K64"/>
      <c r="L64"/>
      <c r="M64"/>
      <c r="N64"/>
      <c r="R64" s="39"/>
    </row>
    <row r="65" spans="1:20" x14ac:dyDescent="0.35">
      <c r="A65"/>
      <c r="B65"/>
      <c r="C65"/>
      <c r="D65"/>
      <c r="E65"/>
      <c r="F65"/>
      <c r="G65"/>
      <c r="H65"/>
      <c r="I65"/>
      <c r="J65"/>
      <c r="K65"/>
      <c r="L65"/>
      <c r="M65"/>
      <c r="N65"/>
      <c r="R65" s="39"/>
    </row>
    <row r="66" spans="1:20" x14ac:dyDescent="0.35">
      <c r="A66"/>
      <c r="B66"/>
      <c r="C66"/>
      <c r="D66"/>
      <c r="E66"/>
      <c r="F66"/>
      <c r="G66"/>
      <c r="H66"/>
      <c r="I66"/>
      <c r="J66"/>
      <c r="K66"/>
      <c r="L66"/>
      <c r="M66"/>
      <c r="N66"/>
      <c r="R66" s="39"/>
    </row>
    <row r="67" spans="1:20" x14ac:dyDescent="0.35">
      <c r="A67"/>
      <c r="B67"/>
      <c r="C67"/>
      <c r="D67"/>
      <c r="E67"/>
      <c r="F67"/>
      <c r="G67"/>
      <c r="H67"/>
      <c r="I67"/>
      <c r="J67"/>
      <c r="K67"/>
      <c r="L67"/>
      <c r="M67"/>
      <c r="N67"/>
      <c r="R67" s="39"/>
    </row>
    <row r="68" spans="1:20" x14ac:dyDescent="0.35">
      <c r="A68"/>
      <c r="B68"/>
      <c r="C68"/>
      <c r="D68"/>
      <c r="E68"/>
      <c r="F68"/>
      <c r="G68"/>
      <c r="H68"/>
      <c r="I68"/>
      <c r="J68"/>
      <c r="K68"/>
      <c r="L68"/>
      <c r="M68"/>
      <c r="N68"/>
      <c r="R68" s="39"/>
    </row>
    <row r="69" spans="1:20" x14ac:dyDescent="0.35">
      <c r="A69"/>
      <c r="B69"/>
      <c r="C69"/>
      <c r="D69"/>
      <c r="E69"/>
      <c r="F69"/>
      <c r="G69"/>
      <c r="H69"/>
      <c r="I69"/>
      <c r="J69"/>
      <c r="K69"/>
      <c r="L69"/>
      <c r="M69"/>
      <c r="N69"/>
      <c r="R69" s="39"/>
    </row>
    <row r="70" spans="1:20" x14ac:dyDescent="0.35">
      <c r="A70"/>
      <c r="B70"/>
      <c r="C70"/>
      <c r="D70"/>
      <c r="E70"/>
      <c r="F70"/>
      <c r="G70"/>
      <c r="H70"/>
      <c r="I70"/>
      <c r="J70"/>
      <c r="K70"/>
      <c r="L70"/>
      <c r="M70"/>
      <c r="N70"/>
      <c r="R70" s="39"/>
    </row>
    <row r="71" spans="1:20" x14ac:dyDescent="0.35">
      <c r="A71"/>
      <c r="B71"/>
      <c r="C71"/>
      <c r="D71"/>
      <c r="E71"/>
      <c r="F71"/>
      <c r="G71"/>
      <c r="H71"/>
      <c r="I71"/>
      <c r="J71"/>
      <c r="K71"/>
      <c r="L71"/>
      <c r="M71"/>
      <c r="N71"/>
      <c r="R71" s="39"/>
    </row>
    <row r="72" spans="1:20" x14ac:dyDescent="0.35">
      <c r="A72"/>
      <c r="B72"/>
      <c r="C72"/>
      <c r="D72"/>
      <c r="E72"/>
      <c r="F72"/>
      <c r="G72"/>
      <c r="H72"/>
      <c r="I72"/>
      <c r="J72"/>
      <c r="K72"/>
      <c r="L72"/>
      <c r="M72"/>
      <c r="N72"/>
      <c r="R72" s="39"/>
    </row>
    <row r="73" spans="1:20" x14ac:dyDescent="0.35">
      <c r="A73"/>
      <c r="B73"/>
      <c r="C73"/>
      <c r="D73"/>
      <c r="E73"/>
      <c r="F73"/>
      <c r="G73"/>
      <c r="H73"/>
      <c r="I73"/>
      <c r="J73"/>
      <c r="K73"/>
      <c r="L73"/>
      <c r="M73"/>
      <c r="N73"/>
      <c r="R73" s="39"/>
    </row>
    <row r="74" spans="1:20" x14ac:dyDescent="0.35">
      <c r="A74"/>
      <c r="B74"/>
      <c r="C74"/>
      <c r="D74"/>
      <c r="E74"/>
      <c r="F74"/>
      <c r="G74"/>
      <c r="H74"/>
      <c r="I74"/>
      <c r="J74"/>
      <c r="K74"/>
      <c r="L74"/>
      <c r="M74"/>
      <c r="N74"/>
      <c r="R74" s="39"/>
    </row>
    <row r="75" spans="1:20" x14ac:dyDescent="0.35">
      <c r="A75"/>
      <c r="B75"/>
      <c r="C75"/>
      <c r="D75"/>
      <c r="E75"/>
      <c r="F75"/>
      <c r="G75"/>
      <c r="H75"/>
      <c r="I75"/>
      <c r="J75"/>
      <c r="K75"/>
      <c r="L75"/>
      <c r="M75"/>
      <c r="N75"/>
      <c r="R75" s="39"/>
    </row>
    <row r="76" spans="1:20" x14ac:dyDescent="0.35">
      <c r="A76"/>
      <c r="B76"/>
      <c r="C76"/>
      <c r="D76"/>
      <c r="E76"/>
      <c r="F76"/>
      <c r="G76"/>
      <c r="H76"/>
      <c r="I76"/>
      <c r="J76"/>
      <c r="K76"/>
      <c r="L76"/>
      <c r="M76"/>
      <c r="N76"/>
      <c r="R76" s="39"/>
    </row>
    <row r="77" spans="1:20" x14ac:dyDescent="0.35">
      <c r="A77"/>
      <c r="B77"/>
      <c r="C77"/>
      <c r="D77"/>
      <c r="E77"/>
      <c r="F77"/>
      <c r="G77"/>
      <c r="H77"/>
      <c r="I77"/>
      <c r="J77"/>
      <c r="K77"/>
      <c r="L77"/>
      <c r="M77"/>
      <c r="N77"/>
      <c r="R77" s="39"/>
    </row>
    <row r="78" spans="1:20" x14ac:dyDescent="0.35">
      <c r="A78"/>
      <c r="B78"/>
      <c r="C78"/>
      <c r="D78"/>
      <c r="E78"/>
      <c r="F78"/>
      <c r="G78"/>
      <c r="H78"/>
      <c r="I78"/>
      <c r="J78"/>
      <c r="K78"/>
      <c r="L78"/>
      <c r="M78"/>
      <c r="N78"/>
      <c r="R78" s="536"/>
      <c r="S78" s="536"/>
      <c r="T78" s="13"/>
    </row>
    <row r="79" spans="1:20" x14ac:dyDescent="0.35">
      <c r="A79"/>
      <c r="B79"/>
      <c r="C79"/>
      <c r="D79"/>
      <c r="E79"/>
      <c r="F79"/>
      <c r="G79"/>
      <c r="H79"/>
      <c r="I79"/>
      <c r="J79"/>
      <c r="K79"/>
      <c r="L79"/>
      <c r="M79"/>
      <c r="N79"/>
      <c r="P79" s="4"/>
    </row>
    <row r="80" spans="1:20" x14ac:dyDescent="0.35">
      <c r="A80"/>
      <c r="B80"/>
      <c r="C80"/>
      <c r="D80"/>
      <c r="E80"/>
      <c r="F80"/>
      <c r="G80"/>
      <c r="H80"/>
      <c r="I80"/>
      <c r="J80"/>
      <c r="K80"/>
      <c r="L80"/>
      <c r="M80"/>
      <c r="N80"/>
    </row>
    <row r="81" spans="1:14" x14ac:dyDescent="0.35">
      <c r="A81"/>
      <c r="B81"/>
      <c r="C81"/>
      <c r="D81"/>
      <c r="E81"/>
      <c r="F81"/>
      <c r="G81"/>
      <c r="H81"/>
      <c r="I81"/>
      <c r="J81"/>
      <c r="K81"/>
      <c r="L81"/>
      <c r="M81"/>
      <c r="N81"/>
    </row>
    <row r="82" spans="1:14" x14ac:dyDescent="0.35">
      <c r="A82"/>
      <c r="B82"/>
      <c r="C82"/>
      <c r="D82"/>
      <c r="E82"/>
      <c r="F82"/>
      <c r="G82"/>
      <c r="H82"/>
      <c r="I82"/>
      <c r="J82"/>
      <c r="K82"/>
      <c r="L82"/>
      <c r="M82"/>
      <c r="N82"/>
    </row>
    <row r="83" spans="1:14" x14ac:dyDescent="0.35">
      <c r="A83"/>
      <c r="B83"/>
      <c r="C83"/>
      <c r="D83"/>
      <c r="E83"/>
      <c r="F83"/>
      <c r="G83"/>
      <c r="H83"/>
      <c r="I83"/>
      <c r="J83"/>
      <c r="K83"/>
      <c r="L83"/>
      <c r="M83"/>
      <c r="N83"/>
    </row>
    <row r="84" spans="1:14" x14ac:dyDescent="0.35">
      <c r="A84"/>
      <c r="B84"/>
      <c r="C84"/>
      <c r="D84"/>
      <c r="E84"/>
      <c r="F84"/>
      <c r="G84"/>
      <c r="H84"/>
      <c r="I84"/>
      <c r="J84"/>
      <c r="K84"/>
      <c r="L84"/>
      <c r="M84"/>
      <c r="N84"/>
    </row>
    <row r="85" spans="1:14" x14ac:dyDescent="0.35">
      <c r="A85"/>
      <c r="B85"/>
      <c r="C85"/>
      <c r="D85"/>
      <c r="E85"/>
      <c r="F85"/>
      <c r="G85"/>
      <c r="H85"/>
      <c r="I85"/>
      <c r="J85"/>
      <c r="K85"/>
      <c r="L85"/>
      <c r="M85"/>
      <c r="N85"/>
    </row>
    <row r="86" spans="1:14" x14ac:dyDescent="0.35">
      <c r="A86"/>
      <c r="B86"/>
      <c r="C86"/>
      <c r="D86"/>
      <c r="E86"/>
      <c r="F86"/>
      <c r="G86"/>
      <c r="H86"/>
      <c r="I86"/>
      <c r="J86"/>
      <c r="K86"/>
      <c r="L86"/>
      <c r="M86"/>
      <c r="N86"/>
    </row>
    <row r="87" spans="1:14" x14ac:dyDescent="0.35">
      <c r="A87"/>
      <c r="B87"/>
      <c r="C87"/>
      <c r="D87"/>
      <c r="E87"/>
      <c r="F87"/>
      <c r="G87"/>
      <c r="H87"/>
      <c r="I87"/>
      <c r="J87"/>
      <c r="K87"/>
      <c r="L87"/>
      <c r="M87"/>
      <c r="N87"/>
    </row>
    <row r="88" spans="1:14" x14ac:dyDescent="0.35">
      <c r="A88"/>
      <c r="B88"/>
      <c r="C88"/>
      <c r="D88"/>
      <c r="E88"/>
      <c r="F88"/>
      <c r="G88"/>
      <c r="H88"/>
      <c r="I88"/>
      <c r="J88"/>
      <c r="K88"/>
      <c r="L88"/>
      <c r="M88"/>
      <c r="N88"/>
    </row>
    <row r="89" spans="1:14" x14ac:dyDescent="0.35">
      <c r="A89"/>
      <c r="B89"/>
      <c r="C89"/>
      <c r="D89"/>
      <c r="E89"/>
      <c r="F89"/>
      <c r="G89"/>
      <c r="H89"/>
      <c r="I89"/>
      <c r="J89"/>
      <c r="K89"/>
      <c r="L89"/>
      <c r="M89"/>
      <c r="N89"/>
    </row>
    <row r="90" spans="1:14" x14ac:dyDescent="0.35">
      <c r="A90"/>
      <c r="B90"/>
      <c r="C90"/>
      <c r="D90"/>
      <c r="E90"/>
      <c r="F90"/>
      <c r="G90"/>
      <c r="H90"/>
      <c r="I90"/>
      <c r="J90"/>
      <c r="K90"/>
      <c r="L90"/>
      <c r="M90"/>
      <c r="N90"/>
    </row>
    <row r="91" spans="1:14" x14ac:dyDescent="0.35">
      <c r="A91"/>
      <c r="B91"/>
      <c r="C91"/>
      <c r="D91"/>
      <c r="E91"/>
      <c r="F91"/>
      <c r="G91"/>
      <c r="H91"/>
      <c r="I91"/>
      <c r="J91"/>
      <c r="K91"/>
      <c r="L91"/>
      <c r="M91"/>
      <c r="N91"/>
    </row>
    <row r="92" spans="1:14" x14ac:dyDescent="0.35">
      <c r="A92"/>
      <c r="B92"/>
      <c r="C92"/>
      <c r="D92"/>
      <c r="E92"/>
      <c r="F92"/>
      <c r="G92"/>
      <c r="H92"/>
      <c r="I92"/>
      <c r="J92"/>
      <c r="K92"/>
      <c r="L92"/>
      <c r="M92"/>
      <c r="N92"/>
    </row>
    <row r="93" spans="1:14" x14ac:dyDescent="0.35">
      <c r="A93"/>
      <c r="B93"/>
      <c r="C93"/>
      <c r="D93"/>
      <c r="E93"/>
      <c r="F93"/>
      <c r="G93"/>
      <c r="H93"/>
      <c r="I93"/>
      <c r="J93"/>
      <c r="K93"/>
      <c r="L93"/>
      <c r="M93"/>
      <c r="N93"/>
    </row>
    <row r="94" spans="1:14" x14ac:dyDescent="0.35">
      <c r="A94"/>
      <c r="B94"/>
      <c r="C94"/>
      <c r="D94"/>
      <c r="E94"/>
      <c r="F94"/>
      <c r="G94"/>
      <c r="H94"/>
      <c r="I94"/>
      <c r="J94"/>
      <c r="K94"/>
      <c r="L94"/>
      <c r="M94"/>
      <c r="N94"/>
    </row>
    <row r="95" spans="1:14" x14ac:dyDescent="0.35">
      <c r="A95"/>
      <c r="B95"/>
      <c r="C95"/>
      <c r="D95"/>
      <c r="E95"/>
      <c r="F95"/>
      <c r="G95"/>
      <c r="H95"/>
      <c r="I95"/>
      <c r="J95"/>
      <c r="K95"/>
      <c r="L95"/>
      <c r="M95"/>
      <c r="N95"/>
    </row>
    <row r="96" spans="1:14" x14ac:dyDescent="0.35">
      <c r="A96"/>
      <c r="B96"/>
      <c r="C96"/>
      <c r="D96"/>
      <c r="E96"/>
      <c r="F96"/>
      <c r="G96"/>
      <c r="H96"/>
      <c r="I96"/>
      <c r="J96"/>
      <c r="K96"/>
      <c r="L96"/>
      <c r="M96"/>
      <c r="N96"/>
    </row>
    <row r="97" spans="1:14" x14ac:dyDescent="0.35">
      <c r="A97"/>
      <c r="B97"/>
      <c r="C97"/>
      <c r="D97"/>
      <c r="E97"/>
      <c r="F97"/>
      <c r="G97"/>
      <c r="H97"/>
      <c r="I97"/>
      <c r="J97"/>
      <c r="K97"/>
      <c r="L97"/>
      <c r="M97"/>
      <c r="N97"/>
    </row>
    <row r="98" spans="1:14" x14ac:dyDescent="0.35">
      <c r="A98"/>
      <c r="B98"/>
      <c r="C98"/>
      <c r="D98"/>
      <c r="E98"/>
      <c r="F98"/>
      <c r="G98"/>
      <c r="H98"/>
      <c r="I98"/>
      <c r="J98"/>
      <c r="K98"/>
      <c r="L98"/>
      <c r="M98"/>
      <c r="N98"/>
    </row>
    <row r="99" spans="1:14" x14ac:dyDescent="0.35">
      <c r="A99"/>
      <c r="B99"/>
      <c r="C99"/>
      <c r="D99"/>
      <c r="E99"/>
      <c r="F99"/>
      <c r="G99"/>
      <c r="H99"/>
      <c r="I99"/>
      <c r="J99"/>
      <c r="K99"/>
      <c r="L99"/>
      <c r="M99"/>
      <c r="N99"/>
    </row>
    <row r="100" spans="1:14" x14ac:dyDescent="0.35">
      <c r="A100"/>
      <c r="B100"/>
      <c r="C100"/>
      <c r="D100"/>
      <c r="E100"/>
      <c r="F100"/>
      <c r="G100"/>
      <c r="H100"/>
      <c r="I100"/>
      <c r="J100"/>
      <c r="K100"/>
      <c r="L100"/>
      <c r="M100"/>
      <c r="N100"/>
    </row>
    <row r="101" spans="1:14" x14ac:dyDescent="0.35">
      <c r="A101"/>
      <c r="B101"/>
      <c r="C101"/>
      <c r="D101"/>
      <c r="E101"/>
      <c r="F101"/>
      <c r="G101"/>
      <c r="H101"/>
      <c r="I101"/>
      <c r="J101"/>
      <c r="K101"/>
      <c r="L101"/>
      <c r="M101"/>
      <c r="N101"/>
    </row>
    <row r="102" spans="1:14" x14ac:dyDescent="0.35">
      <c r="A102"/>
      <c r="B102"/>
      <c r="C102"/>
      <c r="D102"/>
      <c r="E102"/>
      <c r="F102"/>
      <c r="G102"/>
      <c r="H102"/>
      <c r="I102"/>
      <c r="J102"/>
      <c r="K102"/>
      <c r="L102"/>
      <c r="M102"/>
      <c r="N102"/>
    </row>
    <row r="103" spans="1:14" x14ac:dyDescent="0.35">
      <c r="A103"/>
      <c r="B103"/>
      <c r="C103"/>
      <c r="D103"/>
      <c r="E103"/>
      <c r="F103"/>
      <c r="G103"/>
      <c r="H103"/>
      <c r="I103"/>
      <c r="J103"/>
      <c r="K103"/>
      <c r="L103"/>
      <c r="M103"/>
      <c r="N103"/>
    </row>
    <row r="104" spans="1:14" x14ac:dyDescent="0.35">
      <c r="A104"/>
      <c r="B104"/>
      <c r="C104"/>
      <c r="D104"/>
      <c r="E104"/>
      <c r="F104"/>
      <c r="G104"/>
      <c r="H104"/>
      <c r="I104"/>
      <c r="J104"/>
      <c r="K104"/>
      <c r="L104"/>
      <c r="M104"/>
      <c r="N104"/>
    </row>
    <row r="105" spans="1:14" x14ac:dyDescent="0.35">
      <c r="A105"/>
      <c r="B105"/>
      <c r="C105"/>
      <c r="D105"/>
      <c r="E105"/>
      <c r="F105"/>
      <c r="G105"/>
      <c r="H105"/>
      <c r="I105"/>
      <c r="J105"/>
      <c r="K105"/>
      <c r="L105"/>
      <c r="M105"/>
      <c r="N105"/>
    </row>
    <row r="106" spans="1:14" x14ac:dyDescent="0.35">
      <c r="A106"/>
      <c r="B106"/>
      <c r="C106"/>
      <c r="D106"/>
      <c r="E106"/>
      <c r="F106"/>
      <c r="G106"/>
      <c r="H106"/>
      <c r="I106"/>
      <c r="J106"/>
      <c r="K106"/>
      <c r="L106"/>
      <c r="M106"/>
      <c r="N106"/>
    </row>
    <row r="107" spans="1:14" x14ac:dyDescent="0.35">
      <c r="A107"/>
      <c r="B107"/>
      <c r="C107"/>
      <c r="D107"/>
      <c r="E107"/>
      <c r="F107"/>
      <c r="G107"/>
      <c r="H107"/>
      <c r="I107"/>
      <c r="J107"/>
      <c r="K107"/>
      <c r="L107"/>
      <c r="M107"/>
      <c r="N107"/>
    </row>
    <row r="108" spans="1:14" x14ac:dyDescent="0.35">
      <c r="A108"/>
      <c r="B108"/>
      <c r="C108"/>
      <c r="D108"/>
      <c r="E108"/>
      <c r="F108"/>
      <c r="G108"/>
      <c r="H108"/>
      <c r="I108"/>
      <c r="J108"/>
      <c r="K108"/>
      <c r="L108"/>
      <c r="M108"/>
      <c r="N108"/>
    </row>
    <row r="109" spans="1:14" x14ac:dyDescent="0.35">
      <c r="A109"/>
      <c r="B109"/>
      <c r="C109"/>
      <c r="D109"/>
      <c r="E109"/>
      <c r="F109"/>
      <c r="G109"/>
      <c r="H109"/>
      <c r="I109"/>
      <c r="J109"/>
      <c r="K109"/>
      <c r="L109"/>
      <c r="M109"/>
      <c r="N109"/>
    </row>
    <row r="110" spans="1:14" x14ac:dyDescent="0.35">
      <c r="A110"/>
      <c r="B110"/>
      <c r="C110"/>
      <c r="D110"/>
      <c r="E110"/>
      <c r="F110"/>
      <c r="G110"/>
      <c r="H110"/>
      <c r="I110"/>
      <c r="J110"/>
      <c r="K110"/>
      <c r="L110"/>
      <c r="M110"/>
      <c r="N110"/>
    </row>
    <row r="111" spans="1:14" x14ac:dyDescent="0.35">
      <c r="A111"/>
      <c r="B111"/>
      <c r="C111"/>
      <c r="D111"/>
      <c r="E111"/>
      <c r="F111"/>
      <c r="G111"/>
      <c r="H111"/>
      <c r="I111"/>
      <c r="J111"/>
      <c r="K111"/>
      <c r="L111"/>
      <c r="M111"/>
      <c r="N111"/>
    </row>
    <row r="112" spans="1:14" x14ac:dyDescent="0.35">
      <c r="A112"/>
      <c r="B112"/>
      <c r="C112"/>
      <c r="D112"/>
      <c r="E112"/>
      <c r="F112"/>
      <c r="G112"/>
      <c r="H112"/>
      <c r="I112"/>
      <c r="J112"/>
      <c r="K112"/>
      <c r="L112"/>
      <c r="M112"/>
      <c r="N112"/>
    </row>
    <row r="113" spans="1:14" x14ac:dyDescent="0.35">
      <c r="A113"/>
      <c r="B113"/>
      <c r="C113"/>
      <c r="D113"/>
      <c r="E113"/>
      <c r="F113"/>
      <c r="G113"/>
      <c r="H113"/>
      <c r="I113"/>
      <c r="J113"/>
      <c r="K113"/>
      <c r="L113"/>
      <c r="M113"/>
      <c r="N113"/>
    </row>
    <row r="114" spans="1:14" x14ac:dyDescent="0.35">
      <c r="A114"/>
      <c r="B114"/>
      <c r="C114"/>
      <c r="D114"/>
      <c r="E114"/>
      <c r="F114"/>
      <c r="G114"/>
      <c r="H114"/>
      <c r="I114"/>
      <c r="J114"/>
      <c r="K114"/>
      <c r="L114"/>
      <c r="M114"/>
      <c r="N114"/>
    </row>
    <row r="115" spans="1:14" x14ac:dyDescent="0.35">
      <c r="A115"/>
      <c r="B115"/>
      <c r="C115"/>
      <c r="D115"/>
      <c r="E115"/>
      <c r="F115"/>
      <c r="G115"/>
      <c r="H115"/>
      <c r="I115"/>
      <c r="J115"/>
      <c r="K115"/>
      <c r="L115"/>
      <c r="M115"/>
      <c r="N115"/>
    </row>
    <row r="116" spans="1:14" x14ac:dyDescent="0.35">
      <c r="A116"/>
      <c r="B116"/>
      <c r="C116"/>
      <c r="D116"/>
      <c r="E116"/>
      <c r="F116"/>
      <c r="G116"/>
      <c r="H116"/>
      <c r="I116"/>
      <c r="J116"/>
      <c r="K116"/>
      <c r="L116"/>
      <c r="M116"/>
      <c r="N116"/>
    </row>
    <row r="117" spans="1:14" x14ac:dyDescent="0.35">
      <c r="A117"/>
      <c r="B117"/>
      <c r="C117"/>
      <c r="D117"/>
      <c r="E117"/>
      <c r="F117"/>
      <c r="G117"/>
      <c r="H117"/>
      <c r="I117"/>
      <c r="J117"/>
      <c r="K117"/>
      <c r="L117"/>
      <c r="M117"/>
      <c r="N117"/>
    </row>
    <row r="118" spans="1:14" x14ac:dyDescent="0.35">
      <c r="A118"/>
      <c r="B118"/>
      <c r="C118"/>
      <c r="D118"/>
      <c r="E118"/>
      <c r="F118"/>
      <c r="G118"/>
      <c r="H118"/>
      <c r="I118"/>
      <c r="J118"/>
      <c r="K118"/>
      <c r="L118"/>
      <c r="M118"/>
      <c r="N118"/>
    </row>
    <row r="119" spans="1:14" x14ac:dyDescent="0.35">
      <c r="A119"/>
      <c r="B119"/>
      <c r="C119"/>
      <c r="D119"/>
      <c r="E119"/>
      <c r="F119"/>
      <c r="G119"/>
      <c r="H119"/>
      <c r="I119"/>
      <c r="J119"/>
      <c r="K119"/>
      <c r="L119"/>
      <c r="M119"/>
      <c r="N119"/>
    </row>
    <row r="120" spans="1:14" x14ac:dyDescent="0.35">
      <c r="A120"/>
      <c r="B120"/>
      <c r="C120"/>
      <c r="D120"/>
      <c r="E120"/>
      <c r="F120"/>
      <c r="G120"/>
      <c r="H120"/>
      <c r="I120"/>
      <c r="J120"/>
      <c r="K120"/>
      <c r="L120"/>
      <c r="M120"/>
      <c r="N120"/>
    </row>
    <row r="121" spans="1:14" x14ac:dyDescent="0.35">
      <c r="A121"/>
      <c r="B121"/>
      <c r="C121"/>
      <c r="D121"/>
      <c r="E121"/>
      <c r="F121"/>
      <c r="G121"/>
      <c r="H121"/>
      <c r="I121"/>
      <c r="J121"/>
      <c r="K121"/>
      <c r="L121"/>
      <c r="M121"/>
      <c r="N121"/>
    </row>
    <row r="122" spans="1:14" x14ac:dyDescent="0.35">
      <c r="A122"/>
      <c r="B122"/>
      <c r="C122"/>
      <c r="D122"/>
      <c r="E122"/>
      <c r="F122"/>
      <c r="G122"/>
      <c r="H122"/>
      <c r="I122"/>
      <c r="J122"/>
      <c r="K122"/>
      <c r="L122"/>
      <c r="M122"/>
      <c r="N122"/>
    </row>
    <row r="123" spans="1:14" x14ac:dyDescent="0.35">
      <c r="A123"/>
      <c r="B123"/>
      <c r="C123"/>
      <c r="D123"/>
      <c r="E123"/>
      <c r="F123"/>
      <c r="G123"/>
      <c r="H123"/>
      <c r="I123"/>
      <c r="J123"/>
      <c r="K123"/>
      <c r="L123"/>
      <c r="M123"/>
      <c r="N123"/>
    </row>
    <row r="124" spans="1:14" x14ac:dyDescent="0.35">
      <c r="A124"/>
      <c r="B124"/>
      <c r="C124"/>
      <c r="D124"/>
      <c r="E124"/>
      <c r="F124"/>
      <c r="G124"/>
      <c r="H124"/>
      <c r="I124"/>
      <c r="J124"/>
      <c r="K124"/>
      <c r="L124"/>
      <c r="M124"/>
      <c r="N124"/>
    </row>
    <row r="125" spans="1:14" x14ac:dyDescent="0.35">
      <c r="A125"/>
      <c r="B125"/>
      <c r="C125"/>
      <c r="D125"/>
      <c r="E125"/>
      <c r="F125"/>
      <c r="G125"/>
      <c r="H125"/>
      <c r="I125"/>
      <c r="J125"/>
      <c r="K125"/>
      <c r="L125"/>
      <c r="M125"/>
      <c r="N125"/>
    </row>
    <row r="126" spans="1:14" x14ac:dyDescent="0.35">
      <c r="A126"/>
      <c r="B126"/>
      <c r="C126"/>
      <c r="D126"/>
      <c r="E126"/>
      <c r="F126"/>
      <c r="G126"/>
      <c r="H126"/>
      <c r="I126"/>
      <c r="J126"/>
      <c r="K126"/>
      <c r="L126"/>
      <c r="M126"/>
      <c r="N126"/>
    </row>
    <row r="127" spans="1:14" x14ac:dyDescent="0.35">
      <c r="A127"/>
      <c r="B127"/>
      <c r="C127"/>
      <c r="D127"/>
      <c r="E127"/>
      <c r="F127"/>
      <c r="G127"/>
      <c r="H127"/>
      <c r="I127"/>
      <c r="J127"/>
      <c r="K127"/>
      <c r="L127"/>
      <c r="M127"/>
      <c r="N127"/>
    </row>
    <row r="128" spans="1:14" x14ac:dyDescent="0.35">
      <c r="A128"/>
      <c r="B128"/>
      <c r="C128"/>
      <c r="D128"/>
      <c r="E128"/>
      <c r="F128"/>
      <c r="G128"/>
      <c r="H128"/>
      <c r="I128"/>
      <c r="J128"/>
      <c r="K128"/>
      <c r="L128"/>
      <c r="M128"/>
      <c r="N128"/>
    </row>
    <row r="129" spans="1:14" x14ac:dyDescent="0.35">
      <c r="A129"/>
      <c r="B129"/>
      <c r="C129"/>
      <c r="D129"/>
      <c r="E129"/>
      <c r="F129"/>
      <c r="G129"/>
      <c r="H129"/>
      <c r="I129"/>
      <c r="J129"/>
      <c r="K129"/>
      <c r="L129"/>
      <c r="M129"/>
      <c r="N129"/>
    </row>
    <row r="130" spans="1:14" x14ac:dyDescent="0.35">
      <c r="A130"/>
      <c r="B130"/>
      <c r="C130"/>
      <c r="D130"/>
      <c r="E130"/>
      <c r="F130"/>
      <c r="G130"/>
      <c r="H130"/>
      <c r="I130"/>
      <c r="J130"/>
      <c r="K130"/>
      <c r="L130"/>
      <c r="M130"/>
      <c r="N130"/>
    </row>
    <row r="131" spans="1:14" x14ac:dyDescent="0.35">
      <c r="A131"/>
      <c r="B131"/>
      <c r="C131"/>
      <c r="D131"/>
      <c r="E131"/>
      <c r="F131"/>
      <c r="G131"/>
      <c r="H131"/>
      <c r="I131"/>
      <c r="J131"/>
      <c r="K131"/>
      <c r="L131"/>
      <c r="M131"/>
      <c r="N131"/>
    </row>
    <row r="132" spans="1:14" x14ac:dyDescent="0.35">
      <c r="A132"/>
      <c r="B132"/>
      <c r="C132"/>
      <c r="D132"/>
      <c r="E132"/>
      <c r="F132"/>
      <c r="G132"/>
      <c r="H132"/>
      <c r="I132"/>
      <c r="J132"/>
      <c r="K132"/>
      <c r="L132"/>
      <c r="M132"/>
      <c r="N132"/>
    </row>
    <row r="133" spans="1:14" x14ac:dyDescent="0.35">
      <c r="A133"/>
      <c r="B133"/>
      <c r="C133"/>
      <c r="D133"/>
      <c r="E133"/>
      <c r="F133"/>
      <c r="G133"/>
      <c r="H133"/>
      <c r="I133"/>
      <c r="J133"/>
      <c r="K133"/>
      <c r="L133"/>
      <c r="M133"/>
      <c r="N133"/>
    </row>
    <row r="134" spans="1:14" x14ac:dyDescent="0.35">
      <c r="A134"/>
      <c r="B134"/>
      <c r="C134"/>
      <c r="D134"/>
      <c r="E134"/>
      <c r="F134"/>
      <c r="G134"/>
      <c r="H134"/>
      <c r="I134"/>
      <c r="J134"/>
      <c r="K134"/>
      <c r="L134"/>
      <c r="M134"/>
      <c r="N134"/>
    </row>
    <row r="135" spans="1:14" x14ac:dyDescent="0.35">
      <c r="A135"/>
      <c r="B135"/>
      <c r="C135"/>
      <c r="D135"/>
      <c r="E135"/>
      <c r="F135"/>
      <c r="G135"/>
      <c r="H135"/>
      <c r="I135"/>
      <c r="J135"/>
      <c r="K135"/>
      <c r="L135"/>
      <c r="M135"/>
      <c r="N135"/>
    </row>
    <row r="136" spans="1:14" x14ac:dyDescent="0.35">
      <c r="A136"/>
      <c r="B136"/>
      <c r="C136"/>
      <c r="D136"/>
      <c r="E136"/>
      <c r="F136"/>
      <c r="G136"/>
      <c r="H136"/>
      <c r="I136"/>
      <c r="J136"/>
      <c r="K136"/>
      <c r="L136"/>
      <c r="M136"/>
      <c r="N136"/>
    </row>
    <row r="137" spans="1:14" x14ac:dyDescent="0.35">
      <c r="A137"/>
      <c r="B137"/>
      <c r="C137"/>
      <c r="D137"/>
      <c r="E137"/>
      <c r="F137"/>
      <c r="G137"/>
      <c r="H137"/>
      <c r="I137"/>
      <c r="J137"/>
      <c r="K137"/>
      <c r="L137"/>
      <c r="M137"/>
      <c r="N137"/>
    </row>
    <row r="138" spans="1:14" x14ac:dyDescent="0.35">
      <c r="A138"/>
      <c r="B138"/>
      <c r="C138"/>
      <c r="D138"/>
      <c r="E138"/>
      <c r="F138"/>
      <c r="G138"/>
      <c r="H138"/>
      <c r="I138"/>
      <c r="J138"/>
      <c r="K138"/>
      <c r="L138"/>
      <c r="M138"/>
      <c r="N138"/>
    </row>
    <row r="139" spans="1:14" x14ac:dyDescent="0.35">
      <c r="A139"/>
      <c r="B139"/>
      <c r="C139"/>
      <c r="D139"/>
      <c r="E139"/>
      <c r="F139"/>
      <c r="G139"/>
      <c r="H139"/>
      <c r="I139"/>
      <c r="J139"/>
      <c r="K139"/>
      <c r="L139"/>
      <c r="M139"/>
      <c r="N139"/>
    </row>
    <row r="140" spans="1:14" x14ac:dyDescent="0.35">
      <c r="A140"/>
      <c r="B140"/>
      <c r="C140"/>
      <c r="D140"/>
      <c r="E140"/>
      <c r="F140"/>
      <c r="G140"/>
      <c r="H140"/>
      <c r="I140"/>
      <c r="J140"/>
      <c r="K140"/>
      <c r="L140"/>
      <c r="M140"/>
      <c r="N140"/>
    </row>
    <row r="141" spans="1:14" x14ac:dyDescent="0.35">
      <c r="A141"/>
      <c r="B141"/>
      <c r="C141"/>
      <c r="D141"/>
      <c r="E141"/>
      <c r="F141"/>
      <c r="G141"/>
      <c r="H141"/>
      <c r="I141"/>
      <c r="J141"/>
      <c r="K141"/>
      <c r="L141"/>
      <c r="M141"/>
      <c r="N141"/>
    </row>
    <row r="142" spans="1:14" x14ac:dyDescent="0.35">
      <c r="A142"/>
      <c r="B142"/>
      <c r="C142"/>
      <c r="D142"/>
      <c r="E142"/>
      <c r="F142"/>
      <c r="G142"/>
      <c r="H142"/>
      <c r="I142"/>
      <c r="J142"/>
      <c r="K142"/>
      <c r="L142"/>
      <c r="M142"/>
      <c r="N142"/>
    </row>
    <row r="143" spans="1:14" x14ac:dyDescent="0.35">
      <c r="A143"/>
      <c r="B143"/>
      <c r="C143"/>
      <c r="D143"/>
      <c r="E143"/>
      <c r="F143"/>
      <c r="G143"/>
      <c r="H143"/>
      <c r="I143"/>
      <c r="J143"/>
      <c r="K143"/>
      <c r="L143"/>
      <c r="M143"/>
      <c r="N143"/>
    </row>
    <row r="144" spans="1:14" x14ac:dyDescent="0.35">
      <c r="A144"/>
      <c r="B144"/>
      <c r="C144"/>
      <c r="D144"/>
      <c r="E144"/>
      <c r="F144"/>
      <c r="G144"/>
      <c r="H144"/>
      <c r="I144"/>
      <c r="J144"/>
      <c r="K144"/>
      <c r="L144"/>
      <c r="M144"/>
      <c r="N144"/>
    </row>
    <row r="145" spans="1:14" x14ac:dyDescent="0.35">
      <c r="A145"/>
      <c r="B145"/>
      <c r="C145"/>
      <c r="D145"/>
      <c r="E145"/>
      <c r="F145"/>
      <c r="G145"/>
      <c r="H145"/>
      <c r="I145"/>
      <c r="J145"/>
      <c r="K145"/>
      <c r="L145"/>
      <c r="M145"/>
      <c r="N145"/>
    </row>
    <row r="146" spans="1:14" x14ac:dyDescent="0.35">
      <c r="A146"/>
      <c r="B146"/>
      <c r="C146"/>
      <c r="D146"/>
      <c r="E146"/>
      <c r="F146"/>
      <c r="G146"/>
      <c r="H146"/>
      <c r="I146"/>
      <c r="J146"/>
      <c r="K146"/>
      <c r="L146"/>
      <c r="M146"/>
      <c r="N146"/>
    </row>
    <row r="147" spans="1:14" x14ac:dyDescent="0.35">
      <c r="A147"/>
      <c r="B147"/>
      <c r="C147"/>
      <c r="D147"/>
      <c r="E147"/>
      <c r="F147"/>
      <c r="G147"/>
      <c r="H147"/>
      <c r="I147"/>
      <c r="J147"/>
      <c r="K147"/>
      <c r="L147"/>
      <c r="M147"/>
      <c r="N147"/>
    </row>
    <row r="148" spans="1:14" x14ac:dyDescent="0.35">
      <c r="A148"/>
      <c r="B148"/>
      <c r="C148"/>
      <c r="D148"/>
      <c r="E148"/>
      <c r="F148"/>
      <c r="G148"/>
      <c r="H148"/>
      <c r="I148"/>
      <c r="J148"/>
      <c r="K148"/>
      <c r="L148"/>
      <c r="M148"/>
      <c r="N148"/>
    </row>
    <row r="149" spans="1:14" x14ac:dyDescent="0.35">
      <c r="A149"/>
      <c r="B149"/>
      <c r="C149"/>
      <c r="D149"/>
      <c r="E149"/>
      <c r="F149"/>
      <c r="G149"/>
      <c r="H149"/>
      <c r="I149"/>
      <c r="J149"/>
      <c r="K149"/>
      <c r="L149"/>
      <c r="M149"/>
      <c r="N149"/>
    </row>
    <row r="150" spans="1:14" x14ac:dyDescent="0.35">
      <c r="A150"/>
      <c r="B150"/>
      <c r="C150"/>
      <c r="D150"/>
      <c r="E150"/>
      <c r="F150"/>
      <c r="G150"/>
      <c r="H150"/>
      <c r="I150"/>
      <c r="J150"/>
      <c r="K150"/>
      <c r="L150"/>
      <c r="M150"/>
      <c r="N150"/>
    </row>
    <row r="151" spans="1:14" x14ac:dyDescent="0.35">
      <c r="A151"/>
      <c r="B151"/>
      <c r="C151"/>
      <c r="D151"/>
      <c r="E151"/>
      <c r="F151"/>
      <c r="G151"/>
      <c r="H151"/>
      <c r="I151"/>
      <c r="J151"/>
      <c r="K151"/>
      <c r="L151"/>
      <c r="M151"/>
      <c r="N151"/>
    </row>
    <row r="152" spans="1:14" x14ac:dyDescent="0.35">
      <c r="A152"/>
      <c r="B152"/>
      <c r="C152"/>
      <c r="D152"/>
      <c r="E152"/>
      <c r="F152"/>
      <c r="G152"/>
      <c r="H152"/>
      <c r="I152"/>
      <c r="J152"/>
      <c r="K152"/>
      <c r="L152"/>
      <c r="M152"/>
      <c r="N152"/>
    </row>
    <row r="153" spans="1:14" x14ac:dyDescent="0.35">
      <c r="A153"/>
      <c r="B153"/>
      <c r="C153"/>
      <c r="D153"/>
      <c r="E153"/>
      <c r="F153"/>
      <c r="G153"/>
      <c r="H153"/>
      <c r="I153"/>
      <c r="J153"/>
      <c r="K153"/>
      <c r="L153"/>
      <c r="M153"/>
      <c r="N153"/>
    </row>
    <row r="154" spans="1:14" x14ac:dyDescent="0.35">
      <c r="A154"/>
      <c r="B154"/>
      <c r="C154"/>
      <c r="D154"/>
      <c r="E154"/>
      <c r="F154"/>
      <c r="G154"/>
      <c r="H154"/>
      <c r="I154"/>
      <c r="J154"/>
      <c r="K154"/>
      <c r="L154"/>
      <c r="M154"/>
      <c r="N154"/>
    </row>
    <row r="155" spans="1:14" x14ac:dyDescent="0.35">
      <c r="A155"/>
      <c r="B155"/>
      <c r="C155"/>
      <c r="D155"/>
      <c r="E155"/>
      <c r="F155"/>
      <c r="G155"/>
      <c r="H155"/>
      <c r="I155"/>
      <c r="J155"/>
      <c r="K155"/>
      <c r="L155"/>
      <c r="M155"/>
      <c r="N155"/>
    </row>
    <row r="156" spans="1:14" x14ac:dyDescent="0.35">
      <c r="A156"/>
      <c r="B156"/>
      <c r="C156"/>
      <c r="D156"/>
      <c r="E156"/>
      <c r="F156"/>
      <c r="G156"/>
      <c r="H156"/>
      <c r="I156"/>
      <c r="J156"/>
      <c r="K156"/>
      <c r="L156"/>
      <c r="M156"/>
      <c r="N156"/>
    </row>
    <row r="157" spans="1:14" x14ac:dyDescent="0.35">
      <c r="A157"/>
      <c r="B157"/>
      <c r="C157"/>
      <c r="D157"/>
      <c r="E157"/>
      <c r="F157"/>
      <c r="G157"/>
      <c r="H157"/>
      <c r="I157"/>
      <c r="J157"/>
      <c r="K157"/>
      <c r="L157"/>
      <c r="M157"/>
      <c r="N157"/>
    </row>
    <row r="158" spans="1:14" x14ac:dyDescent="0.35">
      <c r="A158"/>
      <c r="B158"/>
      <c r="C158"/>
      <c r="D158"/>
      <c r="E158"/>
      <c r="F158"/>
      <c r="G158"/>
      <c r="H158"/>
      <c r="I158"/>
      <c r="J158"/>
      <c r="K158"/>
      <c r="L158"/>
      <c r="M158"/>
      <c r="N158"/>
    </row>
    <row r="159" spans="1:14" x14ac:dyDescent="0.35">
      <c r="A159"/>
      <c r="B159"/>
      <c r="C159"/>
      <c r="D159"/>
      <c r="E159"/>
      <c r="F159"/>
      <c r="G159"/>
      <c r="H159"/>
      <c r="I159"/>
      <c r="J159"/>
      <c r="K159"/>
      <c r="L159"/>
      <c r="M159"/>
      <c r="N159"/>
    </row>
    <row r="160" spans="1:14" x14ac:dyDescent="0.35">
      <c r="A160"/>
      <c r="B160"/>
      <c r="C160"/>
      <c r="D160"/>
      <c r="E160"/>
      <c r="F160"/>
      <c r="G160"/>
      <c r="H160"/>
      <c r="I160"/>
      <c r="J160"/>
      <c r="K160"/>
      <c r="L160"/>
      <c r="M160"/>
      <c r="N160"/>
    </row>
    <row r="161" spans="1:14" x14ac:dyDescent="0.35">
      <c r="A161"/>
      <c r="B161"/>
      <c r="C161"/>
      <c r="D161"/>
      <c r="E161"/>
      <c r="F161"/>
      <c r="G161"/>
      <c r="H161"/>
      <c r="I161"/>
      <c r="J161"/>
      <c r="K161"/>
      <c r="L161"/>
      <c r="M161"/>
      <c r="N161"/>
    </row>
    <row r="162" spans="1:14" x14ac:dyDescent="0.35">
      <c r="A162"/>
      <c r="B162"/>
      <c r="C162"/>
      <c r="D162"/>
      <c r="E162"/>
      <c r="F162"/>
      <c r="G162"/>
      <c r="H162"/>
      <c r="I162"/>
      <c r="J162"/>
      <c r="K162"/>
      <c r="L162"/>
      <c r="M162"/>
      <c r="N162"/>
    </row>
    <row r="163" spans="1:14" x14ac:dyDescent="0.35">
      <c r="A163"/>
      <c r="B163"/>
      <c r="C163"/>
      <c r="D163"/>
      <c r="E163"/>
      <c r="F163"/>
      <c r="G163"/>
      <c r="H163"/>
      <c r="I163"/>
      <c r="J163"/>
      <c r="K163"/>
      <c r="L163"/>
      <c r="M163"/>
      <c r="N163"/>
    </row>
    <row r="164" spans="1:14" x14ac:dyDescent="0.35">
      <c r="A164"/>
      <c r="B164"/>
      <c r="C164"/>
      <c r="D164"/>
      <c r="E164"/>
      <c r="F164"/>
      <c r="G164"/>
      <c r="H164"/>
      <c r="I164"/>
      <c r="J164"/>
      <c r="K164"/>
      <c r="L164"/>
      <c r="M164"/>
      <c r="N164"/>
    </row>
    <row r="165" spans="1:14" x14ac:dyDescent="0.35">
      <c r="A165"/>
      <c r="B165"/>
      <c r="C165"/>
      <c r="D165"/>
      <c r="E165"/>
      <c r="F165"/>
      <c r="G165"/>
      <c r="H165"/>
      <c r="I165"/>
      <c r="J165"/>
      <c r="K165"/>
      <c r="L165"/>
      <c r="M165"/>
      <c r="N165"/>
    </row>
    <row r="166" spans="1:14" x14ac:dyDescent="0.35">
      <c r="A166"/>
      <c r="B166"/>
      <c r="C166"/>
      <c r="D166"/>
      <c r="E166"/>
      <c r="F166"/>
      <c r="G166"/>
      <c r="H166"/>
      <c r="I166"/>
      <c r="J166"/>
      <c r="K166"/>
      <c r="L166"/>
      <c r="M166"/>
      <c r="N166"/>
    </row>
    <row r="167" spans="1:14" x14ac:dyDescent="0.35">
      <c r="A167"/>
      <c r="B167"/>
      <c r="C167"/>
      <c r="D167"/>
      <c r="E167"/>
      <c r="F167"/>
      <c r="G167"/>
      <c r="H167"/>
      <c r="I167"/>
      <c r="J167"/>
      <c r="K167"/>
      <c r="L167"/>
      <c r="M167"/>
      <c r="N167"/>
    </row>
    <row r="168" spans="1:14" x14ac:dyDescent="0.35">
      <c r="A168"/>
      <c r="B168"/>
      <c r="C168"/>
      <c r="D168"/>
      <c r="E168"/>
      <c r="F168"/>
      <c r="G168"/>
      <c r="H168"/>
      <c r="I168"/>
      <c r="J168"/>
      <c r="K168"/>
      <c r="L168"/>
      <c r="M168"/>
      <c r="N168"/>
    </row>
    <row r="169" spans="1:14" x14ac:dyDescent="0.35">
      <c r="A169"/>
      <c r="B169"/>
      <c r="C169"/>
      <c r="D169"/>
      <c r="E169"/>
      <c r="F169"/>
      <c r="G169"/>
      <c r="H169"/>
      <c r="I169"/>
      <c r="J169"/>
      <c r="K169"/>
      <c r="L169"/>
      <c r="M169"/>
      <c r="N169"/>
    </row>
    <row r="170" spans="1:14" x14ac:dyDescent="0.35">
      <c r="A170"/>
      <c r="B170"/>
      <c r="C170"/>
      <c r="D170"/>
      <c r="E170"/>
      <c r="F170"/>
      <c r="G170"/>
      <c r="H170"/>
      <c r="I170"/>
      <c r="J170"/>
      <c r="K170"/>
      <c r="L170"/>
      <c r="M170"/>
      <c r="N170"/>
    </row>
    <row r="171" spans="1:14" x14ac:dyDescent="0.35">
      <c r="A171"/>
      <c r="B171"/>
      <c r="C171"/>
      <c r="D171"/>
      <c r="E171"/>
      <c r="F171"/>
      <c r="G171"/>
      <c r="H171"/>
      <c r="I171"/>
      <c r="J171"/>
      <c r="K171"/>
      <c r="L171"/>
      <c r="M171"/>
      <c r="N171"/>
    </row>
    <row r="172" spans="1:14" x14ac:dyDescent="0.35">
      <c r="A172"/>
      <c r="B172"/>
      <c r="C172"/>
      <c r="D172"/>
      <c r="E172"/>
      <c r="F172"/>
      <c r="G172"/>
      <c r="H172"/>
      <c r="I172"/>
      <c r="J172"/>
      <c r="K172"/>
      <c r="L172"/>
      <c r="M172"/>
      <c r="N172"/>
    </row>
    <row r="173" spans="1:14" x14ac:dyDescent="0.35">
      <c r="A173"/>
      <c r="B173"/>
      <c r="C173"/>
      <c r="D173"/>
      <c r="E173"/>
      <c r="F173"/>
      <c r="G173"/>
      <c r="H173"/>
      <c r="I173"/>
      <c r="J173"/>
      <c r="K173"/>
      <c r="L173"/>
      <c r="M173"/>
      <c r="N173"/>
    </row>
    <row r="174" spans="1:14" x14ac:dyDescent="0.35">
      <c r="A174"/>
      <c r="B174"/>
      <c r="C174"/>
      <c r="D174"/>
      <c r="E174"/>
      <c r="F174"/>
      <c r="G174"/>
      <c r="H174"/>
      <c r="I174"/>
      <c r="J174"/>
      <c r="K174"/>
      <c r="L174"/>
      <c r="M174"/>
      <c r="N174"/>
    </row>
    <row r="175" spans="1:14" x14ac:dyDescent="0.35">
      <c r="A175"/>
      <c r="B175"/>
      <c r="C175"/>
      <c r="D175"/>
      <c r="E175"/>
      <c r="F175"/>
      <c r="G175"/>
      <c r="H175"/>
      <c r="I175"/>
      <c r="J175"/>
      <c r="K175"/>
      <c r="L175"/>
      <c r="M175"/>
      <c r="N175"/>
    </row>
    <row r="176" spans="1:14" x14ac:dyDescent="0.35">
      <c r="A176"/>
      <c r="B176"/>
      <c r="C176"/>
      <c r="D176"/>
      <c r="E176"/>
      <c r="F176"/>
      <c r="G176"/>
      <c r="H176"/>
      <c r="I176"/>
      <c r="J176"/>
      <c r="K176"/>
      <c r="L176"/>
      <c r="M176"/>
      <c r="N176"/>
    </row>
    <row r="177" spans="1:14" x14ac:dyDescent="0.35">
      <c r="A177"/>
      <c r="B177"/>
      <c r="C177"/>
      <c r="D177"/>
      <c r="E177"/>
      <c r="F177"/>
      <c r="G177"/>
      <c r="H177"/>
      <c r="I177"/>
      <c r="J177"/>
      <c r="K177"/>
      <c r="L177"/>
      <c r="M177"/>
      <c r="N177"/>
    </row>
    <row r="178" spans="1:14" x14ac:dyDescent="0.35">
      <c r="A178"/>
      <c r="B178"/>
      <c r="C178"/>
      <c r="D178"/>
      <c r="E178"/>
      <c r="F178"/>
      <c r="G178"/>
      <c r="H178"/>
      <c r="I178"/>
      <c r="J178"/>
      <c r="K178"/>
      <c r="L178"/>
      <c r="M178"/>
      <c r="N178"/>
    </row>
    <row r="179" spans="1:14" x14ac:dyDescent="0.35">
      <c r="A179"/>
      <c r="B179"/>
      <c r="C179"/>
      <c r="D179"/>
      <c r="E179"/>
      <c r="F179"/>
      <c r="G179"/>
      <c r="H179"/>
      <c r="I179"/>
      <c r="J179"/>
      <c r="K179"/>
      <c r="L179"/>
      <c r="M179"/>
      <c r="N179"/>
    </row>
    <row r="180" spans="1:14" x14ac:dyDescent="0.35">
      <c r="A180"/>
      <c r="B180"/>
      <c r="C180"/>
      <c r="D180"/>
      <c r="E180"/>
      <c r="F180"/>
      <c r="G180"/>
      <c r="H180"/>
      <c r="I180"/>
      <c r="J180"/>
      <c r="K180"/>
      <c r="L180"/>
      <c r="M180"/>
      <c r="N180"/>
    </row>
    <row r="181" spans="1:14" x14ac:dyDescent="0.35">
      <c r="A181"/>
      <c r="B181"/>
      <c r="C181"/>
      <c r="D181"/>
      <c r="E181"/>
      <c r="F181"/>
      <c r="G181"/>
      <c r="H181"/>
      <c r="I181"/>
      <c r="J181"/>
      <c r="K181"/>
      <c r="L181"/>
      <c r="M181"/>
      <c r="N181"/>
    </row>
    <row r="182" spans="1:14" x14ac:dyDescent="0.35">
      <c r="A182"/>
      <c r="B182"/>
      <c r="C182"/>
      <c r="D182"/>
      <c r="E182"/>
      <c r="F182"/>
      <c r="G182"/>
      <c r="H182"/>
      <c r="I182"/>
      <c r="J182"/>
      <c r="K182"/>
      <c r="L182"/>
      <c r="M182"/>
      <c r="N182"/>
    </row>
    <row r="183" spans="1:14" x14ac:dyDescent="0.35">
      <c r="A183"/>
      <c r="B183"/>
      <c r="C183"/>
      <c r="D183"/>
      <c r="E183"/>
      <c r="F183"/>
      <c r="G183"/>
      <c r="H183"/>
      <c r="I183"/>
      <c r="J183"/>
      <c r="K183"/>
      <c r="L183"/>
      <c r="M183"/>
      <c r="N183"/>
    </row>
    <row r="184" spans="1:14" x14ac:dyDescent="0.35">
      <c r="A184"/>
      <c r="B184"/>
      <c r="C184"/>
      <c r="D184"/>
      <c r="E184"/>
      <c r="F184"/>
      <c r="G184"/>
      <c r="H184"/>
      <c r="I184"/>
      <c r="J184"/>
      <c r="K184"/>
      <c r="L184"/>
      <c r="M184"/>
      <c r="N184"/>
    </row>
    <row r="185" spans="1:14" x14ac:dyDescent="0.35">
      <c r="A185"/>
      <c r="B185"/>
      <c r="C185"/>
      <c r="D185"/>
      <c r="E185"/>
      <c r="F185"/>
      <c r="G185"/>
      <c r="H185"/>
      <c r="I185"/>
      <c r="J185"/>
      <c r="K185"/>
      <c r="L185"/>
      <c r="M185"/>
      <c r="N185"/>
    </row>
    <row r="186" spans="1:14" x14ac:dyDescent="0.35">
      <c r="A186"/>
      <c r="B186"/>
      <c r="C186"/>
      <c r="D186"/>
      <c r="E186"/>
      <c r="F186"/>
      <c r="G186"/>
      <c r="H186"/>
      <c r="I186"/>
      <c r="J186"/>
      <c r="K186"/>
      <c r="L186"/>
      <c r="M186"/>
      <c r="N186"/>
    </row>
    <row r="187" spans="1:14" x14ac:dyDescent="0.35">
      <c r="A187"/>
      <c r="B187"/>
      <c r="C187"/>
      <c r="D187"/>
      <c r="E187"/>
      <c r="F187"/>
      <c r="G187"/>
      <c r="H187"/>
      <c r="I187"/>
      <c r="J187"/>
      <c r="K187"/>
      <c r="L187"/>
      <c r="M187"/>
      <c r="N187"/>
    </row>
    <row r="188" spans="1:14" x14ac:dyDescent="0.35">
      <c r="A188"/>
      <c r="B188"/>
      <c r="C188"/>
      <c r="D188"/>
      <c r="E188"/>
      <c r="F188"/>
      <c r="G188"/>
      <c r="H188"/>
      <c r="I188"/>
      <c r="J188"/>
      <c r="K188"/>
      <c r="L188"/>
      <c r="M188"/>
      <c r="N188"/>
    </row>
    <row r="189" spans="1:14" x14ac:dyDescent="0.35">
      <c r="A189"/>
      <c r="B189"/>
      <c r="C189"/>
      <c r="D189"/>
      <c r="E189"/>
      <c r="F189"/>
      <c r="G189"/>
      <c r="H189"/>
      <c r="I189"/>
      <c r="J189"/>
      <c r="K189"/>
      <c r="L189"/>
      <c r="M189"/>
      <c r="N189"/>
    </row>
    <row r="190" spans="1:14" x14ac:dyDescent="0.35">
      <c r="A190"/>
      <c r="B190"/>
      <c r="C190"/>
      <c r="D190"/>
      <c r="E190"/>
      <c r="F190"/>
      <c r="G190"/>
      <c r="H190"/>
      <c r="I190"/>
      <c r="J190"/>
      <c r="K190"/>
      <c r="L190"/>
      <c r="M190"/>
      <c r="N190"/>
    </row>
    <row r="191" spans="1:14" x14ac:dyDescent="0.35">
      <c r="A191"/>
      <c r="B191"/>
      <c r="C191"/>
      <c r="D191"/>
      <c r="E191"/>
      <c r="F191"/>
      <c r="G191"/>
      <c r="H191"/>
      <c r="I191"/>
      <c r="J191"/>
      <c r="K191"/>
      <c r="L191"/>
      <c r="M191"/>
      <c r="N191"/>
    </row>
    <row r="192" spans="1:14" x14ac:dyDescent="0.35">
      <c r="A192"/>
      <c r="B192"/>
      <c r="C192"/>
      <c r="D192"/>
      <c r="E192"/>
      <c r="F192"/>
      <c r="G192"/>
      <c r="H192"/>
      <c r="I192"/>
      <c r="J192"/>
      <c r="K192"/>
      <c r="L192"/>
      <c r="M192"/>
      <c r="N192"/>
    </row>
    <row r="193" spans="1:14" x14ac:dyDescent="0.35">
      <c r="A193"/>
      <c r="B193"/>
      <c r="C193"/>
      <c r="D193"/>
      <c r="E193"/>
      <c r="F193"/>
      <c r="G193"/>
      <c r="H193"/>
      <c r="I193"/>
      <c r="J193"/>
      <c r="K193"/>
      <c r="L193"/>
      <c r="M193"/>
      <c r="N193"/>
    </row>
    <row r="194" spans="1:14" x14ac:dyDescent="0.35">
      <c r="A194"/>
      <c r="B194"/>
      <c r="C194"/>
      <c r="D194"/>
      <c r="E194"/>
      <c r="F194"/>
      <c r="G194"/>
      <c r="H194"/>
      <c r="I194"/>
      <c r="J194"/>
      <c r="K194"/>
      <c r="L194"/>
      <c r="M194"/>
      <c r="N194"/>
    </row>
    <row r="195" spans="1:14" x14ac:dyDescent="0.35">
      <c r="A195"/>
      <c r="B195"/>
      <c r="C195"/>
      <c r="D195"/>
      <c r="E195"/>
      <c r="F195"/>
      <c r="G195"/>
      <c r="H195"/>
      <c r="I195"/>
      <c r="J195"/>
      <c r="K195"/>
      <c r="L195"/>
      <c r="M195"/>
      <c r="N195"/>
    </row>
    <row r="196" spans="1:14" x14ac:dyDescent="0.35">
      <c r="A196"/>
      <c r="B196"/>
      <c r="C196"/>
      <c r="D196"/>
      <c r="E196"/>
      <c r="F196"/>
      <c r="G196"/>
      <c r="H196"/>
      <c r="I196"/>
      <c r="J196"/>
      <c r="K196"/>
      <c r="L196"/>
      <c r="M196"/>
      <c r="N196"/>
    </row>
    <row r="197" spans="1:14" x14ac:dyDescent="0.35">
      <c r="A197"/>
      <c r="B197"/>
      <c r="C197"/>
      <c r="D197"/>
      <c r="E197"/>
      <c r="F197"/>
      <c r="G197"/>
      <c r="H197"/>
      <c r="I197"/>
      <c r="J197"/>
      <c r="K197"/>
      <c r="L197"/>
      <c r="M197"/>
      <c r="N197"/>
    </row>
    <row r="198" spans="1:14" x14ac:dyDescent="0.35">
      <c r="A198"/>
      <c r="B198"/>
      <c r="C198"/>
      <c r="D198"/>
      <c r="E198"/>
      <c r="F198"/>
      <c r="G198"/>
      <c r="H198"/>
      <c r="I198"/>
      <c r="J198"/>
      <c r="K198"/>
      <c r="L198"/>
      <c r="M198"/>
      <c r="N198"/>
    </row>
    <row r="199" spans="1:14" x14ac:dyDescent="0.35">
      <c r="A199"/>
      <c r="B199"/>
      <c r="C199"/>
      <c r="D199"/>
      <c r="E199"/>
      <c r="F199"/>
      <c r="G199"/>
      <c r="H199"/>
      <c r="I199"/>
      <c r="J199"/>
      <c r="K199"/>
      <c r="L199"/>
      <c r="M199"/>
      <c r="N199"/>
    </row>
    <row r="200" spans="1:14" x14ac:dyDescent="0.35">
      <c r="A200"/>
      <c r="B200"/>
      <c r="C200"/>
      <c r="D200"/>
      <c r="E200"/>
      <c r="F200"/>
      <c r="G200"/>
      <c r="H200"/>
      <c r="I200"/>
      <c r="J200"/>
      <c r="K200"/>
      <c r="L200"/>
      <c r="M200"/>
      <c r="N200"/>
    </row>
    <row r="201" spans="1:14" x14ac:dyDescent="0.35">
      <c r="A201"/>
      <c r="B201"/>
      <c r="C201"/>
      <c r="D201"/>
      <c r="E201"/>
      <c r="F201"/>
      <c r="G201"/>
      <c r="H201"/>
      <c r="I201"/>
      <c r="J201"/>
      <c r="K201"/>
      <c r="L201"/>
      <c r="M201"/>
      <c r="N201"/>
    </row>
    <row r="202" spans="1:14" x14ac:dyDescent="0.35">
      <c r="A202"/>
      <c r="B202"/>
      <c r="C202"/>
      <c r="D202"/>
      <c r="E202"/>
      <c r="F202"/>
      <c r="G202"/>
      <c r="H202"/>
      <c r="I202"/>
      <c r="J202"/>
      <c r="K202"/>
      <c r="L202"/>
      <c r="M202"/>
      <c r="N202"/>
    </row>
    <row r="203" spans="1:14" x14ac:dyDescent="0.35">
      <c r="A203"/>
      <c r="B203"/>
      <c r="C203"/>
      <c r="D203"/>
      <c r="E203"/>
      <c r="F203"/>
      <c r="G203"/>
      <c r="H203"/>
      <c r="I203"/>
      <c r="J203"/>
      <c r="K203"/>
      <c r="L203"/>
      <c r="M203"/>
      <c r="N203"/>
    </row>
    <row r="204" spans="1:14" x14ac:dyDescent="0.35">
      <c r="A204"/>
      <c r="B204"/>
      <c r="C204"/>
      <c r="D204"/>
      <c r="E204"/>
      <c r="F204"/>
      <c r="G204"/>
      <c r="H204"/>
      <c r="I204"/>
      <c r="J204"/>
      <c r="K204"/>
      <c r="L204"/>
      <c r="M204"/>
      <c r="N204"/>
    </row>
    <row r="205" spans="1:14" x14ac:dyDescent="0.35">
      <c r="A205"/>
      <c r="B205"/>
      <c r="C205"/>
      <c r="D205"/>
      <c r="E205"/>
      <c r="F205"/>
      <c r="G205"/>
      <c r="H205"/>
      <c r="I205"/>
      <c r="J205"/>
      <c r="K205"/>
      <c r="L205"/>
      <c r="M205"/>
      <c r="N205"/>
    </row>
    <row r="206" spans="1:14" x14ac:dyDescent="0.35">
      <c r="A206"/>
      <c r="B206"/>
      <c r="C206"/>
      <c r="D206"/>
      <c r="E206"/>
      <c r="F206"/>
      <c r="G206"/>
      <c r="H206"/>
      <c r="I206"/>
      <c r="J206"/>
      <c r="K206"/>
      <c r="L206"/>
      <c r="M206"/>
      <c r="N206"/>
    </row>
    <row r="207" spans="1:14" x14ac:dyDescent="0.35">
      <c r="A207"/>
      <c r="B207"/>
      <c r="C207"/>
      <c r="D207"/>
      <c r="E207"/>
      <c r="F207"/>
      <c r="G207"/>
      <c r="H207"/>
      <c r="I207"/>
      <c r="J207"/>
      <c r="K207"/>
      <c r="L207"/>
      <c r="M207"/>
      <c r="N207"/>
    </row>
    <row r="208" spans="1:14" x14ac:dyDescent="0.35">
      <c r="A208"/>
      <c r="B208"/>
      <c r="C208"/>
      <c r="D208"/>
      <c r="E208"/>
      <c r="F208"/>
      <c r="G208"/>
      <c r="H208"/>
      <c r="I208"/>
      <c r="J208"/>
      <c r="K208"/>
      <c r="L208"/>
      <c r="M208"/>
      <c r="N208"/>
    </row>
    <row r="209" spans="1:34" x14ac:dyDescent="0.35">
      <c r="A209"/>
      <c r="B209"/>
      <c r="C209"/>
      <c r="D209"/>
      <c r="E209"/>
      <c r="F209"/>
      <c r="G209"/>
      <c r="H209"/>
      <c r="I209"/>
      <c r="J209"/>
      <c r="K209"/>
      <c r="L209"/>
      <c r="M209"/>
      <c r="N209"/>
    </row>
    <row r="210" spans="1:34" x14ac:dyDescent="0.35">
      <c r="A210"/>
      <c r="B210"/>
      <c r="C210"/>
      <c r="D210"/>
      <c r="E210"/>
      <c r="F210"/>
      <c r="G210"/>
      <c r="H210"/>
      <c r="I210"/>
      <c r="J210"/>
      <c r="K210"/>
      <c r="L210"/>
      <c r="M210"/>
      <c r="N210"/>
    </row>
    <row r="211" spans="1:34" x14ac:dyDescent="0.35">
      <c r="A211"/>
      <c r="B211"/>
      <c r="C211"/>
      <c r="D211"/>
      <c r="E211"/>
      <c r="F211"/>
      <c r="G211"/>
      <c r="H211"/>
      <c r="I211"/>
      <c r="J211"/>
      <c r="K211"/>
      <c r="L211"/>
      <c r="M211"/>
      <c r="N211"/>
    </row>
    <row r="212" spans="1:34" x14ac:dyDescent="0.35">
      <c r="A212"/>
      <c r="B212"/>
      <c r="C212"/>
      <c r="D212"/>
      <c r="E212"/>
      <c r="F212"/>
      <c r="G212"/>
      <c r="H212"/>
      <c r="I212"/>
      <c r="J212"/>
      <c r="K212"/>
      <c r="L212"/>
      <c r="M212"/>
      <c r="N212"/>
    </row>
    <row r="213" spans="1:34" x14ac:dyDescent="0.35">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row>
    <row r="214" spans="1:34" x14ac:dyDescent="0.35">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row>
    <row r="215" spans="1:34" x14ac:dyDescent="0.35">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row>
    <row r="216" spans="1:34" x14ac:dyDescent="0.35">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row>
    <row r="217" spans="1:34" x14ac:dyDescent="0.35">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row>
    <row r="218" spans="1:34" x14ac:dyDescent="0.35">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row>
    <row r="219" spans="1:34" x14ac:dyDescent="0.35">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row>
    <row r="220" spans="1:34" x14ac:dyDescent="0.35">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row>
    <row r="221" spans="1:34" x14ac:dyDescent="0.35">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row>
    <row r="222" spans="1:34" x14ac:dyDescent="0.35">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row>
    <row r="223" spans="1:34" x14ac:dyDescent="0.35">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row>
    <row r="224" spans="1:34" x14ac:dyDescent="0.35">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row>
    <row r="225" spans="1:34" x14ac:dyDescent="0.35">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row>
  </sheetData>
  <mergeCells count="4">
    <mergeCell ref="S1:V1"/>
    <mergeCell ref="X1:AL1"/>
    <mergeCell ref="R3:R23"/>
    <mergeCell ref="R78:S78"/>
  </mergeCells>
  <conditionalFormatting sqref="BB3">
    <cfRule type="expression" dxfId="3420" priority="116">
      <formula>Z2=$S$4</formula>
    </cfRule>
  </conditionalFormatting>
  <conditionalFormatting sqref="BB4">
    <cfRule type="expression" dxfId="3419" priority="115">
      <formula>Z2=$S$4</formula>
    </cfRule>
  </conditionalFormatting>
  <dataValidations count="1">
    <dataValidation type="list" allowBlank="1" showInputMessage="1" showErrorMessage="1" sqref="A19" xr:uid="{B3E6F343-5612-4C90-9A17-AAE465156D18}">
      <formula1>$A$5:$A$7</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B658E-B759-4446-8945-19DC59A17291}">
  <sheetPr>
    <tabColor rgb="FFC00000"/>
  </sheetPr>
  <dimension ref="A1:I26"/>
  <sheetViews>
    <sheetView showGridLines="0" tabSelected="1" workbookViewId="0">
      <pane ySplit="8" topLeftCell="A9" activePane="bottomLeft" state="frozen"/>
      <selection pane="bottomLeft" activeCell="D2" sqref="D2"/>
    </sheetView>
  </sheetViews>
  <sheetFormatPr defaultRowHeight="14.5" x14ac:dyDescent="0.35"/>
  <cols>
    <col min="1" max="1" width="51.26953125" customWidth="1"/>
    <col min="2" max="2" width="61.54296875" customWidth="1"/>
    <col min="3" max="3" width="64" customWidth="1"/>
    <col min="4" max="4" width="42.81640625" customWidth="1"/>
    <col min="5" max="10" width="8.7265625" bestFit="1" customWidth="1"/>
  </cols>
  <sheetData>
    <row r="1" spans="1:9" ht="111" customHeight="1" x14ac:dyDescent="0.35">
      <c r="A1" s="539" t="s">
        <v>374</v>
      </c>
      <c r="B1" s="538" t="s">
        <v>375</v>
      </c>
      <c r="C1" s="538"/>
      <c r="D1" s="528" t="s">
        <v>376</v>
      </c>
    </row>
    <row r="2" spans="1:9" ht="123" customHeight="1" x14ac:dyDescent="0.35">
      <c r="A2" s="539"/>
      <c r="B2" s="538"/>
      <c r="C2" s="538"/>
      <c r="D2" s="28"/>
    </row>
    <row r="3" spans="1:9" ht="10.5" customHeight="1" x14ac:dyDescent="0.35">
      <c r="A3" s="162"/>
      <c r="B3" s="124"/>
      <c r="C3" s="124"/>
      <c r="D3" s="28"/>
    </row>
    <row r="4" spans="1:9" ht="29" customHeight="1" x14ac:dyDescent="0.35">
      <c r="A4" s="367" t="s">
        <v>76</v>
      </c>
      <c r="B4" s="537" t="s">
        <v>77</v>
      </c>
      <c r="C4" s="537"/>
      <c r="D4" s="28"/>
    </row>
    <row r="5" spans="1:9" ht="36.5" customHeight="1" x14ac:dyDescent="0.35">
      <c r="A5" s="367" t="s">
        <v>78</v>
      </c>
      <c r="B5" s="537" t="s">
        <v>79</v>
      </c>
      <c r="C5" s="537"/>
      <c r="D5" s="28"/>
    </row>
    <row r="6" spans="1:9" ht="9" customHeight="1" x14ac:dyDescent="0.35">
      <c r="A6" s="28"/>
      <c r="B6" s="28"/>
      <c r="C6" s="28"/>
      <c r="D6" s="28"/>
    </row>
    <row r="7" spans="1:9" ht="23.5" x14ac:dyDescent="0.35">
      <c r="A7" s="540" t="s">
        <v>80</v>
      </c>
      <c r="B7" s="540"/>
      <c r="C7" s="540"/>
      <c r="D7" s="540"/>
    </row>
    <row r="8" spans="1:9" ht="19" thickBot="1" x14ac:dyDescent="0.4">
      <c r="A8" s="522" t="s">
        <v>81</v>
      </c>
      <c r="B8" s="523" t="s">
        <v>82</v>
      </c>
      <c r="C8" s="523" t="s">
        <v>83</v>
      </c>
      <c r="D8" s="523" t="s">
        <v>84</v>
      </c>
    </row>
    <row r="9" spans="1:9" ht="232.5" thickBot="1" x14ac:dyDescent="0.4">
      <c r="A9" s="104" t="s">
        <v>85</v>
      </c>
      <c r="B9" s="133" t="s">
        <v>86</v>
      </c>
      <c r="C9" s="116" t="s">
        <v>87</v>
      </c>
      <c r="D9" s="134" t="s">
        <v>88</v>
      </c>
    </row>
    <row r="10" spans="1:9" ht="15" thickBot="1" x14ac:dyDescent="0.4">
      <c r="A10" s="94"/>
      <c r="B10" s="32"/>
      <c r="C10" s="32"/>
      <c r="D10" s="32"/>
      <c r="G10" s="3"/>
      <c r="H10" s="102"/>
      <c r="I10" s="102"/>
    </row>
    <row r="11" spans="1:9" ht="87" customHeight="1" thickBot="1" x14ac:dyDescent="0.4">
      <c r="A11" s="104" t="s">
        <v>89</v>
      </c>
      <c r="B11" s="133" t="s">
        <v>90</v>
      </c>
      <c r="C11" s="116"/>
      <c r="D11" s="135"/>
    </row>
    <row r="12" spans="1:9" ht="15" thickBot="1" x14ac:dyDescent="0.4">
      <c r="A12" s="94"/>
      <c r="B12" s="32"/>
      <c r="C12" s="32"/>
      <c r="D12" s="32"/>
      <c r="G12" s="3"/>
      <c r="H12" s="102"/>
      <c r="I12" s="102"/>
    </row>
    <row r="13" spans="1:9" ht="87" customHeight="1" thickBot="1" x14ac:dyDescent="0.4">
      <c r="A13" s="104" t="s">
        <v>91</v>
      </c>
      <c r="B13" s="133" t="s">
        <v>92</v>
      </c>
      <c r="C13" s="116"/>
      <c r="D13" s="135"/>
    </row>
    <row r="14" spans="1:9" ht="15" thickBot="1" x14ac:dyDescent="0.4">
      <c r="A14" s="94"/>
      <c r="B14" s="32"/>
      <c r="C14" s="32"/>
      <c r="D14" s="32"/>
      <c r="G14" s="3"/>
      <c r="H14" s="102"/>
      <c r="I14" s="102"/>
    </row>
    <row r="15" spans="1:9" ht="87" customHeight="1" thickBot="1" x14ac:dyDescent="0.4">
      <c r="A15" s="104" t="s">
        <v>93</v>
      </c>
      <c r="B15" s="133" t="s">
        <v>94</v>
      </c>
      <c r="C15" s="365" t="s">
        <v>95</v>
      </c>
      <c r="D15" s="366" t="s">
        <v>96</v>
      </c>
      <c r="E15" s="364"/>
    </row>
    <row r="16" spans="1:9" ht="15" thickBot="1" x14ac:dyDescent="0.4">
      <c r="A16" s="94"/>
      <c r="B16" s="32"/>
      <c r="C16" s="32"/>
      <c r="D16" s="32"/>
      <c r="G16" s="3"/>
      <c r="H16" s="102"/>
      <c r="I16" s="102"/>
    </row>
    <row r="17" spans="1:9" ht="87" customHeight="1" thickBot="1" x14ac:dyDescent="0.4">
      <c r="A17" s="105" t="s">
        <v>97</v>
      </c>
      <c r="B17" s="133" t="s">
        <v>98</v>
      </c>
      <c r="C17" s="116"/>
      <c r="D17" s="134"/>
    </row>
    <row r="18" spans="1:9" ht="15" thickBot="1" x14ac:dyDescent="0.4">
      <c r="A18" s="94"/>
      <c r="B18" s="32"/>
      <c r="C18" s="32"/>
      <c r="D18" s="32"/>
      <c r="G18" s="3"/>
      <c r="H18" s="102"/>
      <c r="I18" s="102"/>
    </row>
    <row r="19" spans="1:9" ht="87.65" customHeight="1" thickBot="1" x14ac:dyDescent="0.4">
      <c r="A19" s="104" t="s">
        <v>99</v>
      </c>
      <c r="B19" s="133" t="s">
        <v>100</v>
      </c>
      <c r="C19" s="116" t="s">
        <v>101</v>
      </c>
      <c r="D19" s="134" t="s">
        <v>88</v>
      </c>
    </row>
    <row r="20" spans="1:9" ht="15" thickBot="1" x14ac:dyDescent="0.4">
      <c r="A20" s="94"/>
      <c r="B20" s="32"/>
      <c r="C20" s="32"/>
      <c r="D20" s="32"/>
      <c r="G20" s="3"/>
      <c r="H20" s="102"/>
      <c r="I20" s="102"/>
    </row>
    <row r="21" spans="1:9" ht="87.65" customHeight="1" thickBot="1" x14ac:dyDescent="0.4">
      <c r="A21" s="104" t="s">
        <v>102</v>
      </c>
      <c r="B21" s="133" t="s">
        <v>103</v>
      </c>
      <c r="C21" s="116" t="s">
        <v>104</v>
      </c>
      <c r="D21" s="134" t="s">
        <v>105</v>
      </c>
    </row>
    <row r="22" spans="1:9" ht="15" thickBot="1" x14ac:dyDescent="0.4">
      <c r="A22" s="94"/>
      <c r="B22" s="32"/>
      <c r="C22" s="32"/>
      <c r="D22" s="32"/>
      <c r="G22" s="3"/>
      <c r="H22" s="102"/>
      <c r="I22" s="102"/>
    </row>
    <row r="23" spans="1:9" ht="87.65" customHeight="1" thickBot="1" x14ac:dyDescent="0.4">
      <c r="A23" s="104" t="s">
        <v>106</v>
      </c>
      <c r="B23" s="133" t="s">
        <v>107</v>
      </c>
      <c r="C23" s="116" t="s">
        <v>108</v>
      </c>
      <c r="D23" s="136" t="s">
        <v>109</v>
      </c>
    </row>
    <row r="24" spans="1:9" ht="15" thickBot="1" x14ac:dyDescent="0.4">
      <c r="A24" s="94"/>
      <c r="B24" s="32"/>
      <c r="C24" s="32"/>
      <c r="D24" s="32"/>
      <c r="G24" s="3"/>
      <c r="H24" s="102"/>
      <c r="I24" s="102"/>
    </row>
    <row r="25" spans="1:9" ht="73" thickBot="1" x14ac:dyDescent="0.4">
      <c r="A25" s="104" t="s">
        <v>110</v>
      </c>
      <c r="B25" s="133" t="s">
        <v>111</v>
      </c>
      <c r="C25" s="116"/>
      <c r="D25" s="136"/>
    </row>
    <row r="26" spans="1:9" x14ac:dyDescent="0.35">
      <c r="A26" s="94"/>
      <c r="B26" s="32"/>
      <c r="C26" s="32"/>
      <c r="D26" s="32"/>
    </row>
  </sheetData>
  <mergeCells count="5">
    <mergeCell ref="B4:C4"/>
    <mergeCell ref="B5:C5"/>
    <mergeCell ref="B1:C2"/>
    <mergeCell ref="A1:A2"/>
    <mergeCell ref="A7:D7"/>
  </mergeCells>
  <hyperlinks>
    <hyperlink ref="D9" r:id="rId1" display="https://learn.microsoft.com/en-us/purview/sensitivity-labels" xr:uid="{98447F5B-6E97-42F8-8334-3FEC3C034F59}"/>
    <hyperlink ref="D15" r:id="rId2" location="more-information-about-the-dependencies-for-the-unmanaged-devices-option" display="https://learn.microsoft.com/en-us/purview/sensitivity-labels-teams-groups-sites - more-information-about-the-dependencies-for-the-unmanaged-devices-option" xr:uid="{AFCFAF7B-096B-4AD0-AF0C-ABE0D331D224}"/>
    <hyperlink ref="B4" r:id="rId3" xr:uid="{32F3FACB-143B-40E6-9FC9-687861DD3649}"/>
    <hyperlink ref="D23" r:id="rId4" display="https://learn.microsoft.com/en-us/purview/dlp-learn-about-dlp" xr:uid="{24E23547-655D-45E3-92E1-D797E84D6CCB}"/>
    <hyperlink ref="D21" r:id="rId5" display="https://learn.microsoft.com/en-us/purview/apply-sensitivity-label-automatically" xr:uid="{B7E704E0-5DBF-4629-8051-03C97046AC8D}"/>
    <hyperlink ref="D19" r:id="rId6" location="what-label-policies-can-do" display="https://learn.microsoft.com/en-us/purview/sensitivity-labels - what-label-policies-can-do" xr:uid="{0306BF27-9B47-4963-9B8E-FC15AEBE780C}"/>
    <hyperlink ref="B5" r:id="rId7" xr:uid="{FB2F7D8D-66BE-4A94-817A-566F6986B7C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8B6609-22C7-4DAD-BFF9-177A5701C409}">
  <sheetPr>
    <tabColor rgb="FF00B0F0"/>
  </sheetPr>
  <dimension ref="A1:L170"/>
  <sheetViews>
    <sheetView showGridLines="0" zoomScaleNormal="100" workbookViewId="0">
      <pane ySplit="10" topLeftCell="A11" activePane="bottomLeft" state="frozen"/>
      <selection pane="bottomLeft" activeCell="D19" sqref="D19:D25"/>
    </sheetView>
  </sheetViews>
  <sheetFormatPr defaultRowHeight="14.5" outlineLevelRow="1" x14ac:dyDescent="0.35"/>
  <cols>
    <col min="1" max="1" width="3.1796875" style="87" customWidth="1"/>
    <col min="2" max="2" width="7.7265625" style="87" hidden="1" customWidth="1"/>
    <col min="3" max="3" width="48.54296875" style="13" bestFit="1" customWidth="1"/>
    <col min="4" max="4" width="31.1796875" style="2" bestFit="1" customWidth="1"/>
    <col min="5" max="5" width="36.453125" style="2" bestFit="1" customWidth="1"/>
    <col min="6" max="6" width="4.7265625" customWidth="1"/>
    <col min="7" max="7" width="23.54296875" customWidth="1"/>
    <col min="8" max="8" width="87.453125" style="3" customWidth="1"/>
    <col min="9" max="9" width="44" style="13" customWidth="1"/>
    <col min="10" max="10" width="28.453125" style="13" customWidth="1"/>
    <col min="11" max="11" width="28" customWidth="1"/>
  </cols>
  <sheetData>
    <row r="1" spans="1:12" ht="26" x14ac:dyDescent="0.6">
      <c r="C1" s="188" t="s">
        <v>85</v>
      </c>
    </row>
    <row r="2" spans="1:12" ht="3.75" customHeight="1" x14ac:dyDescent="0.45">
      <c r="A2" s="86"/>
      <c r="B2" s="86"/>
    </row>
    <row r="3" spans="1:12" ht="30" customHeight="1" x14ac:dyDescent="0.35">
      <c r="C3" s="189" t="s">
        <v>112</v>
      </c>
      <c r="D3" s="139" t="s">
        <v>113</v>
      </c>
      <c r="E3" s="139" t="s">
        <v>114</v>
      </c>
      <c r="F3" s="556" t="s">
        <v>115</v>
      </c>
      <c r="G3" s="556"/>
      <c r="H3" s="556"/>
      <c r="I3" s="189" t="s">
        <v>116</v>
      </c>
      <c r="J3" s="189" t="s">
        <v>117</v>
      </c>
      <c r="K3" s="139" t="s">
        <v>118</v>
      </c>
    </row>
    <row r="4" spans="1:12" ht="170.15" hidden="1" customHeight="1" outlineLevel="1" x14ac:dyDescent="0.35">
      <c r="A4" s="358" t="s">
        <v>119</v>
      </c>
      <c r="B4" s="141"/>
      <c r="C4" s="149" t="s">
        <v>120</v>
      </c>
      <c r="D4" s="149" t="s">
        <v>121</v>
      </c>
      <c r="E4" s="149" t="s">
        <v>122</v>
      </c>
      <c r="F4" s="560" t="s">
        <v>123</v>
      </c>
      <c r="G4" s="561"/>
      <c r="H4" s="562"/>
      <c r="I4" s="149" t="s">
        <v>124</v>
      </c>
      <c r="J4" s="149" t="s">
        <v>125</v>
      </c>
      <c r="K4" s="149" t="s">
        <v>126</v>
      </c>
    </row>
    <row r="5" spans="1:12" ht="15" hidden="1" customHeight="1" outlineLevel="1" x14ac:dyDescent="0.35">
      <c r="A5" s="566" t="s">
        <v>127</v>
      </c>
      <c r="B5" s="197"/>
      <c r="C5" s="166" t="s">
        <v>128</v>
      </c>
      <c r="D5" s="167"/>
      <c r="E5" s="167"/>
      <c r="F5" s="567" t="s">
        <v>129</v>
      </c>
      <c r="G5" s="568"/>
      <c r="H5" s="569"/>
      <c r="I5" s="167"/>
      <c r="J5" s="167"/>
      <c r="K5" s="166" t="s">
        <v>130</v>
      </c>
    </row>
    <row r="6" spans="1:12" ht="15" hidden="1" customHeight="1" outlineLevel="1" x14ac:dyDescent="0.35">
      <c r="A6" s="566"/>
      <c r="B6" s="197"/>
      <c r="C6" s="166" t="s">
        <v>131</v>
      </c>
      <c r="D6" s="167"/>
      <c r="E6" s="167"/>
      <c r="F6" s="570"/>
      <c r="G6" s="571"/>
      <c r="H6" s="572"/>
      <c r="I6" s="167"/>
      <c r="J6" s="167"/>
      <c r="K6" s="167"/>
    </row>
    <row r="7" spans="1:12" ht="15" hidden="1" customHeight="1" outlineLevel="1" x14ac:dyDescent="0.35">
      <c r="A7" s="566"/>
      <c r="B7" s="197"/>
      <c r="C7" s="166" t="s">
        <v>132</v>
      </c>
      <c r="D7" s="167"/>
      <c r="E7" s="167"/>
      <c r="F7" s="570"/>
      <c r="G7" s="571"/>
      <c r="H7" s="572"/>
      <c r="I7" s="167"/>
      <c r="J7" s="167"/>
      <c r="K7" s="167"/>
    </row>
    <row r="8" spans="1:12" ht="15" hidden="1" customHeight="1" outlineLevel="1" x14ac:dyDescent="0.35">
      <c r="A8" s="566"/>
      <c r="B8" s="197"/>
      <c r="C8" s="166" t="s">
        <v>133</v>
      </c>
      <c r="D8" s="167"/>
      <c r="E8" s="167"/>
      <c r="F8" s="570"/>
      <c r="G8" s="571"/>
      <c r="H8" s="572"/>
      <c r="I8" s="167"/>
      <c r="J8" s="167"/>
      <c r="K8" s="167"/>
    </row>
    <row r="9" spans="1:12" ht="4.5" hidden="1" customHeight="1" outlineLevel="1" x14ac:dyDescent="0.35">
      <c r="A9" s="566"/>
      <c r="B9" s="197"/>
      <c r="C9" s="167"/>
      <c r="D9" s="167"/>
      <c r="E9" s="167"/>
      <c r="F9" s="570"/>
      <c r="G9" s="571"/>
      <c r="H9" s="572"/>
      <c r="I9" s="167"/>
      <c r="J9" s="167"/>
      <c r="K9" s="167"/>
    </row>
    <row r="10" spans="1:12" s="2" customFormat="1" ht="15" collapsed="1" thickBot="1" x14ac:dyDescent="0.4">
      <c r="A10" s="88"/>
      <c r="B10" s="88"/>
      <c r="C10" s="190" t="s">
        <v>134</v>
      </c>
      <c r="D10" s="140" t="s">
        <v>135</v>
      </c>
      <c r="E10" s="140" t="s">
        <v>135</v>
      </c>
      <c r="F10" s="563" t="s">
        <v>136</v>
      </c>
      <c r="G10" s="564"/>
      <c r="H10" s="565"/>
      <c r="I10" s="190" t="s">
        <v>135</v>
      </c>
      <c r="J10" s="190" t="s">
        <v>135</v>
      </c>
      <c r="K10" s="140" t="s">
        <v>137</v>
      </c>
      <c r="L10" s="1"/>
    </row>
    <row r="11" spans="1:12" ht="15.75" customHeight="1" x14ac:dyDescent="0.35">
      <c r="A11" s="550">
        <v>1</v>
      </c>
      <c r="B11" s="193">
        <f>A11+10</f>
        <v>11</v>
      </c>
      <c r="C11" s="544"/>
      <c r="D11" s="547"/>
      <c r="E11" s="547"/>
      <c r="F11" s="504" t="b">
        <v>0</v>
      </c>
      <c r="G11" s="62" t="s">
        <v>138</v>
      </c>
      <c r="H11" s="75" t="s">
        <v>139</v>
      </c>
      <c r="I11" s="541"/>
      <c r="J11" s="541"/>
      <c r="K11" s="557"/>
    </row>
    <row r="12" spans="1:12" ht="3.75" customHeight="1" x14ac:dyDescent="0.35">
      <c r="A12" s="551"/>
      <c r="B12" s="194">
        <f t="shared" ref="B12:B17" si="0">B11+1</f>
        <v>12</v>
      </c>
      <c r="C12" s="545"/>
      <c r="D12" s="548"/>
      <c r="E12" s="548"/>
      <c r="I12" s="542"/>
      <c r="J12" s="542"/>
      <c r="K12" s="558"/>
    </row>
    <row r="13" spans="1:12" x14ac:dyDescent="0.35">
      <c r="A13" s="551"/>
      <c r="B13" s="194">
        <f t="shared" si="0"/>
        <v>13</v>
      </c>
      <c r="C13" s="545"/>
      <c r="D13" s="548"/>
      <c r="E13" s="548"/>
      <c r="F13" s="505" t="b">
        <v>0</v>
      </c>
      <c r="G13" t="s">
        <v>2</v>
      </c>
      <c r="H13" s="3" t="s">
        <v>140</v>
      </c>
      <c r="I13" s="542"/>
      <c r="J13" s="542"/>
      <c r="K13" s="558"/>
    </row>
    <row r="14" spans="1:12" ht="3.75" customHeight="1" x14ac:dyDescent="0.35">
      <c r="A14" s="551"/>
      <c r="B14" s="194">
        <f t="shared" si="0"/>
        <v>14</v>
      </c>
      <c r="C14" s="545"/>
      <c r="D14" s="548"/>
      <c r="E14" s="548"/>
      <c r="I14" s="542"/>
      <c r="J14" s="542"/>
      <c r="K14" s="558"/>
    </row>
    <row r="15" spans="1:12" x14ac:dyDescent="0.35">
      <c r="A15" s="551"/>
      <c r="B15" s="194">
        <f t="shared" si="0"/>
        <v>15</v>
      </c>
      <c r="C15" s="545"/>
      <c r="D15" s="548"/>
      <c r="E15" s="548"/>
      <c r="F15" s="525" t="b">
        <v>0</v>
      </c>
      <c r="G15" s="44" t="s">
        <v>141</v>
      </c>
      <c r="H15" s="9" t="s">
        <v>142</v>
      </c>
      <c r="I15" s="542"/>
      <c r="J15" s="542"/>
      <c r="K15" s="558"/>
    </row>
    <row r="16" spans="1:12" ht="3.75" customHeight="1" x14ac:dyDescent="0.35">
      <c r="A16" s="551"/>
      <c r="B16" s="194">
        <f t="shared" si="0"/>
        <v>16</v>
      </c>
      <c r="C16" s="545"/>
      <c r="D16" s="548"/>
      <c r="E16" s="548"/>
      <c r="I16" s="542"/>
      <c r="J16" s="542"/>
      <c r="K16" s="558"/>
    </row>
    <row r="17" spans="1:11" ht="29.5" thickBot="1" x14ac:dyDescent="0.4">
      <c r="A17" s="552"/>
      <c r="B17" s="194">
        <f t="shared" si="0"/>
        <v>17</v>
      </c>
      <c r="C17" s="546"/>
      <c r="D17" s="549"/>
      <c r="E17" s="549"/>
      <c r="F17" s="506" t="b">
        <v>0</v>
      </c>
      <c r="G17" s="99" t="s">
        <v>93</v>
      </c>
      <c r="H17" s="55" t="s">
        <v>143</v>
      </c>
      <c r="I17" s="543"/>
      <c r="J17" s="543"/>
      <c r="K17" s="559"/>
    </row>
    <row r="18" spans="1:11" ht="4.5" customHeight="1" thickBot="1" x14ac:dyDescent="0.4">
      <c r="C18" s="191"/>
      <c r="D18" s="132"/>
      <c r="E18" s="132"/>
      <c r="F18" s="30"/>
      <c r="G18" s="30"/>
      <c r="H18" s="33"/>
      <c r="I18" s="191"/>
      <c r="J18" s="191"/>
      <c r="K18" s="32"/>
    </row>
    <row r="19" spans="1:11" x14ac:dyDescent="0.35">
      <c r="A19" s="550">
        <v>2</v>
      </c>
      <c r="B19" s="193">
        <f>B11+10</f>
        <v>21</v>
      </c>
      <c r="C19" s="544"/>
      <c r="D19" s="547"/>
      <c r="E19" s="547"/>
      <c r="F19" s="504" t="b">
        <v>0</v>
      </c>
      <c r="G19" s="62" t="s">
        <v>138</v>
      </c>
      <c r="H19" s="75" t="s">
        <v>139</v>
      </c>
      <c r="I19" s="541"/>
      <c r="J19" s="541"/>
      <c r="K19" s="557"/>
    </row>
    <row r="20" spans="1:11" ht="3.75" customHeight="1" x14ac:dyDescent="0.35">
      <c r="A20" s="551"/>
      <c r="B20" s="194">
        <f t="shared" ref="B20:B25" si="1">B19+1</f>
        <v>22</v>
      </c>
      <c r="C20" s="545"/>
      <c r="D20" s="548"/>
      <c r="E20" s="548"/>
      <c r="I20" s="542"/>
      <c r="J20" s="542"/>
      <c r="K20" s="558"/>
    </row>
    <row r="21" spans="1:11" x14ac:dyDescent="0.35">
      <c r="A21" s="551"/>
      <c r="B21" s="194">
        <f t="shared" si="1"/>
        <v>23</v>
      </c>
      <c r="C21" s="545"/>
      <c r="D21" s="548"/>
      <c r="E21" s="548"/>
      <c r="F21" s="505" t="b">
        <v>0</v>
      </c>
      <c r="G21" t="s">
        <v>2</v>
      </c>
      <c r="H21" s="3" t="s">
        <v>140</v>
      </c>
      <c r="I21" s="542"/>
      <c r="J21" s="542"/>
      <c r="K21" s="558"/>
    </row>
    <row r="22" spans="1:11" ht="3.75" customHeight="1" x14ac:dyDescent="0.35">
      <c r="A22" s="551"/>
      <c r="B22" s="194">
        <f t="shared" si="1"/>
        <v>24</v>
      </c>
      <c r="C22" s="545"/>
      <c r="D22" s="548"/>
      <c r="E22" s="548"/>
      <c r="I22" s="542"/>
      <c r="J22" s="542"/>
      <c r="K22" s="558"/>
    </row>
    <row r="23" spans="1:11" x14ac:dyDescent="0.35">
      <c r="A23" s="551"/>
      <c r="B23" s="194">
        <f t="shared" si="1"/>
        <v>25</v>
      </c>
      <c r="C23" s="545"/>
      <c r="D23" s="548"/>
      <c r="E23" s="548"/>
      <c r="F23" s="525" t="b">
        <v>0</v>
      </c>
      <c r="G23" s="44" t="s">
        <v>141</v>
      </c>
      <c r="H23" s="9" t="s">
        <v>142</v>
      </c>
      <c r="I23" s="542"/>
      <c r="J23" s="542"/>
      <c r="K23" s="558"/>
    </row>
    <row r="24" spans="1:11" ht="3.75" customHeight="1" x14ac:dyDescent="0.35">
      <c r="A24" s="551"/>
      <c r="B24" s="194">
        <f t="shared" si="1"/>
        <v>26</v>
      </c>
      <c r="C24" s="545"/>
      <c r="D24" s="548"/>
      <c r="E24" s="548"/>
      <c r="I24" s="542"/>
      <c r="J24" s="542"/>
      <c r="K24" s="558"/>
    </row>
    <row r="25" spans="1:11" ht="29.5" thickBot="1" x14ac:dyDescent="0.4">
      <c r="A25" s="552"/>
      <c r="B25" s="194">
        <f t="shared" si="1"/>
        <v>27</v>
      </c>
      <c r="C25" s="546"/>
      <c r="D25" s="549"/>
      <c r="E25" s="549"/>
      <c r="F25" s="506" t="b">
        <v>0</v>
      </c>
      <c r="G25" s="99" t="s">
        <v>93</v>
      </c>
      <c r="H25" s="55" t="s">
        <v>143</v>
      </c>
      <c r="I25" s="543"/>
      <c r="J25" s="543"/>
      <c r="K25" s="559"/>
    </row>
    <row r="26" spans="1:11" ht="4.5" customHeight="1" thickBot="1" x14ac:dyDescent="0.4">
      <c r="C26" s="191"/>
      <c r="D26" s="132"/>
      <c r="E26" s="132"/>
      <c r="F26" s="30"/>
      <c r="G26" s="30"/>
      <c r="H26" s="33"/>
      <c r="I26" s="191"/>
      <c r="J26" s="191"/>
      <c r="K26" s="32"/>
    </row>
    <row r="27" spans="1:11" ht="15" customHeight="1" x14ac:dyDescent="0.35">
      <c r="A27" s="550">
        <v>3</v>
      </c>
      <c r="B27" s="193">
        <f>B19+10</f>
        <v>31</v>
      </c>
      <c r="C27" s="544"/>
      <c r="D27" s="547"/>
      <c r="E27" s="547"/>
      <c r="F27" s="504" t="b">
        <v>0</v>
      </c>
      <c r="G27" s="62" t="s">
        <v>138</v>
      </c>
      <c r="H27" s="75" t="s">
        <v>139</v>
      </c>
      <c r="I27" s="541"/>
      <c r="J27" s="541"/>
      <c r="K27" s="557"/>
    </row>
    <row r="28" spans="1:11" ht="3.75" customHeight="1" x14ac:dyDescent="0.35">
      <c r="A28" s="551"/>
      <c r="B28" s="194">
        <f t="shared" ref="B28:B33" si="2">B27+1</f>
        <v>32</v>
      </c>
      <c r="C28" s="545"/>
      <c r="D28" s="548"/>
      <c r="E28" s="548"/>
      <c r="I28" s="542"/>
      <c r="J28" s="542"/>
      <c r="K28" s="558"/>
    </row>
    <row r="29" spans="1:11" x14ac:dyDescent="0.35">
      <c r="A29" s="551"/>
      <c r="B29" s="194">
        <f t="shared" si="2"/>
        <v>33</v>
      </c>
      <c r="C29" s="545"/>
      <c r="D29" s="548"/>
      <c r="E29" s="548"/>
      <c r="F29" s="505" t="b">
        <v>0</v>
      </c>
      <c r="G29" t="s">
        <v>2</v>
      </c>
      <c r="H29" s="3" t="s">
        <v>140</v>
      </c>
      <c r="I29" s="542"/>
      <c r="J29" s="542"/>
      <c r="K29" s="558"/>
    </row>
    <row r="30" spans="1:11" ht="3.75" customHeight="1" x14ac:dyDescent="0.35">
      <c r="A30" s="551"/>
      <c r="B30" s="194">
        <f t="shared" si="2"/>
        <v>34</v>
      </c>
      <c r="C30" s="545"/>
      <c r="D30" s="548"/>
      <c r="E30" s="548"/>
      <c r="I30" s="542"/>
      <c r="J30" s="542"/>
      <c r="K30" s="558"/>
    </row>
    <row r="31" spans="1:11" x14ac:dyDescent="0.35">
      <c r="A31" s="551"/>
      <c r="B31" s="194">
        <f t="shared" si="2"/>
        <v>35</v>
      </c>
      <c r="C31" s="545"/>
      <c r="D31" s="548"/>
      <c r="E31" s="548"/>
      <c r="F31" s="525" t="b">
        <v>0</v>
      </c>
      <c r="G31" s="44" t="s">
        <v>141</v>
      </c>
      <c r="H31" s="9" t="s">
        <v>142</v>
      </c>
      <c r="I31" s="542"/>
      <c r="J31" s="542"/>
      <c r="K31" s="558"/>
    </row>
    <row r="32" spans="1:11" ht="3.75" customHeight="1" x14ac:dyDescent="0.35">
      <c r="A32" s="551"/>
      <c r="B32" s="194">
        <f t="shared" si="2"/>
        <v>36</v>
      </c>
      <c r="C32" s="545"/>
      <c r="D32" s="548"/>
      <c r="E32" s="548"/>
      <c r="I32" s="542"/>
      <c r="J32" s="542"/>
      <c r="K32" s="558"/>
    </row>
    <row r="33" spans="1:11" ht="29.5" thickBot="1" x14ac:dyDescent="0.4">
      <c r="A33" s="552"/>
      <c r="B33" s="194">
        <f t="shared" si="2"/>
        <v>37</v>
      </c>
      <c r="C33" s="546"/>
      <c r="D33" s="549"/>
      <c r="E33" s="549"/>
      <c r="F33" s="506" t="b">
        <v>0</v>
      </c>
      <c r="G33" s="99" t="s">
        <v>93</v>
      </c>
      <c r="H33" s="55" t="s">
        <v>143</v>
      </c>
      <c r="I33" s="543"/>
      <c r="J33" s="543"/>
      <c r="K33" s="559"/>
    </row>
    <row r="34" spans="1:11" ht="4.5" customHeight="1" thickBot="1" x14ac:dyDescent="0.4">
      <c r="C34" s="191"/>
      <c r="D34" s="132"/>
      <c r="E34" s="132"/>
      <c r="F34" s="30"/>
      <c r="G34" s="30"/>
      <c r="H34" s="33"/>
      <c r="I34" s="191"/>
      <c r="J34" s="191"/>
      <c r="K34" s="32"/>
    </row>
    <row r="35" spans="1:11" ht="15" customHeight="1" x14ac:dyDescent="0.35">
      <c r="A35" s="550">
        <v>4</v>
      </c>
      <c r="B35" s="193">
        <f>B27+10</f>
        <v>41</v>
      </c>
      <c r="C35" s="544"/>
      <c r="D35" s="547"/>
      <c r="E35" s="547"/>
      <c r="F35" s="504" t="b">
        <v>0</v>
      </c>
      <c r="G35" s="62" t="s">
        <v>138</v>
      </c>
      <c r="H35" s="75" t="s">
        <v>139</v>
      </c>
      <c r="I35" s="541"/>
      <c r="J35" s="541"/>
      <c r="K35" s="557"/>
    </row>
    <row r="36" spans="1:11" ht="3.75" customHeight="1" x14ac:dyDescent="0.35">
      <c r="A36" s="551"/>
      <c r="B36" s="194">
        <f t="shared" ref="B36:B41" si="3">B35+1</f>
        <v>42</v>
      </c>
      <c r="C36" s="545"/>
      <c r="D36" s="548"/>
      <c r="E36" s="548"/>
      <c r="I36" s="542"/>
      <c r="J36" s="542"/>
      <c r="K36" s="558"/>
    </row>
    <row r="37" spans="1:11" x14ac:dyDescent="0.35">
      <c r="A37" s="551"/>
      <c r="B37" s="194">
        <f t="shared" si="3"/>
        <v>43</v>
      </c>
      <c r="C37" s="545"/>
      <c r="D37" s="548"/>
      <c r="E37" s="548"/>
      <c r="F37" s="505" t="b">
        <v>0</v>
      </c>
      <c r="G37" t="s">
        <v>2</v>
      </c>
      <c r="H37" s="3" t="s">
        <v>140</v>
      </c>
      <c r="I37" s="542"/>
      <c r="J37" s="542"/>
      <c r="K37" s="558"/>
    </row>
    <row r="38" spans="1:11" ht="3.75" customHeight="1" x14ac:dyDescent="0.35">
      <c r="A38" s="551"/>
      <c r="B38" s="194">
        <f t="shared" si="3"/>
        <v>44</v>
      </c>
      <c r="C38" s="545"/>
      <c r="D38" s="548"/>
      <c r="E38" s="548"/>
      <c r="I38" s="542"/>
      <c r="J38" s="542"/>
      <c r="K38" s="558"/>
    </row>
    <row r="39" spans="1:11" x14ac:dyDescent="0.35">
      <c r="A39" s="551"/>
      <c r="B39" s="194">
        <f t="shared" si="3"/>
        <v>45</v>
      </c>
      <c r="C39" s="545"/>
      <c r="D39" s="548"/>
      <c r="E39" s="548"/>
      <c r="F39" s="525" t="b">
        <v>0</v>
      </c>
      <c r="G39" s="44" t="s">
        <v>141</v>
      </c>
      <c r="H39" s="9" t="s">
        <v>142</v>
      </c>
      <c r="I39" s="542"/>
      <c r="J39" s="542"/>
      <c r="K39" s="558"/>
    </row>
    <row r="40" spans="1:11" ht="3.75" customHeight="1" x14ac:dyDescent="0.35">
      <c r="A40" s="551"/>
      <c r="B40" s="194">
        <f t="shared" si="3"/>
        <v>46</v>
      </c>
      <c r="C40" s="545"/>
      <c r="D40" s="548"/>
      <c r="E40" s="548"/>
      <c r="I40" s="542"/>
      <c r="J40" s="542"/>
      <c r="K40" s="558"/>
    </row>
    <row r="41" spans="1:11" ht="29.5" thickBot="1" x14ac:dyDescent="0.4">
      <c r="A41" s="552"/>
      <c r="B41" s="194">
        <f t="shared" si="3"/>
        <v>47</v>
      </c>
      <c r="C41" s="546"/>
      <c r="D41" s="549"/>
      <c r="E41" s="549"/>
      <c r="F41" s="506" t="b">
        <v>0</v>
      </c>
      <c r="G41" s="99" t="s">
        <v>93</v>
      </c>
      <c r="H41" s="55" t="s">
        <v>143</v>
      </c>
      <c r="I41" s="543"/>
      <c r="J41" s="543"/>
      <c r="K41" s="559"/>
    </row>
    <row r="42" spans="1:11" ht="4.5" customHeight="1" thickBot="1" x14ac:dyDescent="0.4">
      <c r="C42" s="191"/>
      <c r="D42" s="132"/>
      <c r="E42" s="132"/>
      <c r="F42" s="30"/>
      <c r="G42" s="30"/>
      <c r="H42" s="33"/>
      <c r="I42" s="191"/>
      <c r="J42" s="191"/>
      <c r="K42" s="32"/>
    </row>
    <row r="43" spans="1:11" ht="15" customHeight="1" x14ac:dyDescent="0.35">
      <c r="A43" s="553">
        <v>5</v>
      </c>
      <c r="B43" s="193">
        <f>B35+10</f>
        <v>51</v>
      </c>
      <c r="C43" s="544"/>
      <c r="D43" s="547"/>
      <c r="E43" s="547"/>
      <c r="F43" s="504" t="b">
        <v>0</v>
      </c>
      <c r="G43" s="62" t="s">
        <v>138</v>
      </c>
      <c r="H43" s="75" t="s">
        <v>139</v>
      </c>
      <c r="I43" s="541"/>
      <c r="J43" s="541"/>
      <c r="K43" s="557"/>
    </row>
    <row r="44" spans="1:11" ht="3.75" customHeight="1" x14ac:dyDescent="0.35">
      <c r="A44" s="554"/>
      <c r="B44" s="194">
        <f t="shared" ref="B44:B49" si="4">B43+1</f>
        <v>52</v>
      </c>
      <c r="C44" s="545"/>
      <c r="D44" s="548"/>
      <c r="E44" s="548"/>
      <c r="I44" s="542"/>
      <c r="J44" s="542"/>
      <c r="K44" s="558"/>
    </row>
    <row r="45" spans="1:11" x14ac:dyDescent="0.35">
      <c r="A45" s="554"/>
      <c r="B45" s="194">
        <f t="shared" si="4"/>
        <v>53</v>
      </c>
      <c r="C45" s="545"/>
      <c r="D45" s="548"/>
      <c r="E45" s="548"/>
      <c r="F45" s="505" t="b">
        <v>0</v>
      </c>
      <c r="G45" t="s">
        <v>2</v>
      </c>
      <c r="H45" s="3" t="s">
        <v>140</v>
      </c>
      <c r="I45" s="542"/>
      <c r="J45" s="542"/>
      <c r="K45" s="558"/>
    </row>
    <row r="46" spans="1:11" ht="3.75" customHeight="1" x14ac:dyDescent="0.35">
      <c r="A46" s="554"/>
      <c r="B46" s="194">
        <f t="shared" si="4"/>
        <v>54</v>
      </c>
      <c r="C46" s="545"/>
      <c r="D46" s="548"/>
      <c r="E46" s="548"/>
      <c r="I46" s="542"/>
      <c r="J46" s="542"/>
      <c r="K46" s="558"/>
    </row>
    <row r="47" spans="1:11" x14ac:dyDescent="0.35">
      <c r="A47" s="554"/>
      <c r="B47" s="194">
        <f t="shared" si="4"/>
        <v>55</v>
      </c>
      <c r="C47" s="545"/>
      <c r="D47" s="548"/>
      <c r="E47" s="548"/>
      <c r="F47" s="525" t="b">
        <v>0</v>
      </c>
      <c r="G47" s="44" t="s">
        <v>141</v>
      </c>
      <c r="H47" s="9" t="s">
        <v>142</v>
      </c>
      <c r="I47" s="542"/>
      <c r="J47" s="542"/>
      <c r="K47" s="558"/>
    </row>
    <row r="48" spans="1:11" ht="3.75" customHeight="1" x14ac:dyDescent="0.35">
      <c r="A48" s="554"/>
      <c r="B48" s="194">
        <f t="shared" si="4"/>
        <v>56</v>
      </c>
      <c r="C48" s="545"/>
      <c r="D48" s="548"/>
      <c r="E48" s="548"/>
      <c r="I48" s="542"/>
      <c r="J48" s="542"/>
      <c r="K48" s="558"/>
    </row>
    <row r="49" spans="1:11" ht="29.5" thickBot="1" x14ac:dyDescent="0.4">
      <c r="A49" s="555"/>
      <c r="B49" s="194">
        <f t="shared" si="4"/>
        <v>57</v>
      </c>
      <c r="C49" s="546"/>
      <c r="D49" s="549"/>
      <c r="E49" s="549"/>
      <c r="F49" s="506" t="b">
        <v>0</v>
      </c>
      <c r="G49" s="99" t="s">
        <v>93</v>
      </c>
      <c r="H49" s="55" t="s">
        <v>143</v>
      </c>
      <c r="I49" s="543"/>
      <c r="J49" s="543"/>
      <c r="K49" s="559"/>
    </row>
    <row r="50" spans="1:11" ht="4.5" customHeight="1" thickBot="1" x14ac:dyDescent="0.4">
      <c r="C50" s="191"/>
      <c r="D50" s="132"/>
      <c r="E50" s="132"/>
      <c r="F50" s="30"/>
      <c r="G50" s="30"/>
      <c r="H50" s="33"/>
      <c r="I50" s="191"/>
      <c r="J50" s="191"/>
      <c r="K50" s="32"/>
    </row>
    <row r="51" spans="1:11" ht="15.75" customHeight="1" x14ac:dyDescent="0.35">
      <c r="A51" s="550">
        <v>6</v>
      </c>
      <c r="B51" s="193">
        <f>B43+10</f>
        <v>61</v>
      </c>
      <c r="C51" s="544"/>
      <c r="D51" s="547"/>
      <c r="E51" s="547"/>
      <c r="F51" s="504" t="b">
        <v>0</v>
      </c>
      <c r="G51" s="62" t="s">
        <v>138</v>
      </c>
      <c r="H51" s="75" t="s">
        <v>139</v>
      </c>
      <c r="I51" s="541"/>
      <c r="J51" s="541"/>
      <c r="K51" s="557"/>
    </row>
    <row r="52" spans="1:11" ht="3.75" customHeight="1" x14ac:dyDescent="0.35">
      <c r="A52" s="551"/>
      <c r="B52" s="194">
        <f t="shared" ref="B52:B57" si="5">B51+1</f>
        <v>62</v>
      </c>
      <c r="C52" s="545"/>
      <c r="D52" s="548"/>
      <c r="E52" s="548"/>
      <c r="I52" s="542"/>
      <c r="J52" s="542"/>
      <c r="K52" s="558"/>
    </row>
    <row r="53" spans="1:11" x14ac:dyDescent="0.35">
      <c r="A53" s="551"/>
      <c r="B53" s="194">
        <f t="shared" si="5"/>
        <v>63</v>
      </c>
      <c r="C53" s="545"/>
      <c r="D53" s="548"/>
      <c r="E53" s="548"/>
      <c r="F53" s="505" t="b">
        <v>0</v>
      </c>
      <c r="G53" t="s">
        <v>2</v>
      </c>
      <c r="H53" s="3" t="s">
        <v>140</v>
      </c>
      <c r="I53" s="542"/>
      <c r="J53" s="542"/>
      <c r="K53" s="558"/>
    </row>
    <row r="54" spans="1:11" ht="3.75" customHeight="1" x14ac:dyDescent="0.35">
      <c r="A54" s="551"/>
      <c r="B54" s="194">
        <f t="shared" si="5"/>
        <v>64</v>
      </c>
      <c r="C54" s="545"/>
      <c r="D54" s="548"/>
      <c r="E54" s="548"/>
      <c r="I54" s="542"/>
      <c r="J54" s="542"/>
      <c r="K54" s="558"/>
    </row>
    <row r="55" spans="1:11" x14ac:dyDescent="0.35">
      <c r="A55" s="551"/>
      <c r="B55" s="194">
        <f t="shared" si="5"/>
        <v>65</v>
      </c>
      <c r="C55" s="545"/>
      <c r="D55" s="548"/>
      <c r="E55" s="548"/>
      <c r="F55" s="525" t="b">
        <v>0</v>
      </c>
      <c r="G55" s="44" t="s">
        <v>141</v>
      </c>
      <c r="H55" s="9" t="s">
        <v>142</v>
      </c>
      <c r="I55" s="542"/>
      <c r="J55" s="542"/>
      <c r="K55" s="558"/>
    </row>
    <row r="56" spans="1:11" ht="3.75" customHeight="1" x14ac:dyDescent="0.35">
      <c r="A56" s="551"/>
      <c r="B56" s="194">
        <f t="shared" si="5"/>
        <v>66</v>
      </c>
      <c r="C56" s="545"/>
      <c r="D56" s="548"/>
      <c r="E56" s="548"/>
      <c r="I56" s="542"/>
      <c r="J56" s="542"/>
      <c r="K56" s="558"/>
    </row>
    <row r="57" spans="1:11" ht="29.5" thickBot="1" x14ac:dyDescent="0.4">
      <c r="A57" s="552"/>
      <c r="B57" s="194">
        <f t="shared" si="5"/>
        <v>67</v>
      </c>
      <c r="C57" s="546"/>
      <c r="D57" s="549"/>
      <c r="E57" s="549"/>
      <c r="F57" s="506" t="b">
        <v>0</v>
      </c>
      <c r="G57" s="99" t="s">
        <v>93</v>
      </c>
      <c r="H57" s="55" t="s">
        <v>143</v>
      </c>
      <c r="I57" s="543"/>
      <c r="J57" s="543"/>
      <c r="K57" s="559"/>
    </row>
    <row r="58" spans="1:11" ht="4.5" customHeight="1" thickBot="1" x14ac:dyDescent="0.4">
      <c r="C58" s="191"/>
      <c r="D58" s="132"/>
      <c r="E58" s="132"/>
      <c r="F58" s="30"/>
      <c r="G58" s="30"/>
      <c r="H58" s="33"/>
      <c r="I58" s="191"/>
      <c r="J58" s="191"/>
      <c r="K58" s="32"/>
    </row>
    <row r="59" spans="1:11" ht="15" customHeight="1" x14ac:dyDescent="0.35">
      <c r="A59" s="550">
        <v>7</v>
      </c>
      <c r="B59" s="193">
        <f>B51+10</f>
        <v>71</v>
      </c>
      <c r="C59" s="544"/>
      <c r="D59" s="547"/>
      <c r="E59" s="547"/>
      <c r="F59" s="504" t="b">
        <v>0</v>
      </c>
      <c r="G59" s="62" t="s">
        <v>138</v>
      </c>
      <c r="H59" s="75" t="s">
        <v>139</v>
      </c>
      <c r="I59" s="541"/>
      <c r="J59" s="541"/>
      <c r="K59" s="557"/>
    </row>
    <row r="60" spans="1:11" ht="3.75" customHeight="1" x14ac:dyDescent="0.35">
      <c r="A60" s="551"/>
      <c r="B60" s="194">
        <f t="shared" ref="B60:B65" si="6">B59+1</f>
        <v>72</v>
      </c>
      <c r="C60" s="545"/>
      <c r="D60" s="548"/>
      <c r="E60" s="548"/>
      <c r="I60" s="542"/>
      <c r="J60" s="542"/>
      <c r="K60" s="558"/>
    </row>
    <row r="61" spans="1:11" x14ac:dyDescent="0.35">
      <c r="A61" s="551"/>
      <c r="B61" s="194">
        <f t="shared" si="6"/>
        <v>73</v>
      </c>
      <c r="C61" s="545"/>
      <c r="D61" s="548"/>
      <c r="E61" s="548"/>
      <c r="F61" s="505" t="b">
        <v>0</v>
      </c>
      <c r="G61" t="s">
        <v>2</v>
      </c>
      <c r="H61" s="3" t="s">
        <v>140</v>
      </c>
      <c r="I61" s="542"/>
      <c r="J61" s="542"/>
      <c r="K61" s="558"/>
    </row>
    <row r="62" spans="1:11" ht="3.75" customHeight="1" x14ac:dyDescent="0.35">
      <c r="A62" s="551"/>
      <c r="B62" s="194">
        <f t="shared" si="6"/>
        <v>74</v>
      </c>
      <c r="C62" s="545"/>
      <c r="D62" s="548"/>
      <c r="E62" s="548"/>
      <c r="I62" s="542"/>
      <c r="J62" s="542"/>
      <c r="K62" s="558"/>
    </row>
    <row r="63" spans="1:11" x14ac:dyDescent="0.35">
      <c r="A63" s="551"/>
      <c r="B63" s="194">
        <f t="shared" si="6"/>
        <v>75</v>
      </c>
      <c r="C63" s="545"/>
      <c r="D63" s="548"/>
      <c r="E63" s="548"/>
      <c r="F63" s="525" t="b">
        <v>0</v>
      </c>
      <c r="G63" s="44" t="s">
        <v>141</v>
      </c>
      <c r="H63" s="9" t="s">
        <v>142</v>
      </c>
      <c r="I63" s="542"/>
      <c r="J63" s="542"/>
      <c r="K63" s="558"/>
    </row>
    <row r="64" spans="1:11" ht="3.75" customHeight="1" x14ac:dyDescent="0.35">
      <c r="A64" s="551"/>
      <c r="B64" s="194">
        <f t="shared" si="6"/>
        <v>76</v>
      </c>
      <c r="C64" s="545"/>
      <c r="D64" s="548"/>
      <c r="E64" s="548"/>
      <c r="I64" s="542"/>
      <c r="J64" s="542"/>
      <c r="K64" s="558"/>
    </row>
    <row r="65" spans="1:11" ht="29.5" thickBot="1" x14ac:dyDescent="0.4">
      <c r="A65" s="552"/>
      <c r="B65" s="194">
        <f t="shared" si="6"/>
        <v>77</v>
      </c>
      <c r="C65" s="546"/>
      <c r="D65" s="549"/>
      <c r="E65" s="549"/>
      <c r="F65" s="506" t="b">
        <v>0</v>
      </c>
      <c r="G65" s="99" t="s">
        <v>93</v>
      </c>
      <c r="H65" s="55" t="s">
        <v>143</v>
      </c>
      <c r="I65" s="543"/>
      <c r="J65" s="543"/>
      <c r="K65" s="559"/>
    </row>
    <row r="66" spans="1:11" ht="4.5" customHeight="1" thickBot="1" x14ac:dyDescent="0.4">
      <c r="C66" s="191"/>
      <c r="D66" s="132"/>
      <c r="E66" s="132"/>
      <c r="F66" s="30"/>
      <c r="G66" s="30"/>
      <c r="H66" s="33"/>
      <c r="I66" s="191"/>
      <c r="J66" s="191"/>
      <c r="K66" s="32"/>
    </row>
    <row r="67" spans="1:11" ht="15" customHeight="1" x14ac:dyDescent="0.35">
      <c r="A67" s="550">
        <v>8</v>
      </c>
      <c r="B67" s="193">
        <f>B59+10</f>
        <v>81</v>
      </c>
      <c r="C67" s="544"/>
      <c r="D67" s="547"/>
      <c r="E67" s="547"/>
      <c r="F67" s="504" t="b">
        <v>0</v>
      </c>
      <c r="G67" s="62" t="s">
        <v>138</v>
      </c>
      <c r="H67" s="75" t="s">
        <v>139</v>
      </c>
      <c r="I67" s="541"/>
      <c r="J67" s="541"/>
      <c r="K67" s="557"/>
    </row>
    <row r="68" spans="1:11" ht="3.75" customHeight="1" x14ac:dyDescent="0.35">
      <c r="A68" s="551"/>
      <c r="B68" s="194">
        <f t="shared" ref="B68:B73" si="7">B67+1</f>
        <v>82</v>
      </c>
      <c r="C68" s="545"/>
      <c r="D68" s="548"/>
      <c r="E68" s="548"/>
      <c r="I68" s="542"/>
      <c r="J68" s="542"/>
      <c r="K68" s="558"/>
    </row>
    <row r="69" spans="1:11" x14ac:dyDescent="0.35">
      <c r="A69" s="551"/>
      <c r="B69" s="194">
        <f t="shared" si="7"/>
        <v>83</v>
      </c>
      <c r="C69" s="545"/>
      <c r="D69" s="548"/>
      <c r="E69" s="548"/>
      <c r="F69" s="505" t="b">
        <v>0</v>
      </c>
      <c r="G69" t="s">
        <v>2</v>
      </c>
      <c r="H69" s="3" t="s">
        <v>140</v>
      </c>
      <c r="I69" s="542"/>
      <c r="J69" s="542"/>
      <c r="K69" s="558"/>
    </row>
    <row r="70" spans="1:11" ht="3.75" customHeight="1" x14ac:dyDescent="0.35">
      <c r="A70" s="551"/>
      <c r="B70" s="194">
        <f t="shared" si="7"/>
        <v>84</v>
      </c>
      <c r="C70" s="545"/>
      <c r="D70" s="548"/>
      <c r="E70" s="548"/>
      <c r="I70" s="542"/>
      <c r="J70" s="542"/>
      <c r="K70" s="558"/>
    </row>
    <row r="71" spans="1:11" x14ac:dyDescent="0.35">
      <c r="A71" s="551"/>
      <c r="B71" s="194">
        <f t="shared" si="7"/>
        <v>85</v>
      </c>
      <c r="C71" s="545"/>
      <c r="D71" s="548"/>
      <c r="E71" s="548"/>
      <c r="F71" s="525" t="b">
        <v>0</v>
      </c>
      <c r="G71" s="44" t="s">
        <v>141</v>
      </c>
      <c r="H71" s="9" t="s">
        <v>142</v>
      </c>
      <c r="I71" s="542"/>
      <c r="J71" s="542"/>
      <c r="K71" s="558"/>
    </row>
    <row r="72" spans="1:11" ht="3.75" customHeight="1" x14ac:dyDescent="0.35">
      <c r="A72" s="551"/>
      <c r="B72" s="194">
        <f t="shared" si="7"/>
        <v>86</v>
      </c>
      <c r="C72" s="545"/>
      <c r="D72" s="548"/>
      <c r="E72" s="548"/>
      <c r="I72" s="542"/>
      <c r="J72" s="542"/>
      <c r="K72" s="558"/>
    </row>
    <row r="73" spans="1:11" ht="29.5" thickBot="1" x14ac:dyDescent="0.4">
      <c r="A73" s="552"/>
      <c r="B73" s="194">
        <f t="shared" si="7"/>
        <v>87</v>
      </c>
      <c r="C73" s="546"/>
      <c r="D73" s="549"/>
      <c r="E73" s="549"/>
      <c r="F73" s="506" t="b">
        <v>0</v>
      </c>
      <c r="G73" s="99" t="s">
        <v>93</v>
      </c>
      <c r="H73" s="55" t="s">
        <v>143</v>
      </c>
      <c r="I73" s="543"/>
      <c r="J73" s="543"/>
      <c r="K73" s="559"/>
    </row>
    <row r="74" spans="1:11" ht="4.5" customHeight="1" thickBot="1" x14ac:dyDescent="0.4">
      <c r="C74" s="191"/>
      <c r="D74" s="132"/>
      <c r="E74" s="132"/>
      <c r="F74" s="30"/>
      <c r="G74" s="30"/>
      <c r="H74" s="33"/>
      <c r="I74" s="191"/>
      <c r="J74" s="191"/>
      <c r="K74" s="32"/>
    </row>
    <row r="75" spans="1:11" ht="15" customHeight="1" x14ac:dyDescent="0.35">
      <c r="A75" s="550">
        <f>A67+1</f>
        <v>9</v>
      </c>
      <c r="B75" s="193">
        <f>B67+10</f>
        <v>91</v>
      </c>
      <c r="C75" s="544"/>
      <c r="D75" s="547"/>
      <c r="E75" s="547"/>
      <c r="F75" s="504" t="b">
        <v>0</v>
      </c>
      <c r="G75" s="62" t="s">
        <v>138</v>
      </c>
      <c r="H75" s="75" t="s">
        <v>139</v>
      </c>
      <c r="I75" s="541"/>
      <c r="J75" s="541"/>
      <c r="K75" s="557"/>
    </row>
    <row r="76" spans="1:11" ht="3.75" customHeight="1" x14ac:dyDescent="0.35">
      <c r="A76" s="551"/>
      <c r="B76" s="194">
        <f t="shared" ref="B76:B81" si="8">B75+1</f>
        <v>92</v>
      </c>
      <c r="C76" s="545"/>
      <c r="D76" s="548"/>
      <c r="E76" s="548"/>
      <c r="I76" s="542"/>
      <c r="J76" s="542"/>
      <c r="K76" s="558"/>
    </row>
    <row r="77" spans="1:11" x14ac:dyDescent="0.35">
      <c r="A77" s="551"/>
      <c r="B77" s="194">
        <f t="shared" si="8"/>
        <v>93</v>
      </c>
      <c r="C77" s="545"/>
      <c r="D77" s="548"/>
      <c r="E77" s="548"/>
      <c r="F77" s="505" t="b">
        <v>0</v>
      </c>
      <c r="G77" t="s">
        <v>2</v>
      </c>
      <c r="H77" s="3" t="s">
        <v>140</v>
      </c>
      <c r="I77" s="542"/>
      <c r="J77" s="542"/>
      <c r="K77" s="558"/>
    </row>
    <row r="78" spans="1:11" ht="3.75" customHeight="1" x14ac:dyDescent="0.35">
      <c r="A78" s="551"/>
      <c r="B78" s="194">
        <f t="shared" si="8"/>
        <v>94</v>
      </c>
      <c r="C78" s="545"/>
      <c r="D78" s="548"/>
      <c r="E78" s="548"/>
      <c r="I78" s="542"/>
      <c r="J78" s="542"/>
      <c r="K78" s="558"/>
    </row>
    <row r="79" spans="1:11" x14ac:dyDescent="0.35">
      <c r="A79" s="551"/>
      <c r="B79" s="194">
        <f t="shared" si="8"/>
        <v>95</v>
      </c>
      <c r="C79" s="545"/>
      <c r="D79" s="548"/>
      <c r="E79" s="548"/>
      <c r="F79" s="525" t="b">
        <v>0</v>
      </c>
      <c r="G79" s="44" t="s">
        <v>141</v>
      </c>
      <c r="H79" s="9" t="s">
        <v>142</v>
      </c>
      <c r="I79" s="542"/>
      <c r="J79" s="542"/>
      <c r="K79" s="558"/>
    </row>
    <row r="80" spans="1:11" ht="3.75" customHeight="1" x14ac:dyDescent="0.35">
      <c r="A80" s="551"/>
      <c r="B80" s="194">
        <f t="shared" si="8"/>
        <v>96</v>
      </c>
      <c r="C80" s="545"/>
      <c r="D80" s="548"/>
      <c r="E80" s="548"/>
      <c r="I80" s="542"/>
      <c r="J80" s="542"/>
      <c r="K80" s="558"/>
    </row>
    <row r="81" spans="1:11" ht="29.5" thickBot="1" x14ac:dyDescent="0.4">
      <c r="A81" s="552"/>
      <c r="B81" s="194">
        <f t="shared" si="8"/>
        <v>97</v>
      </c>
      <c r="C81" s="546"/>
      <c r="D81" s="549"/>
      <c r="E81" s="549"/>
      <c r="F81" s="506" t="b">
        <v>0</v>
      </c>
      <c r="G81" s="99" t="s">
        <v>93</v>
      </c>
      <c r="H81" s="55" t="s">
        <v>143</v>
      </c>
      <c r="I81" s="543"/>
      <c r="J81" s="543"/>
      <c r="K81" s="559"/>
    </row>
    <row r="82" spans="1:11" ht="4.5" customHeight="1" thickBot="1" x14ac:dyDescent="0.4">
      <c r="C82" s="191"/>
      <c r="D82" s="132"/>
      <c r="E82" s="132"/>
      <c r="F82" s="30"/>
      <c r="G82" s="30"/>
      <c r="H82" s="33"/>
      <c r="I82" s="191"/>
      <c r="J82" s="191"/>
      <c r="K82" s="32"/>
    </row>
    <row r="83" spans="1:11" ht="15" customHeight="1" x14ac:dyDescent="0.35">
      <c r="A83" s="550">
        <f>A75+1</f>
        <v>10</v>
      </c>
      <c r="B83" s="193">
        <f>B75+10</f>
        <v>101</v>
      </c>
      <c r="C83" s="544"/>
      <c r="D83" s="547"/>
      <c r="E83" s="547"/>
      <c r="F83" s="504" t="b">
        <v>0</v>
      </c>
      <c r="G83" s="62" t="s">
        <v>138</v>
      </c>
      <c r="H83" s="75" t="s">
        <v>139</v>
      </c>
      <c r="I83" s="541"/>
      <c r="J83" s="541"/>
      <c r="K83" s="557"/>
    </row>
    <row r="84" spans="1:11" ht="3.75" customHeight="1" x14ac:dyDescent="0.35">
      <c r="A84" s="551"/>
      <c r="B84" s="194">
        <f t="shared" ref="B84:B89" si="9">B83+1</f>
        <v>102</v>
      </c>
      <c r="C84" s="545"/>
      <c r="D84" s="548"/>
      <c r="E84" s="548"/>
      <c r="I84" s="542"/>
      <c r="J84" s="542"/>
      <c r="K84" s="558"/>
    </row>
    <row r="85" spans="1:11" x14ac:dyDescent="0.35">
      <c r="A85" s="551"/>
      <c r="B85" s="194">
        <f t="shared" si="9"/>
        <v>103</v>
      </c>
      <c r="C85" s="545"/>
      <c r="D85" s="548"/>
      <c r="E85" s="548"/>
      <c r="F85" s="505" t="b">
        <v>0</v>
      </c>
      <c r="G85" t="s">
        <v>2</v>
      </c>
      <c r="H85" s="3" t="s">
        <v>140</v>
      </c>
      <c r="I85" s="542"/>
      <c r="J85" s="542"/>
      <c r="K85" s="558"/>
    </row>
    <row r="86" spans="1:11" ht="3.75" customHeight="1" x14ac:dyDescent="0.35">
      <c r="A86" s="551"/>
      <c r="B86" s="194">
        <f t="shared" si="9"/>
        <v>104</v>
      </c>
      <c r="C86" s="545"/>
      <c r="D86" s="548"/>
      <c r="E86" s="548"/>
      <c r="I86" s="542"/>
      <c r="J86" s="542"/>
      <c r="K86" s="558"/>
    </row>
    <row r="87" spans="1:11" x14ac:dyDescent="0.35">
      <c r="A87" s="551"/>
      <c r="B87" s="194">
        <f t="shared" si="9"/>
        <v>105</v>
      </c>
      <c r="C87" s="545"/>
      <c r="D87" s="548"/>
      <c r="E87" s="548"/>
      <c r="F87" s="525" t="b">
        <v>0</v>
      </c>
      <c r="G87" s="44" t="s">
        <v>141</v>
      </c>
      <c r="H87" s="9" t="s">
        <v>142</v>
      </c>
      <c r="I87" s="542"/>
      <c r="J87" s="542"/>
      <c r="K87" s="558"/>
    </row>
    <row r="88" spans="1:11" ht="3.75" customHeight="1" x14ac:dyDescent="0.35">
      <c r="A88" s="551"/>
      <c r="B88" s="194">
        <f t="shared" si="9"/>
        <v>106</v>
      </c>
      <c r="C88" s="545"/>
      <c r="D88" s="548"/>
      <c r="E88" s="548"/>
      <c r="I88" s="542"/>
      <c r="J88" s="542"/>
      <c r="K88" s="558"/>
    </row>
    <row r="89" spans="1:11" ht="29.5" thickBot="1" x14ac:dyDescent="0.4">
      <c r="A89" s="552"/>
      <c r="B89" s="194">
        <f t="shared" si="9"/>
        <v>107</v>
      </c>
      <c r="C89" s="546"/>
      <c r="D89" s="549"/>
      <c r="E89" s="549"/>
      <c r="F89" s="506" t="b">
        <v>0</v>
      </c>
      <c r="G89" s="99" t="s">
        <v>93</v>
      </c>
      <c r="H89" s="55" t="s">
        <v>143</v>
      </c>
      <c r="I89" s="543"/>
      <c r="J89" s="543"/>
      <c r="K89" s="559"/>
    </row>
    <row r="90" spans="1:11" ht="4.5" customHeight="1" thickBot="1" x14ac:dyDescent="0.4">
      <c r="C90" s="191"/>
      <c r="D90" s="132"/>
      <c r="E90" s="132"/>
      <c r="F90" s="30"/>
      <c r="G90" s="30"/>
      <c r="H90" s="33"/>
      <c r="I90" s="191"/>
      <c r="J90" s="191"/>
      <c r="K90" s="32"/>
    </row>
    <row r="91" spans="1:11" ht="15" customHeight="1" x14ac:dyDescent="0.35">
      <c r="A91" s="550">
        <f>A83+1</f>
        <v>11</v>
      </c>
      <c r="B91" s="193">
        <f>B83+10</f>
        <v>111</v>
      </c>
      <c r="C91" s="544"/>
      <c r="D91" s="547"/>
      <c r="E91" s="547"/>
      <c r="F91" s="504" t="b">
        <v>0</v>
      </c>
      <c r="G91" s="62" t="s">
        <v>138</v>
      </c>
      <c r="H91" s="75" t="s">
        <v>139</v>
      </c>
      <c r="I91" s="541"/>
      <c r="J91" s="541"/>
      <c r="K91" s="557"/>
    </row>
    <row r="92" spans="1:11" ht="3.75" customHeight="1" x14ac:dyDescent="0.35">
      <c r="A92" s="551"/>
      <c r="B92" s="194">
        <f t="shared" ref="B92:B97" si="10">B91+1</f>
        <v>112</v>
      </c>
      <c r="C92" s="545"/>
      <c r="D92" s="548"/>
      <c r="E92" s="548"/>
      <c r="I92" s="542"/>
      <c r="J92" s="542"/>
      <c r="K92" s="558"/>
    </row>
    <row r="93" spans="1:11" x14ac:dyDescent="0.35">
      <c r="A93" s="551"/>
      <c r="B93" s="194">
        <f t="shared" si="10"/>
        <v>113</v>
      </c>
      <c r="C93" s="545"/>
      <c r="D93" s="548"/>
      <c r="E93" s="548"/>
      <c r="F93" s="505" t="b">
        <v>0</v>
      </c>
      <c r="G93" t="s">
        <v>2</v>
      </c>
      <c r="H93" s="3" t="s">
        <v>140</v>
      </c>
      <c r="I93" s="542"/>
      <c r="J93" s="542"/>
      <c r="K93" s="558"/>
    </row>
    <row r="94" spans="1:11" ht="3.75" customHeight="1" x14ac:dyDescent="0.35">
      <c r="A94" s="551"/>
      <c r="B94" s="194">
        <f t="shared" si="10"/>
        <v>114</v>
      </c>
      <c r="C94" s="545"/>
      <c r="D94" s="548"/>
      <c r="E94" s="548"/>
      <c r="I94" s="542"/>
      <c r="J94" s="542"/>
      <c r="K94" s="558"/>
    </row>
    <row r="95" spans="1:11" x14ac:dyDescent="0.35">
      <c r="A95" s="551"/>
      <c r="B95" s="194">
        <f t="shared" si="10"/>
        <v>115</v>
      </c>
      <c r="C95" s="545"/>
      <c r="D95" s="548"/>
      <c r="E95" s="548"/>
      <c r="F95" s="525" t="b">
        <v>0</v>
      </c>
      <c r="G95" s="44" t="s">
        <v>141</v>
      </c>
      <c r="H95" s="9" t="s">
        <v>142</v>
      </c>
      <c r="I95" s="542"/>
      <c r="J95" s="542"/>
      <c r="K95" s="558"/>
    </row>
    <row r="96" spans="1:11" ht="3.75" customHeight="1" x14ac:dyDescent="0.35">
      <c r="A96" s="551"/>
      <c r="B96" s="194">
        <f t="shared" si="10"/>
        <v>116</v>
      </c>
      <c r="C96" s="545"/>
      <c r="D96" s="548"/>
      <c r="E96" s="548"/>
      <c r="I96" s="542"/>
      <c r="J96" s="542"/>
      <c r="K96" s="558"/>
    </row>
    <row r="97" spans="1:11" ht="29.5" thickBot="1" x14ac:dyDescent="0.4">
      <c r="A97" s="552"/>
      <c r="B97" s="194">
        <f t="shared" si="10"/>
        <v>117</v>
      </c>
      <c r="C97" s="546"/>
      <c r="D97" s="549"/>
      <c r="E97" s="549"/>
      <c r="F97" s="506" t="b">
        <v>0</v>
      </c>
      <c r="G97" s="99" t="s">
        <v>93</v>
      </c>
      <c r="H97" s="55" t="s">
        <v>143</v>
      </c>
      <c r="I97" s="543"/>
      <c r="J97" s="543"/>
      <c r="K97" s="559"/>
    </row>
    <row r="98" spans="1:11" ht="4.5" customHeight="1" thickBot="1" x14ac:dyDescent="0.4">
      <c r="C98" s="191"/>
      <c r="D98" s="132"/>
      <c r="E98" s="132"/>
      <c r="F98" s="30"/>
      <c r="G98" s="30"/>
      <c r="H98" s="33"/>
      <c r="I98" s="191"/>
      <c r="J98" s="191"/>
      <c r="K98" s="32"/>
    </row>
    <row r="99" spans="1:11" ht="15" customHeight="1" x14ac:dyDescent="0.35">
      <c r="A99" s="550">
        <f>A91+1</f>
        <v>12</v>
      </c>
      <c r="B99" s="193">
        <f>B91+10</f>
        <v>121</v>
      </c>
      <c r="C99" s="544"/>
      <c r="D99" s="547"/>
      <c r="E99" s="547"/>
      <c r="F99" s="504" t="b">
        <v>0</v>
      </c>
      <c r="G99" s="62" t="s">
        <v>138</v>
      </c>
      <c r="H99" s="75" t="s">
        <v>139</v>
      </c>
      <c r="I99" s="541"/>
      <c r="J99" s="541"/>
      <c r="K99" s="557"/>
    </row>
    <row r="100" spans="1:11" ht="3.75" customHeight="1" x14ac:dyDescent="0.35">
      <c r="A100" s="551"/>
      <c r="B100" s="194">
        <f t="shared" ref="B100:B105" si="11">B99+1</f>
        <v>122</v>
      </c>
      <c r="C100" s="545"/>
      <c r="D100" s="548"/>
      <c r="E100" s="548"/>
      <c r="I100" s="542"/>
      <c r="J100" s="542"/>
      <c r="K100" s="558"/>
    </row>
    <row r="101" spans="1:11" x14ac:dyDescent="0.35">
      <c r="A101" s="551"/>
      <c r="B101" s="194">
        <f t="shared" si="11"/>
        <v>123</v>
      </c>
      <c r="C101" s="545"/>
      <c r="D101" s="548"/>
      <c r="E101" s="548"/>
      <c r="F101" s="505" t="b">
        <v>0</v>
      </c>
      <c r="G101" t="s">
        <v>2</v>
      </c>
      <c r="H101" s="3" t="s">
        <v>140</v>
      </c>
      <c r="I101" s="542"/>
      <c r="J101" s="542"/>
      <c r="K101" s="558"/>
    </row>
    <row r="102" spans="1:11" ht="3.75" customHeight="1" x14ac:dyDescent="0.35">
      <c r="A102" s="551"/>
      <c r="B102" s="194">
        <f t="shared" si="11"/>
        <v>124</v>
      </c>
      <c r="C102" s="545"/>
      <c r="D102" s="548"/>
      <c r="E102" s="548"/>
      <c r="I102" s="542"/>
      <c r="J102" s="542"/>
      <c r="K102" s="558"/>
    </row>
    <row r="103" spans="1:11" x14ac:dyDescent="0.35">
      <c r="A103" s="551"/>
      <c r="B103" s="194">
        <f t="shared" si="11"/>
        <v>125</v>
      </c>
      <c r="C103" s="545"/>
      <c r="D103" s="548"/>
      <c r="E103" s="548"/>
      <c r="F103" s="525" t="b">
        <v>0</v>
      </c>
      <c r="G103" s="44" t="s">
        <v>141</v>
      </c>
      <c r="H103" s="9" t="s">
        <v>142</v>
      </c>
      <c r="I103" s="542"/>
      <c r="J103" s="542"/>
      <c r="K103" s="558"/>
    </row>
    <row r="104" spans="1:11" ht="3.75" customHeight="1" x14ac:dyDescent="0.35">
      <c r="A104" s="551"/>
      <c r="B104" s="194">
        <f t="shared" si="11"/>
        <v>126</v>
      </c>
      <c r="C104" s="545"/>
      <c r="D104" s="548"/>
      <c r="E104" s="548"/>
      <c r="I104" s="542"/>
      <c r="J104" s="542"/>
      <c r="K104" s="558"/>
    </row>
    <row r="105" spans="1:11" ht="29.5" thickBot="1" x14ac:dyDescent="0.4">
      <c r="A105" s="552"/>
      <c r="B105" s="194">
        <f t="shared" si="11"/>
        <v>127</v>
      </c>
      <c r="C105" s="546"/>
      <c r="D105" s="549"/>
      <c r="E105" s="549"/>
      <c r="F105" s="506" t="b">
        <v>0</v>
      </c>
      <c r="G105" s="99" t="s">
        <v>93</v>
      </c>
      <c r="H105" s="55" t="s">
        <v>143</v>
      </c>
      <c r="I105" s="543"/>
      <c r="J105" s="543"/>
      <c r="K105" s="559"/>
    </row>
    <row r="106" spans="1:11" ht="4.5" customHeight="1" thickBot="1" x14ac:dyDescent="0.4">
      <c r="C106" s="191"/>
      <c r="D106" s="132"/>
      <c r="E106" s="132"/>
      <c r="F106" s="30"/>
      <c r="G106" s="30"/>
      <c r="H106" s="33"/>
      <c r="I106" s="191"/>
      <c r="J106" s="191"/>
      <c r="K106" s="32"/>
    </row>
    <row r="107" spans="1:11" ht="15" customHeight="1" x14ac:dyDescent="0.35">
      <c r="A107" s="550">
        <f>A99+1</f>
        <v>13</v>
      </c>
      <c r="B107" s="193">
        <f>B99+10</f>
        <v>131</v>
      </c>
      <c r="C107" s="544"/>
      <c r="D107" s="547"/>
      <c r="E107" s="547"/>
      <c r="F107" s="504" t="b">
        <v>0</v>
      </c>
      <c r="G107" s="62" t="s">
        <v>138</v>
      </c>
      <c r="H107" s="75" t="s">
        <v>139</v>
      </c>
      <c r="I107" s="541"/>
      <c r="J107" s="541"/>
      <c r="K107" s="557"/>
    </row>
    <row r="108" spans="1:11" ht="3.75" customHeight="1" x14ac:dyDescent="0.35">
      <c r="A108" s="551"/>
      <c r="B108" s="194">
        <f t="shared" ref="B108:B113" si="12">B107+1</f>
        <v>132</v>
      </c>
      <c r="C108" s="545"/>
      <c r="D108" s="548"/>
      <c r="E108" s="548"/>
      <c r="I108" s="542"/>
      <c r="J108" s="542"/>
      <c r="K108" s="558"/>
    </row>
    <row r="109" spans="1:11" x14ac:dyDescent="0.35">
      <c r="A109" s="551"/>
      <c r="B109" s="194">
        <f t="shared" si="12"/>
        <v>133</v>
      </c>
      <c r="C109" s="545"/>
      <c r="D109" s="548"/>
      <c r="E109" s="548"/>
      <c r="F109" s="505" t="b">
        <v>0</v>
      </c>
      <c r="G109" t="s">
        <v>2</v>
      </c>
      <c r="H109" s="3" t="s">
        <v>140</v>
      </c>
      <c r="I109" s="542"/>
      <c r="J109" s="542"/>
      <c r="K109" s="558"/>
    </row>
    <row r="110" spans="1:11" ht="3.75" customHeight="1" x14ac:dyDescent="0.35">
      <c r="A110" s="551"/>
      <c r="B110" s="194">
        <f t="shared" si="12"/>
        <v>134</v>
      </c>
      <c r="C110" s="545"/>
      <c r="D110" s="548"/>
      <c r="E110" s="548"/>
      <c r="I110" s="542"/>
      <c r="J110" s="542"/>
      <c r="K110" s="558"/>
    </row>
    <row r="111" spans="1:11" x14ac:dyDescent="0.35">
      <c r="A111" s="551"/>
      <c r="B111" s="194">
        <f t="shared" si="12"/>
        <v>135</v>
      </c>
      <c r="C111" s="545"/>
      <c r="D111" s="548"/>
      <c r="E111" s="548"/>
      <c r="F111" s="525" t="b">
        <v>0</v>
      </c>
      <c r="G111" s="44" t="s">
        <v>141</v>
      </c>
      <c r="H111" s="9" t="s">
        <v>142</v>
      </c>
      <c r="I111" s="542"/>
      <c r="J111" s="542"/>
      <c r="K111" s="558"/>
    </row>
    <row r="112" spans="1:11" ht="3.75" customHeight="1" x14ac:dyDescent="0.35">
      <c r="A112" s="551"/>
      <c r="B112" s="194">
        <f t="shared" si="12"/>
        <v>136</v>
      </c>
      <c r="C112" s="545"/>
      <c r="D112" s="548"/>
      <c r="E112" s="548"/>
      <c r="I112" s="542"/>
      <c r="J112" s="542"/>
      <c r="K112" s="558"/>
    </row>
    <row r="113" spans="1:11" ht="29.5" thickBot="1" x14ac:dyDescent="0.4">
      <c r="A113" s="552"/>
      <c r="B113" s="194">
        <f t="shared" si="12"/>
        <v>137</v>
      </c>
      <c r="C113" s="546"/>
      <c r="D113" s="549"/>
      <c r="E113" s="549"/>
      <c r="F113" s="506" t="b">
        <v>0</v>
      </c>
      <c r="G113" s="99" t="s">
        <v>93</v>
      </c>
      <c r="H113" s="55" t="s">
        <v>143</v>
      </c>
      <c r="I113" s="543"/>
      <c r="J113" s="543"/>
      <c r="K113" s="559"/>
    </row>
    <row r="114" spans="1:11" ht="4.5" customHeight="1" thickBot="1" x14ac:dyDescent="0.4">
      <c r="C114" s="191"/>
      <c r="D114" s="132"/>
      <c r="E114" s="132"/>
      <c r="F114" s="30"/>
      <c r="G114" s="30"/>
      <c r="H114" s="33"/>
      <c r="I114" s="191"/>
      <c r="J114" s="191"/>
      <c r="K114" s="32"/>
    </row>
    <row r="115" spans="1:11" ht="15" customHeight="1" x14ac:dyDescent="0.35">
      <c r="A115" s="550">
        <f>A107+1</f>
        <v>14</v>
      </c>
      <c r="B115" s="193">
        <f>B107+10</f>
        <v>141</v>
      </c>
      <c r="C115" s="544"/>
      <c r="D115" s="547"/>
      <c r="E115" s="547"/>
      <c r="F115" s="504" t="b">
        <v>0</v>
      </c>
      <c r="G115" s="62" t="s">
        <v>138</v>
      </c>
      <c r="H115" s="75" t="s">
        <v>139</v>
      </c>
      <c r="I115" s="541"/>
      <c r="J115" s="541"/>
      <c r="K115" s="557"/>
    </row>
    <row r="116" spans="1:11" ht="3.75" customHeight="1" x14ac:dyDescent="0.35">
      <c r="A116" s="551"/>
      <c r="B116" s="194">
        <f t="shared" ref="B116:B121" si="13">B115+1</f>
        <v>142</v>
      </c>
      <c r="C116" s="545"/>
      <c r="D116" s="548"/>
      <c r="E116" s="548"/>
      <c r="I116" s="542"/>
      <c r="J116" s="542"/>
      <c r="K116" s="558"/>
    </row>
    <row r="117" spans="1:11" x14ac:dyDescent="0.35">
      <c r="A117" s="551"/>
      <c r="B117" s="194">
        <f t="shared" si="13"/>
        <v>143</v>
      </c>
      <c r="C117" s="545"/>
      <c r="D117" s="548"/>
      <c r="E117" s="548"/>
      <c r="F117" s="505" t="b">
        <v>0</v>
      </c>
      <c r="G117" t="s">
        <v>2</v>
      </c>
      <c r="H117" s="3" t="s">
        <v>140</v>
      </c>
      <c r="I117" s="542"/>
      <c r="J117" s="542"/>
      <c r="K117" s="558"/>
    </row>
    <row r="118" spans="1:11" ht="3.75" customHeight="1" x14ac:dyDescent="0.35">
      <c r="A118" s="551"/>
      <c r="B118" s="194">
        <f t="shared" si="13"/>
        <v>144</v>
      </c>
      <c r="C118" s="545"/>
      <c r="D118" s="548"/>
      <c r="E118" s="548"/>
      <c r="I118" s="542"/>
      <c r="J118" s="542"/>
      <c r="K118" s="558"/>
    </row>
    <row r="119" spans="1:11" x14ac:dyDescent="0.35">
      <c r="A119" s="551"/>
      <c r="B119" s="194">
        <f t="shared" si="13"/>
        <v>145</v>
      </c>
      <c r="C119" s="545"/>
      <c r="D119" s="548"/>
      <c r="E119" s="548"/>
      <c r="F119" s="525" t="b">
        <v>0</v>
      </c>
      <c r="G119" s="44" t="s">
        <v>141</v>
      </c>
      <c r="H119" s="9" t="s">
        <v>142</v>
      </c>
      <c r="I119" s="542"/>
      <c r="J119" s="542"/>
      <c r="K119" s="558"/>
    </row>
    <row r="120" spans="1:11" ht="3.75" customHeight="1" x14ac:dyDescent="0.35">
      <c r="A120" s="551"/>
      <c r="B120" s="194">
        <f t="shared" si="13"/>
        <v>146</v>
      </c>
      <c r="C120" s="545"/>
      <c r="D120" s="548"/>
      <c r="E120" s="548"/>
      <c r="I120" s="542"/>
      <c r="J120" s="542"/>
      <c r="K120" s="558"/>
    </row>
    <row r="121" spans="1:11" ht="29.5" thickBot="1" x14ac:dyDescent="0.4">
      <c r="A121" s="552"/>
      <c r="B121" s="194">
        <f t="shared" si="13"/>
        <v>147</v>
      </c>
      <c r="C121" s="546"/>
      <c r="D121" s="549"/>
      <c r="E121" s="549"/>
      <c r="F121" s="506" t="b">
        <v>0</v>
      </c>
      <c r="G121" s="99" t="s">
        <v>93</v>
      </c>
      <c r="H121" s="55" t="s">
        <v>143</v>
      </c>
      <c r="I121" s="543"/>
      <c r="J121" s="543"/>
      <c r="K121" s="559"/>
    </row>
    <row r="122" spans="1:11" ht="4.5" customHeight="1" thickBot="1" x14ac:dyDescent="0.4">
      <c r="C122" s="191"/>
      <c r="D122" s="132"/>
      <c r="E122" s="132"/>
      <c r="F122" s="30"/>
      <c r="G122" s="30"/>
      <c r="H122" s="33"/>
      <c r="I122" s="191"/>
      <c r="J122" s="191"/>
      <c r="K122" s="32"/>
    </row>
    <row r="123" spans="1:11" ht="15" customHeight="1" x14ac:dyDescent="0.35">
      <c r="A123" s="550">
        <f>A115+1</f>
        <v>15</v>
      </c>
      <c r="B123" s="193">
        <f>B115+10</f>
        <v>151</v>
      </c>
      <c r="C123" s="544"/>
      <c r="D123" s="547"/>
      <c r="E123" s="547"/>
      <c r="F123" s="504" t="b">
        <v>0</v>
      </c>
      <c r="G123" s="62" t="s">
        <v>138</v>
      </c>
      <c r="H123" s="75" t="s">
        <v>139</v>
      </c>
      <c r="I123" s="541"/>
      <c r="J123" s="541"/>
      <c r="K123" s="557"/>
    </row>
    <row r="124" spans="1:11" ht="3.75" customHeight="1" x14ac:dyDescent="0.35">
      <c r="A124" s="551"/>
      <c r="B124" s="194">
        <f t="shared" ref="B124:B129" si="14">B123+1</f>
        <v>152</v>
      </c>
      <c r="C124" s="545"/>
      <c r="D124" s="548"/>
      <c r="E124" s="548"/>
      <c r="I124" s="542"/>
      <c r="J124" s="542"/>
      <c r="K124" s="558"/>
    </row>
    <row r="125" spans="1:11" x14ac:dyDescent="0.35">
      <c r="A125" s="551"/>
      <c r="B125" s="194">
        <f t="shared" si="14"/>
        <v>153</v>
      </c>
      <c r="C125" s="545"/>
      <c r="D125" s="548"/>
      <c r="E125" s="548"/>
      <c r="F125" s="505" t="b">
        <v>0</v>
      </c>
      <c r="G125" t="s">
        <v>2</v>
      </c>
      <c r="H125" s="3" t="s">
        <v>140</v>
      </c>
      <c r="I125" s="542"/>
      <c r="J125" s="542"/>
      <c r="K125" s="558"/>
    </row>
    <row r="126" spans="1:11" ht="3.75" customHeight="1" x14ac:dyDescent="0.35">
      <c r="A126" s="551"/>
      <c r="B126" s="194">
        <f t="shared" si="14"/>
        <v>154</v>
      </c>
      <c r="C126" s="545"/>
      <c r="D126" s="548"/>
      <c r="E126" s="548"/>
      <c r="I126" s="542"/>
      <c r="J126" s="542"/>
      <c r="K126" s="558"/>
    </row>
    <row r="127" spans="1:11" x14ac:dyDescent="0.35">
      <c r="A127" s="551"/>
      <c r="B127" s="194">
        <f t="shared" si="14"/>
        <v>155</v>
      </c>
      <c r="C127" s="545"/>
      <c r="D127" s="548"/>
      <c r="E127" s="548"/>
      <c r="F127" s="525" t="b">
        <v>0</v>
      </c>
      <c r="G127" s="44" t="s">
        <v>141</v>
      </c>
      <c r="H127" s="9" t="s">
        <v>142</v>
      </c>
      <c r="I127" s="542"/>
      <c r="J127" s="542"/>
      <c r="K127" s="558"/>
    </row>
    <row r="128" spans="1:11" ht="3.75" customHeight="1" x14ac:dyDescent="0.35">
      <c r="A128" s="551"/>
      <c r="B128" s="194">
        <f t="shared" si="14"/>
        <v>156</v>
      </c>
      <c r="C128" s="545"/>
      <c r="D128" s="548"/>
      <c r="E128" s="548"/>
      <c r="I128" s="542"/>
      <c r="J128" s="542"/>
      <c r="K128" s="558"/>
    </row>
    <row r="129" spans="1:11" ht="29.5" thickBot="1" x14ac:dyDescent="0.4">
      <c r="A129" s="552"/>
      <c r="B129" s="194">
        <f t="shared" si="14"/>
        <v>157</v>
      </c>
      <c r="C129" s="546"/>
      <c r="D129" s="549"/>
      <c r="E129" s="549"/>
      <c r="F129" s="506" t="b">
        <v>0</v>
      </c>
      <c r="G129" s="99" t="s">
        <v>93</v>
      </c>
      <c r="H129" s="55" t="s">
        <v>143</v>
      </c>
      <c r="I129" s="543"/>
      <c r="J129" s="543"/>
      <c r="K129" s="559"/>
    </row>
    <row r="130" spans="1:11" ht="4.5" customHeight="1" thickBot="1" x14ac:dyDescent="0.4">
      <c r="C130" s="191"/>
      <c r="D130" s="132"/>
      <c r="E130" s="132"/>
      <c r="F130" s="30"/>
      <c r="G130" s="30"/>
      <c r="H130" s="33"/>
      <c r="I130" s="191"/>
      <c r="J130" s="191"/>
      <c r="K130" s="32"/>
    </row>
    <row r="131" spans="1:11" ht="15" customHeight="1" x14ac:dyDescent="0.35">
      <c r="A131" s="550">
        <f>A123+1</f>
        <v>16</v>
      </c>
      <c r="B131" s="193">
        <f>B123+10</f>
        <v>161</v>
      </c>
      <c r="C131" s="544"/>
      <c r="D131" s="547"/>
      <c r="E131" s="547"/>
      <c r="F131" s="504" t="b">
        <v>0</v>
      </c>
      <c r="G131" s="62" t="s">
        <v>138</v>
      </c>
      <c r="H131" s="75" t="s">
        <v>139</v>
      </c>
      <c r="I131" s="541"/>
      <c r="J131" s="541"/>
      <c r="K131" s="557"/>
    </row>
    <row r="132" spans="1:11" ht="3.75" customHeight="1" x14ac:dyDescent="0.35">
      <c r="A132" s="551"/>
      <c r="B132" s="194">
        <f t="shared" ref="B132:B137" si="15">B131+1</f>
        <v>162</v>
      </c>
      <c r="C132" s="545"/>
      <c r="D132" s="548"/>
      <c r="E132" s="548"/>
      <c r="I132" s="542"/>
      <c r="J132" s="542"/>
      <c r="K132" s="558"/>
    </row>
    <row r="133" spans="1:11" x14ac:dyDescent="0.35">
      <c r="A133" s="551"/>
      <c r="B133" s="194">
        <f t="shared" si="15"/>
        <v>163</v>
      </c>
      <c r="C133" s="545"/>
      <c r="D133" s="548"/>
      <c r="E133" s="548"/>
      <c r="F133" s="505" t="b">
        <v>0</v>
      </c>
      <c r="G133" t="s">
        <v>2</v>
      </c>
      <c r="H133" s="3" t="s">
        <v>140</v>
      </c>
      <c r="I133" s="542"/>
      <c r="J133" s="542"/>
      <c r="K133" s="558"/>
    </row>
    <row r="134" spans="1:11" ht="3.75" customHeight="1" x14ac:dyDescent="0.35">
      <c r="A134" s="551"/>
      <c r="B134" s="194">
        <f t="shared" si="15"/>
        <v>164</v>
      </c>
      <c r="C134" s="545"/>
      <c r="D134" s="548"/>
      <c r="E134" s="548"/>
      <c r="I134" s="542"/>
      <c r="J134" s="542"/>
      <c r="K134" s="558"/>
    </row>
    <row r="135" spans="1:11" x14ac:dyDescent="0.35">
      <c r="A135" s="551"/>
      <c r="B135" s="194">
        <f t="shared" si="15"/>
        <v>165</v>
      </c>
      <c r="C135" s="545"/>
      <c r="D135" s="548"/>
      <c r="E135" s="548"/>
      <c r="F135" s="525" t="b">
        <v>0</v>
      </c>
      <c r="G135" s="44" t="s">
        <v>141</v>
      </c>
      <c r="H135" s="9" t="s">
        <v>142</v>
      </c>
      <c r="I135" s="542"/>
      <c r="J135" s="542"/>
      <c r="K135" s="558"/>
    </row>
    <row r="136" spans="1:11" ht="3.75" customHeight="1" x14ac:dyDescent="0.35">
      <c r="A136" s="551"/>
      <c r="B136" s="194">
        <f t="shared" si="15"/>
        <v>166</v>
      </c>
      <c r="C136" s="545"/>
      <c r="D136" s="548"/>
      <c r="E136" s="548"/>
      <c r="I136" s="542"/>
      <c r="J136" s="542"/>
      <c r="K136" s="558"/>
    </row>
    <row r="137" spans="1:11" ht="29.5" thickBot="1" x14ac:dyDescent="0.4">
      <c r="A137" s="552"/>
      <c r="B137" s="194">
        <f t="shared" si="15"/>
        <v>167</v>
      </c>
      <c r="C137" s="546"/>
      <c r="D137" s="549"/>
      <c r="E137" s="549"/>
      <c r="F137" s="506" t="b">
        <v>0</v>
      </c>
      <c r="G137" s="99" t="s">
        <v>93</v>
      </c>
      <c r="H137" s="55" t="s">
        <v>143</v>
      </c>
      <c r="I137" s="543"/>
      <c r="J137" s="543"/>
      <c r="K137" s="559"/>
    </row>
    <row r="138" spans="1:11" ht="4.5" customHeight="1" thickBot="1" x14ac:dyDescent="0.4">
      <c r="C138" s="191"/>
      <c r="D138" s="132"/>
      <c r="E138" s="132"/>
      <c r="F138" s="30"/>
      <c r="G138" s="30"/>
      <c r="H138" s="33"/>
      <c r="I138" s="191"/>
      <c r="J138" s="191"/>
      <c r="K138" s="32"/>
    </row>
    <row r="139" spans="1:11" ht="15" customHeight="1" x14ac:dyDescent="0.35">
      <c r="A139" s="550">
        <f>A131+1</f>
        <v>17</v>
      </c>
      <c r="B139" s="193">
        <f>B131+10</f>
        <v>171</v>
      </c>
      <c r="C139" s="544"/>
      <c r="D139" s="547"/>
      <c r="E139" s="547"/>
      <c r="F139" s="504" t="b">
        <v>0</v>
      </c>
      <c r="G139" s="62" t="s">
        <v>138</v>
      </c>
      <c r="H139" s="75" t="s">
        <v>139</v>
      </c>
      <c r="I139" s="541"/>
      <c r="J139" s="541"/>
      <c r="K139" s="557"/>
    </row>
    <row r="140" spans="1:11" ht="3.75" customHeight="1" x14ac:dyDescent="0.35">
      <c r="A140" s="551"/>
      <c r="B140" s="194">
        <f t="shared" ref="B140:B145" si="16">B139+1</f>
        <v>172</v>
      </c>
      <c r="C140" s="545"/>
      <c r="D140" s="548"/>
      <c r="E140" s="548"/>
      <c r="I140" s="542"/>
      <c r="J140" s="542"/>
      <c r="K140" s="558"/>
    </row>
    <row r="141" spans="1:11" x14ac:dyDescent="0.35">
      <c r="A141" s="551"/>
      <c r="B141" s="194">
        <f t="shared" si="16"/>
        <v>173</v>
      </c>
      <c r="C141" s="545"/>
      <c r="D141" s="548"/>
      <c r="E141" s="548"/>
      <c r="F141" s="505" t="b">
        <v>0</v>
      </c>
      <c r="G141" t="s">
        <v>2</v>
      </c>
      <c r="H141" s="3" t="s">
        <v>140</v>
      </c>
      <c r="I141" s="542"/>
      <c r="J141" s="542"/>
      <c r="K141" s="558"/>
    </row>
    <row r="142" spans="1:11" ht="3.75" customHeight="1" x14ac:dyDescent="0.35">
      <c r="A142" s="551"/>
      <c r="B142" s="194">
        <f t="shared" si="16"/>
        <v>174</v>
      </c>
      <c r="C142" s="545"/>
      <c r="D142" s="548"/>
      <c r="E142" s="548"/>
      <c r="I142" s="542"/>
      <c r="J142" s="542"/>
      <c r="K142" s="558"/>
    </row>
    <row r="143" spans="1:11" x14ac:dyDescent="0.35">
      <c r="A143" s="551"/>
      <c r="B143" s="194">
        <f t="shared" si="16"/>
        <v>175</v>
      </c>
      <c r="C143" s="545"/>
      <c r="D143" s="548"/>
      <c r="E143" s="548"/>
      <c r="F143" s="525" t="b">
        <v>0</v>
      </c>
      <c r="G143" s="44" t="s">
        <v>141</v>
      </c>
      <c r="H143" s="9" t="s">
        <v>142</v>
      </c>
      <c r="I143" s="542"/>
      <c r="J143" s="542"/>
      <c r="K143" s="558"/>
    </row>
    <row r="144" spans="1:11" ht="3.75" customHeight="1" x14ac:dyDescent="0.35">
      <c r="A144" s="551"/>
      <c r="B144" s="194">
        <f t="shared" si="16"/>
        <v>176</v>
      </c>
      <c r="C144" s="545"/>
      <c r="D144" s="548"/>
      <c r="E144" s="548"/>
      <c r="I144" s="542"/>
      <c r="J144" s="542"/>
      <c r="K144" s="558"/>
    </row>
    <row r="145" spans="1:11" ht="29.5" thickBot="1" x14ac:dyDescent="0.4">
      <c r="A145" s="552"/>
      <c r="B145" s="194">
        <f t="shared" si="16"/>
        <v>177</v>
      </c>
      <c r="C145" s="546"/>
      <c r="D145" s="549"/>
      <c r="E145" s="549"/>
      <c r="F145" s="506" t="b">
        <v>0</v>
      </c>
      <c r="G145" s="99" t="s">
        <v>93</v>
      </c>
      <c r="H145" s="55" t="s">
        <v>143</v>
      </c>
      <c r="I145" s="543"/>
      <c r="J145" s="543"/>
      <c r="K145" s="559"/>
    </row>
    <row r="146" spans="1:11" ht="4.5" customHeight="1" thickBot="1" x14ac:dyDescent="0.4">
      <c r="C146" s="191"/>
      <c r="D146" s="132"/>
      <c r="E146" s="132"/>
      <c r="F146" s="30"/>
      <c r="G146" s="30"/>
      <c r="H146" s="33"/>
      <c r="I146" s="191"/>
      <c r="J146" s="191"/>
      <c r="K146" s="32"/>
    </row>
    <row r="147" spans="1:11" ht="15" customHeight="1" x14ac:dyDescent="0.35">
      <c r="A147" s="550">
        <f>A139+1</f>
        <v>18</v>
      </c>
      <c r="B147" s="193">
        <f>B139+10</f>
        <v>181</v>
      </c>
      <c r="C147" s="544"/>
      <c r="D147" s="547"/>
      <c r="E147" s="547"/>
      <c r="F147" s="504" t="b">
        <v>0</v>
      </c>
      <c r="G147" s="62" t="s">
        <v>138</v>
      </c>
      <c r="H147" s="75" t="s">
        <v>139</v>
      </c>
      <c r="I147" s="541"/>
      <c r="J147" s="541"/>
      <c r="K147" s="557"/>
    </row>
    <row r="148" spans="1:11" ht="3.75" customHeight="1" x14ac:dyDescent="0.35">
      <c r="A148" s="551"/>
      <c r="B148" s="194">
        <f t="shared" ref="B148:B153" si="17">B147+1</f>
        <v>182</v>
      </c>
      <c r="C148" s="545"/>
      <c r="D148" s="548"/>
      <c r="E148" s="548"/>
      <c r="I148" s="542"/>
      <c r="J148" s="542"/>
      <c r="K148" s="558"/>
    </row>
    <row r="149" spans="1:11" x14ac:dyDescent="0.35">
      <c r="A149" s="551"/>
      <c r="B149" s="194">
        <f t="shared" si="17"/>
        <v>183</v>
      </c>
      <c r="C149" s="545"/>
      <c r="D149" s="548"/>
      <c r="E149" s="548"/>
      <c r="F149" s="505" t="b">
        <v>0</v>
      </c>
      <c r="G149" t="s">
        <v>2</v>
      </c>
      <c r="H149" s="3" t="s">
        <v>140</v>
      </c>
      <c r="I149" s="542"/>
      <c r="J149" s="542"/>
      <c r="K149" s="558"/>
    </row>
    <row r="150" spans="1:11" ht="3.75" customHeight="1" x14ac:dyDescent="0.35">
      <c r="A150" s="551"/>
      <c r="B150" s="194">
        <f t="shared" si="17"/>
        <v>184</v>
      </c>
      <c r="C150" s="545"/>
      <c r="D150" s="548"/>
      <c r="E150" s="548"/>
      <c r="I150" s="542"/>
      <c r="J150" s="542"/>
      <c r="K150" s="558"/>
    </row>
    <row r="151" spans="1:11" x14ac:dyDescent="0.35">
      <c r="A151" s="551"/>
      <c r="B151" s="194">
        <f t="shared" si="17"/>
        <v>185</v>
      </c>
      <c r="C151" s="545"/>
      <c r="D151" s="548"/>
      <c r="E151" s="548"/>
      <c r="F151" s="525" t="b">
        <v>0</v>
      </c>
      <c r="G151" s="44" t="s">
        <v>141</v>
      </c>
      <c r="H151" s="9" t="s">
        <v>142</v>
      </c>
      <c r="I151" s="542"/>
      <c r="J151" s="542"/>
      <c r="K151" s="558"/>
    </row>
    <row r="152" spans="1:11" ht="3.75" customHeight="1" x14ac:dyDescent="0.35">
      <c r="A152" s="551"/>
      <c r="B152" s="194">
        <f t="shared" si="17"/>
        <v>186</v>
      </c>
      <c r="C152" s="545"/>
      <c r="D152" s="548"/>
      <c r="E152" s="548"/>
      <c r="I152" s="542"/>
      <c r="J152" s="542"/>
      <c r="K152" s="558"/>
    </row>
    <row r="153" spans="1:11" ht="29.5" thickBot="1" x14ac:dyDescent="0.4">
      <c r="A153" s="552"/>
      <c r="B153" s="194">
        <f t="shared" si="17"/>
        <v>187</v>
      </c>
      <c r="C153" s="546"/>
      <c r="D153" s="549"/>
      <c r="E153" s="549"/>
      <c r="F153" s="506" t="b">
        <v>0</v>
      </c>
      <c r="G153" s="99" t="s">
        <v>93</v>
      </c>
      <c r="H153" s="55" t="s">
        <v>143</v>
      </c>
      <c r="I153" s="543"/>
      <c r="J153" s="543"/>
      <c r="K153" s="559"/>
    </row>
    <row r="154" spans="1:11" ht="4.5" customHeight="1" thickBot="1" x14ac:dyDescent="0.4">
      <c r="C154" s="191"/>
      <c r="D154" s="132"/>
      <c r="E154" s="132"/>
      <c r="F154" s="30"/>
      <c r="G154" s="30"/>
      <c r="H154" s="33"/>
      <c r="I154" s="191"/>
      <c r="J154" s="191"/>
      <c r="K154" s="32"/>
    </row>
    <row r="155" spans="1:11" ht="15" customHeight="1" x14ac:dyDescent="0.35">
      <c r="A155" s="550">
        <f>A147+1</f>
        <v>19</v>
      </c>
      <c r="B155" s="193">
        <f>B147+10</f>
        <v>191</v>
      </c>
      <c r="C155" s="544"/>
      <c r="D155" s="547"/>
      <c r="E155" s="547"/>
      <c r="F155" s="504" t="b">
        <v>0</v>
      </c>
      <c r="G155" s="62" t="s">
        <v>138</v>
      </c>
      <c r="H155" s="75" t="s">
        <v>139</v>
      </c>
      <c r="I155" s="541"/>
      <c r="J155" s="541"/>
      <c r="K155" s="557"/>
    </row>
    <row r="156" spans="1:11" ht="3.75" customHeight="1" x14ac:dyDescent="0.35">
      <c r="A156" s="551"/>
      <c r="B156" s="194">
        <f t="shared" ref="B156:B161" si="18">B155+1</f>
        <v>192</v>
      </c>
      <c r="C156" s="545"/>
      <c r="D156" s="548"/>
      <c r="E156" s="548"/>
      <c r="I156" s="542"/>
      <c r="J156" s="542"/>
      <c r="K156" s="558"/>
    </row>
    <row r="157" spans="1:11" x14ac:dyDescent="0.35">
      <c r="A157" s="551"/>
      <c r="B157" s="194">
        <f t="shared" si="18"/>
        <v>193</v>
      </c>
      <c r="C157" s="545"/>
      <c r="D157" s="548"/>
      <c r="E157" s="548"/>
      <c r="F157" s="505" t="b">
        <v>0</v>
      </c>
      <c r="G157" t="s">
        <v>2</v>
      </c>
      <c r="H157" s="3" t="s">
        <v>140</v>
      </c>
      <c r="I157" s="542"/>
      <c r="J157" s="542"/>
      <c r="K157" s="558"/>
    </row>
    <row r="158" spans="1:11" ht="3.75" customHeight="1" x14ac:dyDescent="0.35">
      <c r="A158" s="551"/>
      <c r="B158" s="194">
        <f t="shared" si="18"/>
        <v>194</v>
      </c>
      <c r="C158" s="545"/>
      <c r="D158" s="548"/>
      <c r="E158" s="548"/>
      <c r="I158" s="542"/>
      <c r="J158" s="542"/>
      <c r="K158" s="558"/>
    </row>
    <row r="159" spans="1:11" x14ac:dyDescent="0.35">
      <c r="A159" s="551"/>
      <c r="B159" s="194">
        <f t="shared" si="18"/>
        <v>195</v>
      </c>
      <c r="C159" s="545"/>
      <c r="D159" s="548"/>
      <c r="E159" s="548"/>
      <c r="F159" s="525" t="b">
        <v>0</v>
      </c>
      <c r="G159" s="44" t="s">
        <v>141</v>
      </c>
      <c r="H159" s="9" t="s">
        <v>142</v>
      </c>
      <c r="I159" s="542"/>
      <c r="J159" s="542"/>
      <c r="K159" s="558"/>
    </row>
    <row r="160" spans="1:11" ht="3.75" customHeight="1" x14ac:dyDescent="0.35">
      <c r="A160" s="551"/>
      <c r="B160" s="194">
        <f t="shared" si="18"/>
        <v>196</v>
      </c>
      <c r="C160" s="545"/>
      <c r="D160" s="548"/>
      <c r="E160" s="548"/>
      <c r="I160" s="542"/>
      <c r="J160" s="542"/>
      <c r="K160" s="558"/>
    </row>
    <row r="161" spans="1:11" ht="29.5" thickBot="1" x14ac:dyDescent="0.4">
      <c r="A161" s="552"/>
      <c r="B161" s="194">
        <f t="shared" si="18"/>
        <v>197</v>
      </c>
      <c r="C161" s="546"/>
      <c r="D161" s="549"/>
      <c r="E161" s="549"/>
      <c r="F161" s="506" t="b">
        <v>0</v>
      </c>
      <c r="G161" s="99" t="s">
        <v>93</v>
      </c>
      <c r="H161" s="55" t="s">
        <v>143</v>
      </c>
      <c r="I161" s="543"/>
      <c r="J161" s="543"/>
      <c r="K161" s="559"/>
    </row>
    <row r="162" spans="1:11" ht="4.5" customHeight="1" thickBot="1" x14ac:dyDescent="0.4">
      <c r="C162" s="191"/>
      <c r="D162" s="132"/>
      <c r="E162" s="132"/>
      <c r="F162" s="30"/>
      <c r="G162" s="30"/>
      <c r="H162" s="33"/>
      <c r="I162" s="191"/>
      <c r="J162" s="191"/>
      <c r="K162" s="32"/>
    </row>
    <row r="163" spans="1:11" ht="15" customHeight="1" x14ac:dyDescent="0.35">
      <c r="A163" s="550">
        <f>A155+1</f>
        <v>20</v>
      </c>
      <c r="B163" s="193">
        <f>B155+10</f>
        <v>201</v>
      </c>
      <c r="C163" s="544"/>
      <c r="D163" s="547"/>
      <c r="E163" s="547"/>
      <c r="F163" s="504" t="b">
        <v>0</v>
      </c>
      <c r="G163" s="62" t="s">
        <v>138</v>
      </c>
      <c r="H163" s="75" t="s">
        <v>139</v>
      </c>
      <c r="I163" s="541"/>
      <c r="J163" s="541"/>
      <c r="K163" s="557"/>
    </row>
    <row r="164" spans="1:11" ht="3.75" customHeight="1" x14ac:dyDescent="0.35">
      <c r="A164" s="551"/>
      <c r="B164" s="194">
        <f t="shared" ref="B164:B169" si="19">B163+1</f>
        <v>202</v>
      </c>
      <c r="C164" s="545"/>
      <c r="D164" s="548"/>
      <c r="E164" s="548"/>
      <c r="I164" s="542"/>
      <c r="J164" s="542"/>
      <c r="K164" s="558"/>
    </row>
    <row r="165" spans="1:11" x14ac:dyDescent="0.35">
      <c r="A165" s="551"/>
      <c r="B165" s="194">
        <f t="shared" si="19"/>
        <v>203</v>
      </c>
      <c r="C165" s="545"/>
      <c r="D165" s="548"/>
      <c r="E165" s="548"/>
      <c r="F165" s="505" t="b">
        <v>0</v>
      </c>
      <c r="G165" t="s">
        <v>2</v>
      </c>
      <c r="H165" s="3" t="s">
        <v>140</v>
      </c>
      <c r="I165" s="542"/>
      <c r="J165" s="542"/>
      <c r="K165" s="558"/>
    </row>
    <row r="166" spans="1:11" ht="3.75" customHeight="1" x14ac:dyDescent="0.35">
      <c r="A166" s="551"/>
      <c r="B166" s="194">
        <f t="shared" si="19"/>
        <v>204</v>
      </c>
      <c r="C166" s="545"/>
      <c r="D166" s="548"/>
      <c r="E166" s="548"/>
      <c r="I166" s="542"/>
      <c r="J166" s="542"/>
      <c r="K166" s="558"/>
    </row>
    <row r="167" spans="1:11" x14ac:dyDescent="0.35">
      <c r="A167" s="551"/>
      <c r="B167" s="194">
        <f t="shared" si="19"/>
        <v>205</v>
      </c>
      <c r="C167" s="545"/>
      <c r="D167" s="548"/>
      <c r="E167" s="548"/>
      <c r="F167" s="525" t="b">
        <v>0</v>
      </c>
      <c r="G167" s="44" t="s">
        <v>141</v>
      </c>
      <c r="H167" s="9" t="s">
        <v>142</v>
      </c>
      <c r="I167" s="542"/>
      <c r="J167" s="542"/>
      <c r="K167" s="558"/>
    </row>
    <row r="168" spans="1:11" ht="3.75" customHeight="1" x14ac:dyDescent="0.35">
      <c r="A168" s="551"/>
      <c r="B168" s="194">
        <f t="shared" si="19"/>
        <v>206</v>
      </c>
      <c r="C168" s="545"/>
      <c r="D168" s="548"/>
      <c r="E168" s="548"/>
      <c r="I168" s="542"/>
      <c r="J168" s="542"/>
      <c r="K168" s="558"/>
    </row>
    <row r="169" spans="1:11" ht="29.5" thickBot="1" x14ac:dyDescent="0.4">
      <c r="A169" s="552"/>
      <c r="B169" s="194">
        <f t="shared" si="19"/>
        <v>207</v>
      </c>
      <c r="C169" s="546"/>
      <c r="D169" s="549"/>
      <c r="E169" s="549"/>
      <c r="F169" s="506" t="b">
        <v>0</v>
      </c>
      <c r="G169" s="99" t="s">
        <v>93</v>
      </c>
      <c r="H169" s="55" t="s">
        <v>143</v>
      </c>
      <c r="I169" s="543"/>
      <c r="J169" s="543"/>
      <c r="K169" s="559"/>
    </row>
    <row r="170" spans="1:11" ht="7.5" customHeight="1" x14ac:dyDescent="0.35">
      <c r="C170" s="192"/>
      <c r="D170" s="32"/>
      <c r="E170" s="32"/>
      <c r="F170" s="30"/>
      <c r="G170" s="30"/>
      <c r="H170" s="33"/>
      <c r="I170" s="192"/>
      <c r="J170" s="192"/>
      <c r="K170" s="32"/>
    </row>
  </sheetData>
  <mergeCells count="149">
    <mergeCell ref="A5:A9"/>
    <mergeCell ref="F5:H5"/>
    <mergeCell ref="F6:H6"/>
    <mergeCell ref="F7:H7"/>
    <mergeCell ref="F8:H8"/>
    <mergeCell ref="F9:H9"/>
    <mergeCell ref="K163:K169"/>
    <mergeCell ref="K59:K65"/>
    <mergeCell ref="K67:K73"/>
    <mergeCell ref="K75:K81"/>
    <mergeCell ref="K83:K89"/>
    <mergeCell ref="K91:K97"/>
    <mergeCell ref="K99:K105"/>
    <mergeCell ref="K107:K113"/>
    <mergeCell ref="K115:K121"/>
    <mergeCell ref="K123:K129"/>
    <mergeCell ref="A163:A169"/>
    <mergeCell ref="C163:C169"/>
    <mergeCell ref="D163:D169"/>
    <mergeCell ref="E163:E169"/>
    <mergeCell ref="I163:I169"/>
    <mergeCell ref="J163:J169"/>
    <mergeCell ref="A155:A161"/>
    <mergeCell ref="C155:C161"/>
    <mergeCell ref="F3:H3"/>
    <mergeCell ref="K11:K17"/>
    <mergeCell ref="K19:K25"/>
    <mergeCell ref="K27:K33"/>
    <mergeCell ref="K35:K41"/>
    <mergeCell ref="K43:K49"/>
    <mergeCell ref="K51:K57"/>
    <mergeCell ref="J155:J161"/>
    <mergeCell ref="J139:J145"/>
    <mergeCell ref="J123:J129"/>
    <mergeCell ref="J107:J113"/>
    <mergeCell ref="J91:J97"/>
    <mergeCell ref="J75:J81"/>
    <mergeCell ref="I59:I65"/>
    <mergeCell ref="J59:J65"/>
    <mergeCell ref="K131:K137"/>
    <mergeCell ref="K139:K145"/>
    <mergeCell ref="K147:K153"/>
    <mergeCell ref="K155:K161"/>
    <mergeCell ref="F4:H4"/>
    <mergeCell ref="F10:H10"/>
    <mergeCell ref="J131:J137"/>
    <mergeCell ref="J115:J121"/>
    <mergeCell ref="J99:J105"/>
    <mergeCell ref="D155:D161"/>
    <mergeCell ref="E155:E161"/>
    <mergeCell ref="I155:I161"/>
    <mergeCell ref="A147:A153"/>
    <mergeCell ref="C147:C153"/>
    <mergeCell ref="D147:D153"/>
    <mergeCell ref="E147:E153"/>
    <mergeCell ref="I147:I153"/>
    <mergeCell ref="J147:J153"/>
    <mergeCell ref="A139:A145"/>
    <mergeCell ref="C139:C145"/>
    <mergeCell ref="D139:D145"/>
    <mergeCell ref="E139:E145"/>
    <mergeCell ref="I139:I145"/>
    <mergeCell ref="A131:A137"/>
    <mergeCell ref="C131:C137"/>
    <mergeCell ref="D131:D137"/>
    <mergeCell ref="E131:E137"/>
    <mergeCell ref="I131:I137"/>
    <mergeCell ref="A123:A129"/>
    <mergeCell ref="C123:C129"/>
    <mergeCell ref="D123:D129"/>
    <mergeCell ref="E123:E129"/>
    <mergeCell ref="I123:I129"/>
    <mergeCell ref="A115:A121"/>
    <mergeCell ref="C115:C121"/>
    <mergeCell ref="D115:D121"/>
    <mergeCell ref="E115:E121"/>
    <mergeCell ref="I115:I121"/>
    <mergeCell ref="A107:A113"/>
    <mergeCell ref="C107:C113"/>
    <mergeCell ref="D107:D113"/>
    <mergeCell ref="E107:E113"/>
    <mergeCell ref="I107:I113"/>
    <mergeCell ref="A99:A105"/>
    <mergeCell ref="C99:C105"/>
    <mergeCell ref="D99:D105"/>
    <mergeCell ref="E99:E105"/>
    <mergeCell ref="I99:I105"/>
    <mergeCell ref="A91:A97"/>
    <mergeCell ref="C91:C97"/>
    <mergeCell ref="D91:D97"/>
    <mergeCell ref="E91:E97"/>
    <mergeCell ref="I91:I97"/>
    <mergeCell ref="A83:A89"/>
    <mergeCell ref="C83:C89"/>
    <mergeCell ref="D83:D89"/>
    <mergeCell ref="E83:E89"/>
    <mergeCell ref="I83:I89"/>
    <mergeCell ref="J83:J89"/>
    <mergeCell ref="A75:A81"/>
    <mergeCell ref="C75:C81"/>
    <mergeCell ref="D75:D81"/>
    <mergeCell ref="E75:E81"/>
    <mergeCell ref="I75:I81"/>
    <mergeCell ref="A51:A57"/>
    <mergeCell ref="A59:A65"/>
    <mergeCell ref="A67:A73"/>
    <mergeCell ref="D51:D57"/>
    <mergeCell ref="E51:E57"/>
    <mergeCell ref="I51:I57"/>
    <mergeCell ref="J67:J73"/>
    <mergeCell ref="C59:C65"/>
    <mergeCell ref="D59:D65"/>
    <mergeCell ref="E59:E65"/>
    <mergeCell ref="J51:J57"/>
    <mergeCell ref="A19:A25"/>
    <mergeCell ref="A27:A33"/>
    <mergeCell ref="A35:A41"/>
    <mergeCell ref="A43:A49"/>
    <mergeCell ref="I11:I17"/>
    <mergeCell ref="J11:J17"/>
    <mergeCell ref="J35:J41"/>
    <mergeCell ref="I19:I25"/>
    <mergeCell ref="J19:J25"/>
    <mergeCell ref="C19:C25"/>
    <mergeCell ref="C11:C17"/>
    <mergeCell ref="D11:D17"/>
    <mergeCell ref="E11:E17"/>
    <mergeCell ref="C35:C41"/>
    <mergeCell ref="D35:D41"/>
    <mergeCell ref="E35:E41"/>
    <mergeCell ref="I35:I41"/>
    <mergeCell ref="A11:A17"/>
    <mergeCell ref="D19:D25"/>
    <mergeCell ref="E19:E25"/>
    <mergeCell ref="C43:C49"/>
    <mergeCell ref="D43:D49"/>
    <mergeCell ref="E43:E49"/>
    <mergeCell ref="I43:I49"/>
    <mergeCell ref="J43:J49"/>
    <mergeCell ref="C27:C33"/>
    <mergeCell ref="D27:D33"/>
    <mergeCell ref="E27:E33"/>
    <mergeCell ref="I27:I33"/>
    <mergeCell ref="J27:J33"/>
    <mergeCell ref="I67:I73"/>
    <mergeCell ref="C51:C57"/>
    <mergeCell ref="C67:C73"/>
    <mergeCell ref="D67:D73"/>
    <mergeCell ref="E67:E73"/>
  </mergeCells>
  <conditionalFormatting sqref="F15">
    <cfRule type="expression" dxfId="3418" priority="285">
      <formula>AND($F13=TRUE,F11=TRUE)</formula>
    </cfRule>
  </conditionalFormatting>
  <conditionalFormatting sqref="F23">
    <cfRule type="expression" dxfId="3417" priority="379">
      <formula>AND($F21=TRUE,F19=TRUE)</formula>
    </cfRule>
  </conditionalFormatting>
  <conditionalFormatting sqref="F31">
    <cfRule type="expression" dxfId="3416" priority="270">
      <formula>AND($F29=TRUE,F27=TRUE)</formula>
    </cfRule>
  </conditionalFormatting>
  <conditionalFormatting sqref="F39">
    <cfRule type="expression" dxfId="3415" priority="255">
      <formula>AND($F37=TRUE,F35=TRUE)</formula>
    </cfRule>
  </conditionalFormatting>
  <conditionalFormatting sqref="F47">
    <cfRule type="expression" dxfId="3414" priority="240">
      <formula>AND($F45=TRUE,F43=TRUE)</formula>
    </cfRule>
  </conditionalFormatting>
  <conditionalFormatting sqref="F55">
    <cfRule type="expression" dxfId="3413" priority="225">
      <formula>AND($F53=TRUE,F51=TRUE)</formula>
    </cfRule>
  </conditionalFormatting>
  <conditionalFormatting sqref="F63">
    <cfRule type="expression" dxfId="3412" priority="210">
      <formula>AND($F61=TRUE,F59=TRUE)</formula>
    </cfRule>
  </conditionalFormatting>
  <conditionalFormatting sqref="F71">
    <cfRule type="expression" dxfId="3411" priority="195">
      <formula>AND($F69=TRUE,F67=TRUE)</formula>
    </cfRule>
  </conditionalFormatting>
  <conditionalFormatting sqref="F79">
    <cfRule type="expression" dxfId="3410" priority="180">
      <formula>AND($F77=TRUE,F75=TRUE)</formula>
    </cfRule>
  </conditionalFormatting>
  <conditionalFormatting sqref="F87">
    <cfRule type="expression" dxfId="3409" priority="165">
      <formula>AND($F85=TRUE,F83=TRUE)</formula>
    </cfRule>
  </conditionalFormatting>
  <conditionalFormatting sqref="F95">
    <cfRule type="expression" dxfId="3408" priority="150">
      <formula>AND($F93=TRUE,F91=TRUE)</formula>
    </cfRule>
  </conditionalFormatting>
  <conditionalFormatting sqref="F103">
    <cfRule type="expression" dxfId="3407" priority="135">
      <formula>AND($F101=TRUE,F99=TRUE)</formula>
    </cfRule>
  </conditionalFormatting>
  <conditionalFormatting sqref="F111">
    <cfRule type="expression" dxfId="3406" priority="120">
      <formula>AND($F109=TRUE,F107=TRUE)</formula>
    </cfRule>
  </conditionalFormatting>
  <conditionalFormatting sqref="F119">
    <cfRule type="expression" dxfId="3405" priority="105">
      <formula>AND($F117=TRUE,F115=TRUE)</formula>
    </cfRule>
  </conditionalFormatting>
  <conditionalFormatting sqref="F127">
    <cfRule type="expression" dxfId="3404" priority="90">
      <formula>AND($F125=TRUE,F123=TRUE)</formula>
    </cfRule>
  </conditionalFormatting>
  <conditionalFormatting sqref="F135">
    <cfRule type="expression" dxfId="3403" priority="75">
      <formula>AND($F133=TRUE,F131=TRUE)</formula>
    </cfRule>
  </conditionalFormatting>
  <conditionalFormatting sqref="F143">
    <cfRule type="expression" dxfId="3402" priority="60">
      <formula>AND($F141=TRUE,F139=TRUE)</formula>
    </cfRule>
  </conditionalFormatting>
  <conditionalFormatting sqref="F151">
    <cfRule type="expression" dxfId="3401" priority="45">
      <formula>AND($F149=TRUE,F147=TRUE)</formula>
    </cfRule>
  </conditionalFormatting>
  <conditionalFormatting sqref="F159">
    <cfRule type="expression" dxfId="3400" priority="30">
      <formula>AND($F157=TRUE,F155=TRUE)</formula>
    </cfRule>
  </conditionalFormatting>
  <conditionalFormatting sqref="F167">
    <cfRule type="expression" dxfId="3399" priority="15">
      <formula>AND($F165=TRUE,F163=TRUE)</formula>
    </cfRule>
  </conditionalFormatting>
  <conditionalFormatting sqref="G15">
    <cfRule type="expression" dxfId="3318" priority="284">
      <formula>AND($F13=TRUE,F11=TRUE)</formula>
    </cfRule>
  </conditionalFormatting>
  <conditionalFormatting sqref="G23">
    <cfRule type="expression" dxfId="3317" priority="378">
      <formula>AND($F21=TRUE,F19=TRUE)</formula>
    </cfRule>
  </conditionalFormatting>
  <conditionalFormatting sqref="G31">
    <cfRule type="expression" dxfId="3316" priority="269">
      <formula>AND($F29=TRUE,F27=TRUE)</formula>
    </cfRule>
  </conditionalFormatting>
  <conditionalFormatting sqref="G39">
    <cfRule type="expression" dxfId="3315" priority="254">
      <formula>AND($F37=TRUE,F35=TRUE)</formula>
    </cfRule>
  </conditionalFormatting>
  <conditionalFormatting sqref="G47">
    <cfRule type="expression" dxfId="3314" priority="239">
      <formula>AND($F45=TRUE,F43=TRUE)</formula>
    </cfRule>
  </conditionalFormatting>
  <conditionalFormatting sqref="G55">
    <cfRule type="expression" dxfId="3313" priority="224">
      <formula>AND($F53=TRUE,F51=TRUE)</formula>
    </cfRule>
  </conditionalFormatting>
  <conditionalFormatting sqref="G63">
    <cfRule type="expression" dxfId="3312" priority="209">
      <formula>AND($F61=TRUE,F59=TRUE)</formula>
    </cfRule>
  </conditionalFormatting>
  <conditionalFormatting sqref="G71">
    <cfRule type="expression" dxfId="3311" priority="194">
      <formula>AND($F69=TRUE,F67=TRUE)</formula>
    </cfRule>
  </conditionalFormatting>
  <conditionalFormatting sqref="G79">
    <cfRule type="expression" dxfId="3310" priority="179">
      <formula>AND($F77=TRUE,F75=TRUE)</formula>
    </cfRule>
  </conditionalFormatting>
  <conditionalFormatting sqref="G87">
    <cfRule type="expression" dxfId="3309" priority="164">
      <formula>AND($F85=TRUE,F83=TRUE)</formula>
    </cfRule>
  </conditionalFormatting>
  <conditionalFormatting sqref="G95">
    <cfRule type="expression" dxfId="3308" priority="149">
      <formula>AND($F93=TRUE,F91=TRUE)</formula>
    </cfRule>
  </conditionalFormatting>
  <conditionalFormatting sqref="G103">
    <cfRule type="expression" dxfId="3307" priority="134">
      <formula>AND($F101=TRUE,F99=TRUE)</formula>
    </cfRule>
  </conditionalFormatting>
  <conditionalFormatting sqref="G111">
    <cfRule type="expression" dxfId="3306" priority="119">
      <formula>AND($F109=TRUE,F107=TRUE)</formula>
    </cfRule>
  </conditionalFormatting>
  <conditionalFormatting sqref="G119">
    <cfRule type="expression" dxfId="3305" priority="104">
      <formula>AND($F117=TRUE,F115=TRUE)</formula>
    </cfRule>
  </conditionalFormatting>
  <conditionalFormatting sqref="G127">
    <cfRule type="expression" dxfId="3304" priority="89">
      <formula>AND($F125=TRUE,F123=TRUE)</formula>
    </cfRule>
  </conditionalFormatting>
  <conditionalFormatting sqref="G135">
    <cfRule type="expression" dxfId="3303" priority="74">
      <formula>AND($F133=TRUE,F131=TRUE)</formula>
    </cfRule>
  </conditionalFormatting>
  <conditionalFormatting sqref="G143">
    <cfRule type="expression" dxfId="3302" priority="59">
      <formula>AND($F141=TRUE,F139=TRUE)</formula>
    </cfRule>
  </conditionalFormatting>
  <conditionalFormatting sqref="G151">
    <cfRule type="expression" dxfId="3301" priority="44">
      <formula>AND($F149=TRUE,F147=TRUE)</formula>
    </cfRule>
  </conditionalFormatting>
  <conditionalFormatting sqref="G159">
    <cfRule type="expression" dxfId="3300" priority="29">
      <formula>AND($F157=TRUE,F155=TRUE)</formula>
    </cfRule>
  </conditionalFormatting>
  <conditionalFormatting sqref="G167">
    <cfRule type="expression" dxfId="3299" priority="14">
      <formula>AND($F165=TRUE,F163=TRUE)</formula>
    </cfRule>
  </conditionalFormatting>
  <conditionalFormatting sqref="H15">
    <cfRule type="expression" dxfId="3296" priority="283">
      <formula>AND($F13=TRUE,F11=TRUE)</formula>
    </cfRule>
  </conditionalFormatting>
  <conditionalFormatting sqref="H23">
    <cfRule type="expression" dxfId="3292" priority="377">
      <formula>AND($F21=TRUE,F19=TRUE)</formula>
    </cfRule>
  </conditionalFormatting>
  <conditionalFormatting sqref="H31">
    <cfRule type="expression" dxfId="3289" priority="268">
      <formula>AND($F29=TRUE,F27=TRUE)</formula>
    </cfRule>
  </conditionalFormatting>
  <conditionalFormatting sqref="H39">
    <cfRule type="expression" dxfId="3284" priority="253">
      <formula>AND($F37=TRUE,F35=TRUE)</formula>
    </cfRule>
  </conditionalFormatting>
  <conditionalFormatting sqref="H47">
    <cfRule type="expression" dxfId="3280" priority="238">
      <formula>AND($F45=TRUE,F43=TRUE)</formula>
    </cfRule>
  </conditionalFormatting>
  <conditionalFormatting sqref="H55">
    <cfRule type="expression" dxfId="3276" priority="223">
      <formula>AND($F53=TRUE,F51=TRUE)</formula>
    </cfRule>
  </conditionalFormatting>
  <conditionalFormatting sqref="H63">
    <cfRule type="expression" dxfId="3273" priority="208">
      <formula>AND($F61=TRUE,F59=TRUE)</formula>
    </cfRule>
  </conditionalFormatting>
  <conditionalFormatting sqref="H71">
    <cfRule type="expression" dxfId="3269" priority="193">
      <formula>AND($F69=TRUE,F67=TRUE)</formula>
    </cfRule>
  </conditionalFormatting>
  <conditionalFormatting sqref="H79">
    <cfRule type="expression" dxfId="3265" priority="178">
      <formula>AND($F77=TRUE,F75=TRUE)</formula>
    </cfRule>
  </conditionalFormatting>
  <conditionalFormatting sqref="H87">
    <cfRule type="expression" dxfId="3261" priority="163">
      <formula>AND($F85=TRUE,F83=TRUE)</formula>
    </cfRule>
  </conditionalFormatting>
  <conditionalFormatting sqref="H95">
    <cfRule type="expression" dxfId="3256" priority="148">
      <formula>AND($F93=TRUE,F91=TRUE)</formula>
    </cfRule>
  </conditionalFormatting>
  <conditionalFormatting sqref="H103">
    <cfRule type="expression" dxfId="3253" priority="133">
      <formula>AND($F101=TRUE,F99=TRUE)</formula>
    </cfRule>
  </conditionalFormatting>
  <conditionalFormatting sqref="H111">
    <cfRule type="expression" dxfId="3248" priority="118">
      <formula>AND($F109=TRUE,F107=TRUE)</formula>
    </cfRule>
  </conditionalFormatting>
  <conditionalFormatting sqref="H119">
    <cfRule type="expression" dxfId="3245" priority="103">
      <formula>AND($F117=TRUE,F115=TRUE)</formula>
    </cfRule>
  </conditionalFormatting>
  <conditionalFormatting sqref="H127">
    <cfRule type="expression" dxfId="3241" priority="88">
      <formula>AND($F125=TRUE,F123=TRUE)</formula>
    </cfRule>
  </conditionalFormatting>
  <conditionalFormatting sqref="H135">
    <cfRule type="expression" dxfId="3236" priority="73">
      <formula>AND($F133=TRUE,F131=TRUE)</formula>
    </cfRule>
  </conditionalFormatting>
  <conditionalFormatting sqref="H143">
    <cfRule type="expression" dxfId="3233" priority="58">
      <formula>AND($F141=TRUE,F139=TRUE)</formula>
    </cfRule>
  </conditionalFormatting>
  <conditionalFormatting sqref="H151">
    <cfRule type="expression" dxfId="3229" priority="43">
      <formula>AND($F149=TRUE,F147=TRUE)</formula>
    </cfRule>
  </conditionalFormatting>
  <conditionalFormatting sqref="H159">
    <cfRule type="expression" dxfId="3225" priority="28">
      <formula>AND($F157=TRUE,F155=TRUE)</formula>
    </cfRule>
  </conditionalFormatting>
  <conditionalFormatting sqref="H167">
    <cfRule type="expression" dxfId="3221" priority="13">
      <formula>AND($F165=TRUE,F163=TRUE)</formula>
    </cfRule>
  </conditionalFormatting>
  <conditionalFormatting sqref="K11:K17">
    <cfRule type="cellIs" dxfId="3218" priority="616" operator="equal">
      <formula>"Black"</formula>
    </cfRule>
    <cfRule type="cellIs" dxfId="3217" priority="615" operator="equal">
      <formula>"Gray"</formula>
    </cfRule>
    <cfRule type="cellIs" dxfId="3216" priority="614" operator="equal">
      <formula>"Magenta"</formula>
    </cfRule>
    <cfRule type="cellIs" dxfId="3215" priority="613" operator="equal">
      <formula>"Dark Gray"</formula>
    </cfRule>
    <cfRule type="cellIs" dxfId="3214" priority="612" operator="equal">
      <formula>"Purple"</formula>
    </cfRule>
    <cfRule type="cellIs" dxfId="3213" priority="611" operator="equal">
      <formula>"Blue"</formula>
    </cfRule>
    <cfRule type="cellIs" dxfId="3212" priority="610" operator="equal">
      <formula>"Green"</formula>
    </cfRule>
    <cfRule type="cellIs" dxfId="3211" priority="609" operator="equal">
      <formula>"orange"</formula>
    </cfRule>
    <cfRule type="cellIs" dxfId="3210" priority="608" operator="equal">
      <formula>"Amber"</formula>
    </cfRule>
    <cfRule type="cellIs" dxfId="3209" priority="607" operator="equal">
      <formula>"Brown"</formula>
    </cfRule>
  </conditionalFormatting>
  <conditionalFormatting sqref="K19:K25">
    <cfRule type="cellIs" dxfId="3208" priority="575" operator="equal">
      <formula>"Gray"</formula>
    </cfRule>
    <cfRule type="cellIs" dxfId="3207" priority="576" operator="equal">
      <formula>"Black"</formula>
    </cfRule>
    <cfRule type="cellIs" dxfId="3206" priority="567" operator="equal">
      <formula>"Brown"</formula>
    </cfRule>
    <cfRule type="cellIs" dxfId="3205" priority="568" operator="equal">
      <formula>"Amber"</formula>
    </cfRule>
    <cfRule type="cellIs" dxfId="3204" priority="569" operator="equal">
      <formula>"orange"</formula>
    </cfRule>
    <cfRule type="cellIs" dxfId="3203" priority="570" operator="equal">
      <formula>"Green"</formula>
    </cfRule>
    <cfRule type="cellIs" dxfId="3202" priority="571" operator="equal">
      <formula>"Blue"</formula>
    </cfRule>
    <cfRule type="cellIs" dxfId="3201" priority="572" operator="equal">
      <formula>"Purple"</formula>
    </cfRule>
    <cfRule type="cellIs" dxfId="3200" priority="573" operator="equal">
      <formula>"Dark Gray"</formula>
    </cfRule>
    <cfRule type="cellIs" dxfId="3199" priority="574" operator="equal">
      <formula>"Magenta"</formula>
    </cfRule>
  </conditionalFormatting>
  <conditionalFormatting sqref="K27:K33">
    <cfRule type="cellIs" dxfId="3198" priority="557" operator="equal">
      <formula>"Brown"</formula>
    </cfRule>
    <cfRule type="cellIs" dxfId="3197" priority="558" operator="equal">
      <formula>"Amber"</formula>
    </cfRule>
    <cfRule type="cellIs" dxfId="3196" priority="559" operator="equal">
      <formula>"orange"</formula>
    </cfRule>
    <cfRule type="cellIs" dxfId="3195" priority="560" operator="equal">
      <formula>"Green"</formula>
    </cfRule>
    <cfRule type="cellIs" dxfId="3194" priority="561" operator="equal">
      <formula>"Blue"</formula>
    </cfRule>
    <cfRule type="cellIs" dxfId="3193" priority="562" operator="equal">
      <formula>"Purple"</formula>
    </cfRule>
    <cfRule type="cellIs" dxfId="3192" priority="563" operator="equal">
      <formula>"Dark Gray"</formula>
    </cfRule>
    <cfRule type="cellIs" dxfId="3191" priority="564" operator="equal">
      <formula>"Magenta"</formula>
    </cfRule>
    <cfRule type="cellIs" dxfId="3190" priority="565" operator="equal">
      <formula>"Gray"</formula>
    </cfRule>
    <cfRule type="cellIs" dxfId="3189" priority="566" operator="equal">
      <formula>"Black"</formula>
    </cfRule>
  </conditionalFormatting>
  <conditionalFormatting sqref="K35:K41">
    <cfRule type="cellIs" dxfId="3188" priority="548" operator="equal">
      <formula>"Amber"</formula>
    </cfRule>
    <cfRule type="cellIs" dxfId="3187" priority="549" operator="equal">
      <formula>"orange"</formula>
    </cfRule>
    <cfRule type="cellIs" dxfId="3186" priority="550" operator="equal">
      <formula>"Green"</formula>
    </cfRule>
    <cfRule type="cellIs" dxfId="3185" priority="551" operator="equal">
      <formula>"Blue"</formula>
    </cfRule>
    <cfRule type="cellIs" dxfId="3184" priority="552" operator="equal">
      <formula>"Purple"</formula>
    </cfRule>
    <cfRule type="cellIs" dxfId="3183" priority="553" operator="equal">
      <formula>"Dark Gray"</formula>
    </cfRule>
    <cfRule type="cellIs" dxfId="3182" priority="555" operator="equal">
      <formula>"Gray"</formula>
    </cfRule>
    <cfRule type="cellIs" dxfId="3181" priority="556" operator="equal">
      <formula>"Black"</formula>
    </cfRule>
    <cfRule type="cellIs" dxfId="3180" priority="547" operator="equal">
      <formula>"Brown"</formula>
    </cfRule>
    <cfRule type="cellIs" dxfId="3179" priority="554" operator="equal">
      <formula>"Magenta"</formula>
    </cfRule>
  </conditionalFormatting>
  <conditionalFormatting sqref="K43:K49">
    <cfRule type="cellIs" dxfId="3178" priority="537" operator="equal">
      <formula>"Brown"</formula>
    </cfRule>
    <cfRule type="cellIs" dxfId="3177" priority="546" operator="equal">
      <formula>"Black"</formula>
    </cfRule>
    <cfRule type="cellIs" dxfId="3176" priority="538" operator="equal">
      <formula>"Amber"</formula>
    </cfRule>
    <cfRule type="cellIs" dxfId="3175" priority="545" operator="equal">
      <formula>"Gray"</formula>
    </cfRule>
    <cfRule type="cellIs" dxfId="3174" priority="544" operator="equal">
      <formula>"Magenta"</formula>
    </cfRule>
    <cfRule type="cellIs" dxfId="3173" priority="543" operator="equal">
      <formula>"Dark Gray"</formula>
    </cfRule>
    <cfRule type="cellIs" dxfId="3172" priority="542" operator="equal">
      <formula>"Purple"</formula>
    </cfRule>
    <cfRule type="cellIs" dxfId="3171" priority="541" operator="equal">
      <formula>"Blue"</formula>
    </cfRule>
    <cfRule type="cellIs" dxfId="3170" priority="540" operator="equal">
      <formula>"Green"</formula>
    </cfRule>
    <cfRule type="cellIs" dxfId="3169" priority="539" operator="equal">
      <formula>"orange"</formula>
    </cfRule>
  </conditionalFormatting>
  <conditionalFormatting sqref="K51:K57">
    <cfRule type="cellIs" dxfId="3168" priority="535" operator="equal">
      <formula>"Gray"</formula>
    </cfRule>
    <cfRule type="cellIs" dxfId="3167" priority="536" operator="equal">
      <formula>"Black"</formula>
    </cfRule>
    <cfRule type="cellIs" dxfId="3166" priority="527" operator="equal">
      <formula>"Brown"</formula>
    </cfRule>
    <cfRule type="cellIs" dxfId="3165" priority="528" operator="equal">
      <formula>"Amber"</formula>
    </cfRule>
    <cfRule type="cellIs" dxfId="3164" priority="529" operator="equal">
      <formula>"orange"</formula>
    </cfRule>
    <cfRule type="cellIs" dxfId="3163" priority="530" operator="equal">
      <formula>"Green"</formula>
    </cfRule>
    <cfRule type="cellIs" dxfId="3162" priority="531" operator="equal">
      <formula>"Blue"</formula>
    </cfRule>
    <cfRule type="cellIs" dxfId="3161" priority="532" operator="equal">
      <formula>"Purple"</formula>
    </cfRule>
    <cfRule type="cellIs" dxfId="3160" priority="533" operator="equal">
      <formula>"Dark Gray"</formula>
    </cfRule>
    <cfRule type="cellIs" dxfId="3159" priority="534" operator="equal">
      <formula>"Magenta"</formula>
    </cfRule>
  </conditionalFormatting>
  <conditionalFormatting sqref="K59:K65">
    <cfRule type="cellIs" dxfId="3158" priority="522" operator="equal">
      <formula>"Purple"</formula>
    </cfRule>
    <cfRule type="cellIs" dxfId="3157" priority="519" operator="equal">
      <formula>"orange"</formula>
    </cfRule>
    <cfRule type="cellIs" dxfId="3156" priority="526" operator="equal">
      <formula>"Black"</formula>
    </cfRule>
    <cfRule type="cellIs" dxfId="3155" priority="525" operator="equal">
      <formula>"Gray"</formula>
    </cfRule>
    <cfRule type="cellIs" dxfId="3154" priority="524" operator="equal">
      <formula>"Magenta"</formula>
    </cfRule>
    <cfRule type="cellIs" dxfId="3153" priority="523" operator="equal">
      <formula>"Dark Gray"</formula>
    </cfRule>
    <cfRule type="cellIs" dxfId="3152" priority="521" operator="equal">
      <formula>"Blue"</formula>
    </cfRule>
    <cfRule type="cellIs" dxfId="3151" priority="520" operator="equal">
      <formula>"Green"</formula>
    </cfRule>
    <cfRule type="cellIs" dxfId="3150" priority="517" operator="equal">
      <formula>"Brown"</formula>
    </cfRule>
    <cfRule type="cellIs" dxfId="3149" priority="518" operator="equal">
      <formula>"Amber"</formula>
    </cfRule>
  </conditionalFormatting>
  <conditionalFormatting sqref="K67:K73">
    <cfRule type="cellIs" dxfId="3148" priority="507" operator="equal">
      <formula>"Brown"</formula>
    </cfRule>
    <cfRule type="cellIs" dxfId="3147" priority="512" operator="equal">
      <formula>"Purple"</formula>
    </cfRule>
    <cfRule type="cellIs" dxfId="3146" priority="508" operator="equal">
      <formula>"Amber"</formula>
    </cfRule>
    <cfRule type="cellIs" dxfId="3145" priority="509" operator="equal">
      <formula>"orange"</formula>
    </cfRule>
    <cfRule type="cellIs" dxfId="3144" priority="510" operator="equal">
      <formula>"Green"</formula>
    </cfRule>
    <cfRule type="cellIs" dxfId="3143" priority="511" operator="equal">
      <formula>"Blue"</formula>
    </cfRule>
    <cfRule type="cellIs" dxfId="3142" priority="513" operator="equal">
      <formula>"Dark Gray"</formula>
    </cfRule>
    <cfRule type="cellIs" dxfId="3141" priority="514" operator="equal">
      <formula>"Magenta"</formula>
    </cfRule>
    <cfRule type="cellIs" dxfId="3140" priority="515" operator="equal">
      <formula>"Gray"</formula>
    </cfRule>
    <cfRule type="cellIs" dxfId="3139" priority="516" operator="equal">
      <formula>"Black"</formula>
    </cfRule>
  </conditionalFormatting>
  <conditionalFormatting sqref="K75:K81">
    <cfRule type="cellIs" dxfId="3138" priority="506" operator="equal">
      <formula>"Black"</formula>
    </cfRule>
    <cfRule type="cellIs" dxfId="3137" priority="499" operator="equal">
      <formula>"orange"</formula>
    </cfRule>
    <cfRule type="cellIs" dxfId="3136" priority="500" operator="equal">
      <formula>"Green"</formula>
    </cfRule>
    <cfRule type="cellIs" dxfId="3135" priority="497" operator="equal">
      <formula>"Brown"</formula>
    </cfRule>
    <cfRule type="cellIs" dxfId="3134" priority="498" operator="equal">
      <formula>"Amber"</formula>
    </cfRule>
    <cfRule type="cellIs" dxfId="3133" priority="501" operator="equal">
      <formula>"Blue"</formula>
    </cfRule>
    <cfRule type="cellIs" dxfId="3132" priority="502" operator="equal">
      <formula>"Purple"</formula>
    </cfRule>
    <cfRule type="cellIs" dxfId="3131" priority="503" operator="equal">
      <formula>"Dark Gray"</formula>
    </cfRule>
    <cfRule type="cellIs" dxfId="3130" priority="504" operator="equal">
      <formula>"Magenta"</formula>
    </cfRule>
    <cfRule type="cellIs" dxfId="3129" priority="505" operator="equal">
      <formula>"Gray"</formula>
    </cfRule>
  </conditionalFormatting>
  <conditionalFormatting sqref="K83:K89">
    <cfRule type="cellIs" dxfId="3128" priority="487" operator="equal">
      <formula>"Brown"</formula>
    </cfRule>
    <cfRule type="cellIs" dxfId="3127" priority="488" operator="equal">
      <formula>"Amber"</formula>
    </cfRule>
    <cfRule type="cellIs" dxfId="3126" priority="489" operator="equal">
      <formula>"orange"</formula>
    </cfRule>
    <cfRule type="cellIs" dxfId="3125" priority="490" operator="equal">
      <formula>"Green"</formula>
    </cfRule>
    <cfRule type="cellIs" dxfId="3124" priority="491" operator="equal">
      <formula>"Blue"</formula>
    </cfRule>
    <cfRule type="cellIs" dxfId="3123" priority="493" operator="equal">
      <formula>"Dark Gray"</formula>
    </cfRule>
    <cfRule type="cellIs" dxfId="3122" priority="494" operator="equal">
      <formula>"Magenta"</formula>
    </cfRule>
    <cfRule type="cellIs" dxfId="3121" priority="495" operator="equal">
      <formula>"Gray"</formula>
    </cfRule>
    <cfRule type="cellIs" dxfId="3120" priority="496" operator="equal">
      <formula>"Black"</formula>
    </cfRule>
    <cfRule type="cellIs" dxfId="3119" priority="492" operator="equal">
      <formula>"Purple"</formula>
    </cfRule>
  </conditionalFormatting>
  <conditionalFormatting sqref="K91:K97">
    <cfRule type="cellIs" dxfId="3118" priority="486" operator="equal">
      <formula>"Black"</formula>
    </cfRule>
    <cfRule type="cellIs" dxfId="3117" priority="481" operator="equal">
      <formula>"Blue"</formula>
    </cfRule>
    <cfRule type="cellIs" dxfId="3116" priority="477" operator="equal">
      <formula>"Brown"</formula>
    </cfRule>
    <cfRule type="cellIs" dxfId="3115" priority="478" operator="equal">
      <formula>"Amber"</formula>
    </cfRule>
    <cfRule type="cellIs" dxfId="3114" priority="479" operator="equal">
      <formula>"orange"</formula>
    </cfRule>
    <cfRule type="cellIs" dxfId="3113" priority="480" operator="equal">
      <formula>"Green"</formula>
    </cfRule>
    <cfRule type="cellIs" dxfId="3112" priority="484" operator="equal">
      <formula>"Magenta"</formula>
    </cfRule>
    <cfRule type="cellIs" dxfId="3111" priority="482" operator="equal">
      <formula>"Purple"</formula>
    </cfRule>
    <cfRule type="cellIs" dxfId="3110" priority="483" operator="equal">
      <formula>"Dark Gray"</formula>
    </cfRule>
    <cfRule type="cellIs" dxfId="3109" priority="485" operator="equal">
      <formula>"Gray"</formula>
    </cfRule>
  </conditionalFormatting>
  <conditionalFormatting sqref="K99:K105">
    <cfRule type="cellIs" dxfId="3108" priority="467" operator="equal">
      <formula>"Brown"</formula>
    </cfRule>
    <cfRule type="cellIs" dxfId="3107" priority="468" operator="equal">
      <formula>"Amber"</formula>
    </cfRule>
    <cfRule type="cellIs" dxfId="3106" priority="469" operator="equal">
      <formula>"orange"</formula>
    </cfRule>
    <cfRule type="cellIs" dxfId="3105" priority="471" operator="equal">
      <formula>"Blue"</formula>
    </cfRule>
    <cfRule type="cellIs" dxfId="3104" priority="472" operator="equal">
      <formula>"Purple"</formula>
    </cfRule>
    <cfRule type="cellIs" dxfId="3103" priority="473" operator="equal">
      <formula>"Dark Gray"</formula>
    </cfRule>
    <cfRule type="cellIs" dxfId="3102" priority="475" operator="equal">
      <formula>"Gray"</formula>
    </cfRule>
    <cfRule type="cellIs" dxfId="3101" priority="474" operator="equal">
      <formula>"Magenta"</formula>
    </cfRule>
    <cfRule type="cellIs" dxfId="3100" priority="476" operator="equal">
      <formula>"Black"</formula>
    </cfRule>
    <cfRule type="cellIs" dxfId="3099" priority="470" operator="equal">
      <formula>"Green"</formula>
    </cfRule>
  </conditionalFormatting>
  <conditionalFormatting sqref="K107:K113">
    <cfRule type="cellIs" dxfId="3098" priority="464" operator="equal">
      <formula>"Magenta"</formula>
    </cfRule>
    <cfRule type="cellIs" dxfId="3097" priority="457" operator="equal">
      <formula>"Brown"</formula>
    </cfRule>
    <cfRule type="cellIs" dxfId="3096" priority="458" operator="equal">
      <formula>"Amber"</formula>
    </cfRule>
    <cfRule type="cellIs" dxfId="3095" priority="459" operator="equal">
      <formula>"orange"</formula>
    </cfRule>
    <cfRule type="cellIs" dxfId="3094" priority="460" operator="equal">
      <formula>"Green"</formula>
    </cfRule>
    <cfRule type="cellIs" dxfId="3093" priority="461" operator="equal">
      <formula>"Blue"</formula>
    </cfRule>
    <cfRule type="cellIs" dxfId="3092" priority="462" operator="equal">
      <formula>"Purple"</formula>
    </cfRule>
    <cfRule type="cellIs" dxfId="3091" priority="463" operator="equal">
      <formula>"Dark Gray"</formula>
    </cfRule>
    <cfRule type="cellIs" dxfId="3090" priority="465" operator="equal">
      <formula>"Gray"</formula>
    </cfRule>
    <cfRule type="cellIs" dxfId="3089" priority="466" operator="equal">
      <formula>"Black"</formula>
    </cfRule>
  </conditionalFormatting>
  <conditionalFormatting sqref="K115:K121">
    <cfRule type="cellIs" dxfId="3088" priority="448" operator="equal">
      <formula>"Amber"</formula>
    </cfRule>
    <cfRule type="cellIs" dxfId="3087" priority="447" operator="equal">
      <formula>"Brown"</formula>
    </cfRule>
    <cfRule type="cellIs" dxfId="3086" priority="456" operator="equal">
      <formula>"Black"</formula>
    </cfRule>
    <cfRule type="cellIs" dxfId="3085" priority="455" operator="equal">
      <formula>"Gray"</formula>
    </cfRule>
    <cfRule type="cellIs" dxfId="3084" priority="454" operator="equal">
      <formula>"Magenta"</formula>
    </cfRule>
    <cfRule type="cellIs" dxfId="3083" priority="453" operator="equal">
      <formula>"Dark Gray"</formula>
    </cfRule>
    <cfRule type="cellIs" dxfId="3082" priority="452" operator="equal">
      <formula>"Purple"</formula>
    </cfRule>
    <cfRule type="cellIs" dxfId="3081" priority="451" operator="equal">
      <formula>"Blue"</formula>
    </cfRule>
    <cfRule type="cellIs" dxfId="3080" priority="450" operator="equal">
      <formula>"Green"</formula>
    </cfRule>
    <cfRule type="cellIs" dxfId="3079" priority="449" operator="equal">
      <formula>"orange"</formula>
    </cfRule>
  </conditionalFormatting>
  <conditionalFormatting sqref="K123:K129">
    <cfRule type="cellIs" dxfId="3078" priority="442" operator="equal">
      <formula>"Purple"</formula>
    </cfRule>
    <cfRule type="cellIs" dxfId="3077" priority="441" operator="equal">
      <formula>"Blue"</formula>
    </cfRule>
    <cfRule type="cellIs" dxfId="3076" priority="440" operator="equal">
      <formula>"Green"</formula>
    </cfRule>
    <cfRule type="cellIs" dxfId="3075" priority="438" operator="equal">
      <formula>"Amber"</formula>
    </cfRule>
    <cfRule type="cellIs" dxfId="3074" priority="439" operator="equal">
      <formula>"orange"</formula>
    </cfRule>
    <cfRule type="cellIs" dxfId="3073" priority="446" operator="equal">
      <formula>"Black"</formula>
    </cfRule>
    <cfRule type="cellIs" dxfId="3072" priority="445" operator="equal">
      <formula>"Gray"</formula>
    </cfRule>
    <cfRule type="cellIs" dxfId="3071" priority="444" operator="equal">
      <formula>"Magenta"</formula>
    </cfRule>
    <cfRule type="cellIs" dxfId="3070" priority="443" operator="equal">
      <formula>"Dark Gray"</formula>
    </cfRule>
    <cfRule type="cellIs" dxfId="3069" priority="437" operator="equal">
      <formula>"Brown"</formula>
    </cfRule>
  </conditionalFormatting>
  <conditionalFormatting sqref="K131:K137">
    <cfRule type="cellIs" dxfId="3068" priority="432" operator="equal">
      <formula>"Purple"</formula>
    </cfRule>
    <cfRule type="cellIs" dxfId="3067" priority="433" operator="equal">
      <formula>"Dark Gray"</formula>
    </cfRule>
    <cfRule type="cellIs" dxfId="3066" priority="434" operator="equal">
      <formula>"Magenta"</formula>
    </cfRule>
    <cfRule type="cellIs" dxfId="3065" priority="435" operator="equal">
      <formula>"Gray"</formula>
    </cfRule>
    <cfRule type="cellIs" dxfId="3064" priority="436" operator="equal">
      <formula>"Black"</formula>
    </cfRule>
    <cfRule type="cellIs" dxfId="3063" priority="431" operator="equal">
      <formula>"Blue"</formula>
    </cfRule>
    <cfRule type="cellIs" dxfId="3062" priority="427" operator="equal">
      <formula>"Brown"</formula>
    </cfRule>
    <cfRule type="cellIs" dxfId="3061" priority="428" operator="equal">
      <formula>"Amber"</formula>
    </cfRule>
    <cfRule type="cellIs" dxfId="3060" priority="429" operator="equal">
      <formula>"orange"</formula>
    </cfRule>
    <cfRule type="cellIs" dxfId="3059" priority="430" operator="equal">
      <formula>"Green"</formula>
    </cfRule>
  </conditionalFormatting>
  <conditionalFormatting sqref="K139:K145">
    <cfRule type="cellIs" dxfId="3058" priority="422" operator="equal">
      <formula>"Purple"</formula>
    </cfRule>
    <cfRule type="cellIs" dxfId="3057" priority="420" operator="equal">
      <formula>"Green"</formula>
    </cfRule>
    <cfRule type="cellIs" dxfId="3056" priority="419" operator="equal">
      <formula>"orange"</formula>
    </cfRule>
    <cfRule type="cellIs" dxfId="3055" priority="418" operator="equal">
      <formula>"Amber"</formula>
    </cfRule>
    <cfRule type="cellIs" dxfId="3054" priority="417" operator="equal">
      <formula>"Brown"</formula>
    </cfRule>
    <cfRule type="cellIs" dxfId="3053" priority="423" operator="equal">
      <formula>"Dark Gray"</formula>
    </cfRule>
    <cfRule type="cellIs" dxfId="3052" priority="424" operator="equal">
      <formula>"Magenta"</formula>
    </cfRule>
    <cfRule type="cellIs" dxfId="3051" priority="425" operator="equal">
      <formula>"Gray"</formula>
    </cfRule>
    <cfRule type="cellIs" dxfId="3050" priority="426" operator="equal">
      <formula>"Black"</formula>
    </cfRule>
    <cfRule type="cellIs" dxfId="3049" priority="421" operator="equal">
      <formula>"Blue"</formula>
    </cfRule>
  </conditionalFormatting>
  <conditionalFormatting sqref="K147:K153">
    <cfRule type="cellIs" dxfId="3048" priority="415" operator="equal">
      <formula>"Gray"</formula>
    </cfRule>
    <cfRule type="cellIs" dxfId="3047" priority="413" operator="equal">
      <formula>"Dark Gray"</formula>
    </cfRule>
    <cfRule type="cellIs" dxfId="3046" priority="416" operator="equal">
      <formula>"Black"</formula>
    </cfRule>
    <cfRule type="cellIs" dxfId="3045" priority="412" operator="equal">
      <formula>"Purple"</formula>
    </cfRule>
    <cfRule type="cellIs" dxfId="3044" priority="411" operator="equal">
      <formula>"Blue"</formula>
    </cfRule>
    <cfRule type="cellIs" dxfId="3043" priority="410" operator="equal">
      <formula>"Green"</formula>
    </cfRule>
    <cfRule type="cellIs" dxfId="3042" priority="409" operator="equal">
      <formula>"orange"</formula>
    </cfRule>
    <cfRule type="cellIs" dxfId="3041" priority="408" operator="equal">
      <formula>"Amber"</formula>
    </cfRule>
    <cfRule type="cellIs" dxfId="3040" priority="407" operator="equal">
      <formula>"Brown"</formula>
    </cfRule>
    <cfRule type="cellIs" dxfId="3039" priority="414" operator="equal">
      <formula>"Magenta"</formula>
    </cfRule>
  </conditionalFormatting>
  <conditionalFormatting sqref="K155:K161">
    <cfRule type="cellIs" dxfId="3038" priority="398" operator="equal">
      <formula>"Amber"</formula>
    </cfRule>
    <cfRule type="cellIs" dxfId="3037" priority="402" operator="equal">
      <formula>"Purple"</formula>
    </cfRule>
    <cfRule type="cellIs" dxfId="3036" priority="397" operator="equal">
      <formula>"Brown"</formula>
    </cfRule>
    <cfRule type="cellIs" dxfId="3035" priority="401" operator="equal">
      <formula>"Blue"</formula>
    </cfRule>
    <cfRule type="cellIs" dxfId="3034" priority="400" operator="equal">
      <formula>"Green"</formula>
    </cfRule>
    <cfRule type="cellIs" dxfId="3033" priority="399" operator="equal">
      <formula>"orange"</formula>
    </cfRule>
    <cfRule type="cellIs" dxfId="3032" priority="405" operator="equal">
      <formula>"Gray"</formula>
    </cfRule>
    <cfRule type="cellIs" dxfId="3031" priority="406" operator="equal">
      <formula>"Black"</formula>
    </cfRule>
    <cfRule type="cellIs" dxfId="3030" priority="404" operator="equal">
      <formula>"Magenta"</formula>
    </cfRule>
    <cfRule type="cellIs" dxfId="3029" priority="403" operator="equal">
      <formula>"Dark Gray"</formula>
    </cfRule>
  </conditionalFormatting>
  <conditionalFormatting sqref="K163:K169">
    <cfRule type="cellIs" dxfId="3028" priority="389" operator="equal">
      <formula>"orange"</formula>
    </cfRule>
    <cfRule type="cellIs" dxfId="3027" priority="390" operator="equal">
      <formula>"Green"</formula>
    </cfRule>
    <cfRule type="cellIs" dxfId="3026" priority="391" operator="equal">
      <formula>"Blue"</formula>
    </cfRule>
    <cfRule type="cellIs" dxfId="3025" priority="392" operator="equal">
      <formula>"Purple"</formula>
    </cfRule>
    <cfRule type="cellIs" dxfId="3024" priority="393" operator="equal">
      <formula>"Dark Gray"</formula>
    </cfRule>
    <cfRule type="cellIs" dxfId="3023" priority="394" operator="equal">
      <formula>"Magenta"</formula>
    </cfRule>
    <cfRule type="cellIs" dxfId="3022" priority="395" operator="equal">
      <formula>"Gray"</formula>
    </cfRule>
    <cfRule type="cellIs" dxfId="3021" priority="396" operator="equal">
      <formula>"Black"</formula>
    </cfRule>
    <cfRule type="cellIs" dxfId="3020" priority="387" operator="equal">
      <formula>"Brown"</formula>
    </cfRule>
    <cfRule type="cellIs" dxfId="3019" priority="388" operator="equal">
      <formula>"Amber"</formula>
    </cfRule>
  </conditionalFormatting>
  <dataValidations count="2">
    <dataValidation type="list" allowBlank="1" showInputMessage="1" showErrorMessage="1" sqref="K11:K17 K155:K161 K19:K25 K27:K33 K35:K41 K43:K49 K51:K57 K59:K65 K67:K73 K75:K81 K83:K89 K91:K97 K99:K105 K107:K113 K115:K121 K123:K129 K131:K137 K139:K145 K147:K153 K163:K169" xr:uid="{DB81B075-4D48-4882-9E3E-4BBB63548F7A}">
      <formula1>color</formula1>
    </dataValidation>
    <dataValidation type="list" allowBlank="1" showInputMessage="1" showErrorMessage="1" sqref="C11:C17 C19:C25 C27:C33 C35:C41 C107:C113 C43:C49 C67:C73 C59:C65 C115:C121 C75:C81 C83:C89 C91:C97 C99:C105 C123:C129 C131:C137 C139:C145 C155:C161 C163:C169 C147:C153 C51:C57" xr:uid="{356F72E3-F060-4E77-AD2C-E89980A4B960}">
      <formula1>Label</formula1>
    </dataValidation>
  </dataValidations>
  <hyperlinks>
    <hyperlink ref="F5:H5" r:id="rId1" location="label-scopes" display="Label scopes" xr:uid="{E107F218-462C-41D0-9252-E715C147D5E4}"/>
    <hyperlink ref="C5" r:id="rId2" xr:uid="{2505CD10-D4E4-4A57-A5E0-84E2A30ACC33}"/>
    <hyperlink ref="C6" r:id="rId3" xr:uid="{CBE79519-10C3-4096-85FC-2AED70F40961}"/>
    <hyperlink ref="C7" r:id="rId4" xr:uid="{54EC42E2-4948-4D96-8871-98937A6E051B}"/>
    <hyperlink ref="K5" r:id="rId5" location="label-colors" xr:uid="{8F94DFD4-5339-407F-B339-3972AF25F76A}"/>
    <hyperlink ref="C8" r:id="rId6" location="label-priority-order-matters" xr:uid="{339063B6-E112-499B-BC1B-588DE072F637}"/>
  </hyperlinks>
  <pageMargins left="0.7" right="0.7" top="0.75" bottom="0.75" header="0.3" footer="0.3"/>
  <pageSetup orientation="portrait" r:id="rId7"/>
  <extLst>
    <ext xmlns:x14="http://schemas.microsoft.com/office/spreadsheetml/2009/9/main" uri="{78C0D931-6437-407d-A8EE-F0AAD7539E65}">
      <x14:conditionalFormattings>
        <x14:conditionalFormatting xmlns:xm="http://schemas.microsoft.com/office/excel/2006/main">
          <x14:cfRule type="expression" priority="277" id="{4BC6D33A-884B-4877-9211-DF770DE9C9BD}">
            <xm:f>OR($C11=INputs!$A$3,$C11=INputs!$A$4)</xm:f>
            <x14:dxf>
              <font>
                <color theme="0"/>
              </font>
              <fill>
                <patternFill>
                  <bgColor theme="0"/>
                </patternFill>
              </fill>
            </x14:dxf>
          </x14:cfRule>
          <xm:sqref>F13:G13</xm:sqref>
        </x14:conditionalFormatting>
        <x14:conditionalFormatting xmlns:xm="http://schemas.microsoft.com/office/excel/2006/main">
          <x14:cfRule type="expression" priority="276" id="{79C0A3C7-C67D-4620-8C22-69F2E450DC8F}">
            <xm:f>OR($C11=INputs!$A$3,$C11=INputs!$A$4)</xm:f>
            <x14:dxf>
              <font>
                <color theme="0"/>
              </font>
              <fill>
                <patternFill>
                  <bgColor theme="0"/>
                </patternFill>
              </fill>
            </x14:dxf>
          </x14:cfRule>
          <xm:sqref>F15:G15</xm:sqref>
        </x14:conditionalFormatting>
        <x14:conditionalFormatting xmlns:xm="http://schemas.microsoft.com/office/excel/2006/main">
          <x14:cfRule type="expression" priority="275" id="{FE6E2C9B-EDD1-4DBB-BDFD-C82903295B38}">
            <xm:f>OR($C11=INputs!$A$3,$C11=INputs!$A$4)</xm:f>
            <x14:dxf>
              <font>
                <color theme="0"/>
              </font>
              <fill>
                <patternFill>
                  <bgColor theme="0"/>
                </patternFill>
              </fill>
            </x14:dxf>
          </x14:cfRule>
          <xm:sqref>F17:G17</xm:sqref>
        </x14:conditionalFormatting>
        <x14:conditionalFormatting xmlns:xm="http://schemas.microsoft.com/office/excel/2006/main">
          <x14:cfRule type="expression" priority="295" id="{3B5AB798-7678-4B1D-9B42-6AE3D2F2ED68}">
            <xm:f>OR($C19=INputs!$A$3,$C19=INputs!$A$4)</xm:f>
            <x14:dxf>
              <font>
                <color theme="0"/>
              </font>
              <fill>
                <patternFill>
                  <bgColor theme="0"/>
                </patternFill>
              </fill>
            </x14:dxf>
          </x14:cfRule>
          <xm:sqref>F21:G21</xm:sqref>
        </x14:conditionalFormatting>
        <x14:conditionalFormatting xmlns:xm="http://schemas.microsoft.com/office/excel/2006/main">
          <x14:cfRule type="expression" priority="294" id="{31E154AF-6C95-424A-A8DA-91B0ACC7AF78}">
            <xm:f>OR($C19=INputs!$A$3,$C19=INputs!$A$4)</xm:f>
            <x14:dxf>
              <font>
                <color theme="0"/>
              </font>
              <fill>
                <patternFill>
                  <bgColor theme="0"/>
                </patternFill>
              </fill>
            </x14:dxf>
          </x14:cfRule>
          <xm:sqref>F23:G23</xm:sqref>
        </x14:conditionalFormatting>
        <x14:conditionalFormatting xmlns:xm="http://schemas.microsoft.com/office/excel/2006/main">
          <x14:cfRule type="expression" priority="293" id="{F5618FAE-8AF3-46C0-9DC2-2E40E43C57F2}">
            <xm:f>OR($C19=INputs!$A$3,$C19=INputs!$A$4)</xm:f>
            <x14:dxf>
              <font>
                <color theme="0"/>
              </font>
              <fill>
                <patternFill>
                  <bgColor theme="0"/>
                </patternFill>
              </fill>
            </x14:dxf>
          </x14:cfRule>
          <xm:sqref>F25:G25</xm:sqref>
        </x14:conditionalFormatting>
        <x14:conditionalFormatting xmlns:xm="http://schemas.microsoft.com/office/excel/2006/main">
          <x14:cfRule type="expression" priority="262" id="{A57C6B13-7F46-4694-A037-80D873B5BDBA}">
            <xm:f>OR($C27=INputs!$A$3,$C27=INputs!$A$4)</xm:f>
            <x14:dxf>
              <font>
                <color theme="0"/>
              </font>
              <fill>
                <patternFill>
                  <bgColor theme="0"/>
                </patternFill>
              </fill>
            </x14:dxf>
          </x14:cfRule>
          <xm:sqref>F29:G29</xm:sqref>
        </x14:conditionalFormatting>
        <x14:conditionalFormatting xmlns:xm="http://schemas.microsoft.com/office/excel/2006/main">
          <x14:cfRule type="expression" priority="261" id="{7939BBC7-45F9-4F70-963D-A6C6117CBD78}">
            <xm:f>OR($C27=INputs!$A$3,$C27=INputs!$A$4)</xm:f>
            <x14:dxf>
              <font>
                <color theme="0"/>
              </font>
              <fill>
                <patternFill>
                  <bgColor theme="0"/>
                </patternFill>
              </fill>
            </x14:dxf>
          </x14:cfRule>
          <xm:sqref>F31:G31</xm:sqref>
        </x14:conditionalFormatting>
        <x14:conditionalFormatting xmlns:xm="http://schemas.microsoft.com/office/excel/2006/main">
          <x14:cfRule type="expression" priority="260" id="{23B8CACD-B4B3-42A4-8929-D3F3C7A10C86}">
            <xm:f>OR($C27=INputs!$A$3,$C27=INputs!$A$4)</xm:f>
            <x14:dxf>
              <font>
                <color theme="0"/>
              </font>
              <fill>
                <patternFill>
                  <bgColor theme="0"/>
                </patternFill>
              </fill>
            </x14:dxf>
          </x14:cfRule>
          <xm:sqref>F33:G33</xm:sqref>
        </x14:conditionalFormatting>
        <x14:conditionalFormatting xmlns:xm="http://schemas.microsoft.com/office/excel/2006/main">
          <x14:cfRule type="expression" priority="247" id="{73485346-CF8D-4B6D-BAFE-DB60D02DA28E}">
            <xm:f>OR($C35=INputs!$A$3,$C35=INputs!$A$4)</xm:f>
            <x14:dxf>
              <font>
                <color theme="0"/>
              </font>
              <fill>
                <patternFill>
                  <bgColor theme="0"/>
                </patternFill>
              </fill>
            </x14:dxf>
          </x14:cfRule>
          <xm:sqref>F37:G37</xm:sqref>
        </x14:conditionalFormatting>
        <x14:conditionalFormatting xmlns:xm="http://schemas.microsoft.com/office/excel/2006/main">
          <x14:cfRule type="expression" priority="246" id="{C73ACE4C-1964-4805-8126-FDE45A0587FC}">
            <xm:f>OR($C35=INputs!$A$3,$C35=INputs!$A$4)</xm:f>
            <x14:dxf>
              <font>
                <color theme="0"/>
              </font>
              <fill>
                <patternFill>
                  <bgColor theme="0"/>
                </patternFill>
              </fill>
            </x14:dxf>
          </x14:cfRule>
          <xm:sqref>F39:G39</xm:sqref>
        </x14:conditionalFormatting>
        <x14:conditionalFormatting xmlns:xm="http://schemas.microsoft.com/office/excel/2006/main">
          <x14:cfRule type="expression" priority="245" id="{BF7BAD95-619B-437B-B9C7-0725E444D099}">
            <xm:f>OR($C35=INputs!$A$3,$C35=INputs!$A$4)</xm:f>
            <x14:dxf>
              <font>
                <color theme="0"/>
              </font>
              <fill>
                <patternFill>
                  <bgColor theme="0"/>
                </patternFill>
              </fill>
            </x14:dxf>
          </x14:cfRule>
          <xm:sqref>F41:G41</xm:sqref>
        </x14:conditionalFormatting>
        <x14:conditionalFormatting xmlns:xm="http://schemas.microsoft.com/office/excel/2006/main">
          <x14:cfRule type="expression" priority="232" id="{0B01E80C-C1CE-4727-99D9-A689E7E7E44B}">
            <xm:f>OR($C43=INputs!$A$3,$C43=INputs!$A$4)</xm:f>
            <x14:dxf>
              <font>
                <color theme="0"/>
              </font>
              <fill>
                <patternFill>
                  <bgColor theme="0"/>
                </patternFill>
              </fill>
            </x14:dxf>
          </x14:cfRule>
          <xm:sqref>F45:G45</xm:sqref>
        </x14:conditionalFormatting>
        <x14:conditionalFormatting xmlns:xm="http://schemas.microsoft.com/office/excel/2006/main">
          <x14:cfRule type="expression" priority="231" id="{F96BA19A-457D-403D-B4A3-61003AFB71A8}">
            <xm:f>OR($C43=INputs!$A$3,$C43=INputs!$A$4)</xm:f>
            <x14:dxf>
              <font>
                <color theme="0"/>
              </font>
              <fill>
                <patternFill>
                  <bgColor theme="0"/>
                </patternFill>
              </fill>
            </x14:dxf>
          </x14:cfRule>
          <xm:sqref>F47:G47</xm:sqref>
        </x14:conditionalFormatting>
        <x14:conditionalFormatting xmlns:xm="http://schemas.microsoft.com/office/excel/2006/main">
          <x14:cfRule type="expression" priority="230" id="{60FE0385-DF00-4E5A-B14E-9D918E28184B}">
            <xm:f>OR($C43=INputs!$A$3,$C43=INputs!$A$4)</xm:f>
            <x14:dxf>
              <font>
                <color theme="0"/>
              </font>
              <fill>
                <patternFill>
                  <bgColor theme="0"/>
                </patternFill>
              </fill>
            </x14:dxf>
          </x14:cfRule>
          <xm:sqref>F49:G49</xm:sqref>
        </x14:conditionalFormatting>
        <x14:conditionalFormatting xmlns:xm="http://schemas.microsoft.com/office/excel/2006/main">
          <x14:cfRule type="expression" priority="217" id="{47B2FE99-49C6-442D-AF09-1CD8D07A30FE}">
            <xm:f>OR($C51=INputs!$A$3,$C51=INputs!$A$4)</xm:f>
            <x14:dxf>
              <font>
                <color theme="0"/>
              </font>
              <fill>
                <patternFill>
                  <bgColor theme="0"/>
                </patternFill>
              </fill>
            </x14:dxf>
          </x14:cfRule>
          <xm:sqref>F53:G53</xm:sqref>
        </x14:conditionalFormatting>
        <x14:conditionalFormatting xmlns:xm="http://schemas.microsoft.com/office/excel/2006/main">
          <x14:cfRule type="expression" priority="216" id="{C0442535-9D4B-4969-BE4A-A9AD5F85365F}">
            <xm:f>OR($C51=INputs!$A$3,$C51=INputs!$A$4)</xm:f>
            <x14:dxf>
              <font>
                <color theme="0"/>
              </font>
              <fill>
                <patternFill>
                  <bgColor theme="0"/>
                </patternFill>
              </fill>
            </x14:dxf>
          </x14:cfRule>
          <xm:sqref>F55:G55</xm:sqref>
        </x14:conditionalFormatting>
        <x14:conditionalFormatting xmlns:xm="http://schemas.microsoft.com/office/excel/2006/main">
          <x14:cfRule type="expression" priority="215" id="{E6D573D0-A88B-4D76-9FD4-A58C730EE2B4}">
            <xm:f>OR($C51=INputs!$A$3,$C51=INputs!$A$4)</xm:f>
            <x14:dxf>
              <font>
                <color theme="0"/>
              </font>
              <fill>
                <patternFill>
                  <bgColor theme="0"/>
                </patternFill>
              </fill>
            </x14:dxf>
          </x14:cfRule>
          <xm:sqref>F57:G57</xm:sqref>
        </x14:conditionalFormatting>
        <x14:conditionalFormatting xmlns:xm="http://schemas.microsoft.com/office/excel/2006/main">
          <x14:cfRule type="expression" priority="202" id="{C092FA1A-6DC5-4193-A561-EB71C3A4D9FE}">
            <xm:f>OR($C59=INputs!$A$3,$C59=INputs!$A$4)</xm:f>
            <x14:dxf>
              <font>
                <color theme="0"/>
              </font>
              <fill>
                <patternFill>
                  <bgColor theme="0"/>
                </patternFill>
              </fill>
            </x14:dxf>
          </x14:cfRule>
          <xm:sqref>F61:G61</xm:sqref>
        </x14:conditionalFormatting>
        <x14:conditionalFormatting xmlns:xm="http://schemas.microsoft.com/office/excel/2006/main">
          <x14:cfRule type="expression" priority="201" id="{82C4C78A-D227-4894-8785-3B19F622496D}">
            <xm:f>OR($C59=INputs!$A$3,$C59=INputs!$A$4)</xm:f>
            <x14:dxf>
              <font>
                <color theme="0"/>
              </font>
              <fill>
                <patternFill>
                  <bgColor theme="0"/>
                </patternFill>
              </fill>
            </x14:dxf>
          </x14:cfRule>
          <xm:sqref>F63:G63</xm:sqref>
        </x14:conditionalFormatting>
        <x14:conditionalFormatting xmlns:xm="http://schemas.microsoft.com/office/excel/2006/main">
          <x14:cfRule type="expression" priority="200" id="{7BCA7327-7121-447B-9200-7040B46B51A2}">
            <xm:f>OR($C59=INputs!$A$3,$C59=INputs!$A$4)</xm:f>
            <x14:dxf>
              <font>
                <color theme="0"/>
              </font>
              <fill>
                <patternFill>
                  <bgColor theme="0"/>
                </patternFill>
              </fill>
            </x14:dxf>
          </x14:cfRule>
          <xm:sqref>F65:G65</xm:sqref>
        </x14:conditionalFormatting>
        <x14:conditionalFormatting xmlns:xm="http://schemas.microsoft.com/office/excel/2006/main">
          <x14:cfRule type="expression" priority="187" id="{D236D48F-8D6E-4D76-999B-64CA07C77A9F}">
            <xm:f>OR($C67=INputs!$A$3,$C67=INputs!$A$4)</xm:f>
            <x14:dxf>
              <font>
                <color theme="0"/>
              </font>
              <fill>
                <patternFill>
                  <bgColor theme="0"/>
                </patternFill>
              </fill>
            </x14:dxf>
          </x14:cfRule>
          <xm:sqref>F69:G69</xm:sqref>
        </x14:conditionalFormatting>
        <x14:conditionalFormatting xmlns:xm="http://schemas.microsoft.com/office/excel/2006/main">
          <x14:cfRule type="expression" priority="186" id="{B863897F-1D63-401C-A222-F898509497A9}">
            <xm:f>OR($C67=INputs!$A$3,$C67=INputs!$A$4)</xm:f>
            <x14:dxf>
              <font>
                <color theme="0"/>
              </font>
              <fill>
                <patternFill>
                  <bgColor theme="0"/>
                </patternFill>
              </fill>
            </x14:dxf>
          </x14:cfRule>
          <xm:sqref>F71:G71</xm:sqref>
        </x14:conditionalFormatting>
        <x14:conditionalFormatting xmlns:xm="http://schemas.microsoft.com/office/excel/2006/main">
          <x14:cfRule type="expression" priority="185" id="{1CC66BFC-66E3-4D83-A47E-967004C9C20C}">
            <xm:f>OR($C67=INputs!$A$3,$C67=INputs!$A$4)</xm:f>
            <x14:dxf>
              <font>
                <color theme="0"/>
              </font>
              <fill>
                <patternFill>
                  <bgColor theme="0"/>
                </patternFill>
              </fill>
            </x14:dxf>
          </x14:cfRule>
          <xm:sqref>F73:G73</xm:sqref>
        </x14:conditionalFormatting>
        <x14:conditionalFormatting xmlns:xm="http://schemas.microsoft.com/office/excel/2006/main">
          <x14:cfRule type="expression" priority="172" id="{88C2BD49-1DE8-430E-B8F4-8F7B5B52708D}">
            <xm:f>OR($C75=INputs!$A$3,$C75=INputs!$A$4)</xm:f>
            <x14:dxf>
              <font>
                <color theme="0"/>
              </font>
              <fill>
                <patternFill>
                  <bgColor theme="0"/>
                </patternFill>
              </fill>
            </x14:dxf>
          </x14:cfRule>
          <xm:sqref>F77:G77</xm:sqref>
        </x14:conditionalFormatting>
        <x14:conditionalFormatting xmlns:xm="http://schemas.microsoft.com/office/excel/2006/main">
          <x14:cfRule type="expression" priority="171" id="{11FE4B10-D852-49EB-9B5C-E095D0B164CA}">
            <xm:f>OR($C75=INputs!$A$3,$C75=INputs!$A$4)</xm:f>
            <x14:dxf>
              <font>
                <color theme="0"/>
              </font>
              <fill>
                <patternFill>
                  <bgColor theme="0"/>
                </patternFill>
              </fill>
            </x14:dxf>
          </x14:cfRule>
          <xm:sqref>F79:G79</xm:sqref>
        </x14:conditionalFormatting>
        <x14:conditionalFormatting xmlns:xm="http://schemas.microsoft.com/office/excel/2006/main">
          <x14:cfRule type="expression" priority="170" id="{8ED5EE6A-F7EE-40C7-AC91-22739B35EA5E}">
            <xm:f>OR($C75=INputs!$A$3,$C75=INputs!$A$4)</xm:f>
            <x14:dxf>
              <font>
                <color theme="0"/>
              </font>
              <fill>
                <patternFill>
                  <bgColor theme="0"/>
                </patternFill>
              </fill>
            </x14:dxf>
          </x14:cfRule>
          <xm:sqref>F81:G81</xm:sqref>
        </x14:conditionalFormatting>
        <x14:conditionalFormatting xmlns:xm="http://schemas.microsoft.com/office/excel/2006/main">
          <x14:cfRule type="expression" priority="157" id="{3F849517-2F79-4B82-95C2-169AC31081DF}">
            <xm:f>OR($C83=INputs!$A$3,$C83=INputs!$A$4)</xm:f>
            <x14:dxf>
              <font>
                <color theme="0"/>
              </font>
              <fill>
                <patternFill>
                  <bgColor theme="0"/>
                </patternFill>
              </fill>
            </x14:dxf>
          </x14:cfRule>
          <xm:sqref>F85:G85</xm:sqref>
        </x14:conditionalFormatting>
        <x14:conditionalFormatting xmlns:xm="http://schemas.microsoft.com/office/excel/2006/main">
          <x14:cfRule type="expression" priority="156" id="{FAC915DE-7706-4EF3-A756-EB3AD1BB696F}">
            <xm:f>OR($C83=INputs!$A$3,$C83=INputs!$A$4)</xm:f>
            <x14:dxf>
              <font>
                <color theme="0"/>
              </font>
              <fill>
                <patternFill>
                  <bgColor theme="0"/>
                </patternFill>
              </fill>
            </x14:dxf>
          </x14:cfRule>
          <xm:sqref>F87:G87</xm:sqref>
        </x14:conditionalFormatting>
        <x14:conditionalFormatting xmlns:xm="http://schemas.microsoft.com/office/excel/2006/main">
          <x14:cfRule type="expression" priority="155" id="{FC2B160B-BD3D-4AD9-82E5-6A4FA6551C5F}">
            <xm:f>OR($C83=INputs!$A$3,$C83=INputs!$A$4)</xm:f>
            <x14:dxf>
              <font>
                <color theme="0"/>
              </font>
              <fill>
                <patternFill>
                  <bgColor theme="0"/>
                </patternFill>
              </fill>
            </x14:dxf>
          </x14:cfRule>
          <xm:sqref>F89:G89</xm:sqref>
        </x14:conditionalFormatting>
        <x14:conditionalFormatting xmlns:xm="http://schemas.microsoft.com/office/excel/2006/main">
          <x14:cfRule type="expression" priority="142" id="{531739A8-EC9A-4892-A05D-674A5CC93E1D}">
            <xm:f>OR($C91=INputs!$A$3,$C91=INputs!$A$4)</xm:f>
            <x14:dxf>
              <font>
                <color theme="0"/>
              </font>
              <fill>
                <patternFill>
                  <bgColor theme="0"/>
                </patternFill>
              </fill>
            </x14:dxf>
          </x14:cfRule>
          <xm:sqref>F93:G93</xm:sqref>
        </x14:conditionalFormatting>
        <x14:conditionalFormatting xmlns:xm="http://schemas.microsoft.com/office/excel/2006/main">
          <x14:cfRule type="expression" priority="141" id="{1F05A349-F455-4FC1-9871-6DF0DA5B3FF4}">
            <xm:f>OR($C91=INputs!$A$3,$C91=INputs!$A$4)</xm:f>
            <x14:dxf>
              <font>
                <color theme="0"/>
              </font>
              <fill>
                <patternFill>
                  <bgColor theme="0"/>
                </patternFill>
              </fill>
            </x14:dxf>
          </x14:cfRule>
          <xm:sqref>F95:G95</xm:sqref>
        </x14:conditionalFormatting>
        <x14:conditionalFormatting xmlns:xm="http://schemas.microsoft.com/office/excel/2006/main">
          <x14:cfRule type="expression" priority="140" id="{307BA9C5-A723-42CF-9551-66E50ECE9B4D}">
            <xm:f>OR($C91=INputs!$A$3,$C91=INputs!$A$4)</xm:f>
            <x14:dxf>
              <font>
                <color theme="0"/>
              </font>
              <fill>
                <patternFill>
                  <bgColor theme="0"/>
                </patternFill>
              </fill>
            </x14:dxf>
          </x14:cfRule>
          <xm:sqref>F97:G97</xm:sqref>
        </x14:conditionalFormatting>
        <x14:conditionalFormatting xmlns:xm="http://schemas.microsoft.com/office/excel/2006/main">
          <x14:cfRule type="expression" priority="127" id="{F5AAD17C-9000-4A66-9A28-47D2D3014BA1}">
            <xm:f>OR($C99=INputs!$A$3,$C99=INputs!$A$4)</xm:f>
            <x14:dxf>
              <font>
                <color theme="0"/>
              </font>
              <fill>
                <patternFill>
                  <bgColor theme="0"/>
                </patternFill>
              </fill>
            </x14:dxf>
          </x14:cfRule>
          <xm:sqref>F101:G101</xm:sqref>
        </x14:conditionalFormatting>
        <x14:conditionalFormatting xmlns:xm="http://schemas.microsoft.com/office/excel/2006/main">
          <x14:cfRule type="expression" priority="126" id="{E2A2AFDA-97B0-47D4-8592-2A27D2EF748B}">
            <xm:f>OR($C99=INputs!$A$3,$C99=INputs!$A$4)</xm:f>
            <x14:dxf>
              <font>
                <color theme="0"/>
              </font>
              <fill>
                <patternFill>
                  <bgColor theme="0"/>
                </patternFill>
              </fill>
            </x14:dxf>
          </x14:cfRule>
          <xm:sqref>F103:G103</xm:sqref>
        </x14:conditionalFormatting>
        <x14:conditionalFormatting xmlns:xm="http://schemas.microsoft.com/office/excel/2006/main">
          <x14:cfRule type="expression" priority="125" id="{6453B847-7035-4F0B-BF85-F7BE4B32890D}">
            <xm:f>OR($C99=INputs!$A$3,$C99=INputs!$A$4)</xm:f>
            <x14:dxf>
              <font>
                <color theme="0"/>
              </font>
              <fill>
                <patternFill>
                  <bgColor theme="0"/>
                </patternFill>
              </fill>
            </x14:dxf>
          </x14:cfRule>
          <xm:sqref>F105:G105</xm:sqref>
        </x14:conditionalFormatting>
        <x14:conditionalFormatting xmlns:xm="http://schemas.microsoft.com/office/excel/2006/main">
          <x14:cfRule type="expression" priority="112" id="{2103654D-A476-4434-B425-54547DAF5B61}">
            <xm:f>OR($C107=INputs!$A$3,$C107=INputs!$A$4)</xm:f>
            <x14:dxf>
              <font>
                <color theme="0"/>
              </font>
              <fill>
                <patternFill>
                  <bgColor theme="0"/>
                </patternFill>
              </fill>
            </x14:dxf>
          </x14:cfRule>
          <xm:sqref>F109:G109</xm:sqref>
        </x14:conditionalFormatting>
        <x14:conditionalFormatting xmlns:xm="http://schemas.microsoft.com/office/excel/2006/main">
          <x14:cfRule type="expression" priority="111" id="{68AA9BC7-6CA7-4116-B999-0BDA401DBAAD}">
            <xm:f>OR($C107=INputs!$A$3,$C107=INputs!$A$4)</xm:f>
            <x14:dxf>
              <font>
                <color theme="0"/>
              </font>
              <fill>
                <patternFill>
                  <bgColor theme="0"/>
                </patternFill>
              </fill>
            </x14:dxf>
          </x14:cfRule>
          <xm:sqref>F111:G111</xm:sqref>
        </x14:conditionalFormatting>
        <x14:conditionalFormatting xmlns:xm="http://schemas.microsoft.com/office/excel/2006/main">
          <x14:cfRule type="expression" priority="110" id="{1D786910-B25A-4F63-8519-093FBA7F6A07}">
            <xm:f>OR($C107=INputs!$A$3,$C107=INputs!$A$4)</xm:f>
            <x14:dxf>
              <font>
                <color theme="0"/>
              </font>
              <fill>
                <patternFill>
                  <bgColor theme="0"/>
                </patternFill>
              </fill>
            </x14:dxf>
          </x14:cfRule>
          <xm:sqref>F113:G113</xm:sqref>
        </x14:conditionalFormatting>
        <x14:conditionalFormatting xmlns:xm="http://schemas.microsoft.com/office/excel/2006/main">
          <x14:cfRule type="expression" priority="97" id="{D0EB0FD8-AA2B-408C-AFBD-C7BAB6E21A03}">
            <xm:f>OR($C115=INputs!$A$3,$C115=INputs!$A$4)</xm:f>
            <x14:dxf>
              <font>
                <color theme="0"/>
              </font>
              <fill>
                <patternFill>
                  <bgColor theme="0"/>
                </patternFill>
              </fill>
            </x14:dxf>
          </x14:cfRule>
          <xm:sqref>F117:G117</xm:sqref>
        </x14:conditionalFormatting>
        <x14:conditionalFormatting xmlns:xm="http://schemas.microsoft.com/office/excel/2006/main">
          <x14:cfRule type="expression" priority="96" id="{3AB9635A-851D-4CA0-A220-37F01FCDD3AF}">
            <xm:f>OR($C115=INputs!$A$3,$C115=INputs!$A$4)</xm:f>
            <x14:dxf>
              <font>
                <color theme="0"/>
              </font>
              <fill>
                <patternFill>
                  <bgColor theme="0"/>
                </patternFill>
              </fill>
            </x14:dxf>
          </x14:cfRule>
          <xm:sqref>F119:G119</xm:sqref>
        </x14:conditionalFormatting>
        <x14:conditionalFormatting xmlns:xm="http://schemas.microsoft.com/office/excel/2006/main">
          <x14:cfRule type="expression" priority="95" id="{61FEE70E-6A25-46AE-ADDB-AC59725E661E}">
            <xm:f>OR($C115=INputs!$A$3,$C115=INputs!$A$4)</xm:f>
            <x14:dxf>
              <font>
                <color theme="0"/>
              </font>
              <fill>
                <patternFill>
                  <bgColor theme="0"/>
                </patternFill>
              </fill>
            </x14:dxf>
          </x14:cfRule>
          <xm:sqref>F121:G121</xm:sqref>
        </x14:conditionalFormatting>
        <x14:conditionalFormatting xmlns:xm="http://schemas.microsoft.com/office/excel/2006/main">
          <x14:cfRule type="expression" priority="82" id="{502D6BB3-574C-4175-BE82-7E012519AC79}">
            <xm:f>OR($C123=INputs!$A$3,$C123=INputs!$A$4)</xm:f>
            <x14:dxf>
              <font>
                <color theme="0"/>
              </font>
              <fill>
                <patternFill>
                  <bgColor theme="0"/>
                </patternFill>
              </fill>
            </x14:dxf>
          </x14:cfRule>
          <xm:sqref>F125:G125</xm:sqref>
        </x14:conditionalFormatting>
        <x14:conditionalFormatting xmlns:xm="http://schemas.microsoft.com/office/excel/2006/main">
          <x14:cfRule type="expression" priority="81" id="{FAD3EA3F-E292-4A6B-94E0-7720667815AB}">
            <xm:f>OR($C123=INputs!$A$3,$C123=INputs!$A$4)</xm:f>
            <x14:dxf>
              <font>
                <color theme="0"/>
              </font>
              <fill>
                <patternFill>
                  <bgColor theme="0"/>
                </patternFill>
              </fill>
            </x14:dxf>
          </x14:cfRule>
          <xm:sqref>F127:G127</xm:sqref>
        </x14:conditionalFormatting>
        <x14:conditionalFormatting xmlns:xm="http://schemas.microsoft.com/office/excel/2006/main">
          <x14:cfRule type="expression" priority="80" id="{C411D667-2B31-4293-B44D-5370FEBB8870}">
            <xm:f>OR($C123=INputs!$A$3,$C123=INputs!$A$4)</xm:f>
            <x14:dxf>
              <font>
                <color theme="0"/>
              </font>
              <fill>
                <patternFill>
                  <bgColor theme="0"/>
                </patternFill>
              </fill>
            </x14:dxf>
          </x14:cfRule>
          <xm:sqref>F129:G129</xm:sqref>
        </x14:conditionalFormatting>
        <x14:conditionalFormatting xmlns:xm="http://schemas.microsoft.com/office/excel/2006/main">
          <x14:cfRule type="expression" priority="67" id="{9FF2B607-687C-4FE6-8604-93C25A3AA36E}">
            <xm:f>OR($C131=INputs!$A$3,$C131=INputs!$A$4)</xm:f>
            <x14:dxf>
              <font>
                <color theme="0"/>
              </font>
              <fill>
                <patternFill>
                  <bgColor theme="0"/>
                </patternFill>
              </fill>
            </x14:dxf>
          </x14:cfRule>
          <xm:sqref>F133:G133</xm:sqref>
        </x14:conditionalFormatting>
        <x14:conditionalFormatting xmlns:xm="http://schemas.microsoft.com/office/excel/2006/main">
          <x14:cfRule type="expression" priority="66" id="{66C552C3-ADB8-4161-84E0-300A8C3D3169}">
            <xm:f>OR($C131=INputs!$A$3,$C131=INputs!$A$4)</xm:f>
            <x14:dxf>
              <font>
                <color theme="0"/>
              </font>
              <fill>
                <patternFill>
                  <bgColor theme="0"/>
                </patternFill>
              </fill>
            </x14:dxf>
          </x14:cfRule>
          <xm:sqref>F135:G135</xm:sqref>
        </x14:conditionalFormatting>
        <x14:conditionalFormatting xmlns:xm="http://schemas.microsoft.com/office/excel/2006/main">
          <x14:cfRule type="expression" priority="65" id="{14E26197-2982-4F55-A10E-76CF32F694A2}">
            <xm:f>OR($C131=INputs!$A$3,$C131=INputs!$A$4)</xm:f>
            <x14:dxf>
              <font>
                <color theme="0"/>
              </font>
              <fill>
                <patternFill>
                  <bgColor theme="0"/>
                </patternFill>
              </fill>
            </x14:dxf>
          </x14:cfRule>
          <xm:sqref>F137:G137</xm:sqref>
        </x14:conditionalFormatting>
        <x14:conditionalFormatting xmlns:xm="http://schemas.microsoft.com/office/excel/2006/main">
          <x14:cfRule type="expression" priority="52" id="{CE839C8D-885E-4DE3-AB74-4F55F781C802}">
            <xm:f>OR($C139=INputs!$A$3,$C139=INputs!$A$4)</xm:f>
            <x14:dxf>
              <font>
                <color theme="0"/>
              </font>
              <fill>
                <patternFill>
                  <bgColor theme="0"/>
                </patternFill>
              </fill>
            </x14:dxf>
          </x14:cfRule>
          <xm:sqref>F141:G141</xm:sqref>
        </x14:conditionalFormatting>
        <x14:conditionalFormatting xmlns:xm="http://schemas.microsoft.com/office/excel/2006/main">
          <x14:cfRule type="expression" priority="51" id="{1DDDB4D3-EB9E-479F-967A-2D88AB7B844A}">
            <xm:f>OR($C139=INputs!$A$3,$C139=INputs!$A$4)</xm:f>
            <x14:dxf>
              <font>
                <color theme="0"/>
              </font>
              <fill>
                <patternFill>
                  <bgColor theme="0"/>
                </patternFill>
              </fill>
            </x14:dxf>
          </x14:cfRule>
          <xm:sqref>F143:G143</xm:sqref>
        </x14:conditionalFormatting>
        <x14:conditionalFormatting xmlns:xm="http://schemas.microsoft.com/office/excel/2006/main">
          <x14:cfRule type="expression" priority="50" id="{0E1C854A-521E-4971-9EAA-5132BF47E0BB}">
            <xm:f>OR($C139=INputs!$A$3,$C139=INputs!$A$4)</xm:f>
            <x14:dxf>
              <font>
                <color theme="0"/>
              </font>
              <fill>
                <patternFill>
                  <bgColor theme="0"/>
                </patternFill>
              </fill>
            </x14:dxf>
          </x14:cfRule>
          <xm:sqref>F145:G145</xm:sqref>
        </x14:conditionalFormatting>
        <x14:conditionalFormatting xmlns:xm="http://schemas.microsoft.com/office/excel/2006/main">
          <x14:cfRule type="expression" priority="37" id="{A0060E65-965A-492B-9AA0-DED3F7A4A514}">
            <xm:f>OR($C147=INputs!$A$3,$C147=INputs!$A$4)</xm:f>
            <x14:dxf>
              <font>
                <color theme="0"/>
              </font>
              <fill>
                <patternFill>
                  <bgColor theme="0"/>
                </patternFill>
              </fill>
            </x14:dxf>
          </x14:cfRule>
          <xm:sqref>F149:G149</xm:sqref>
        </x14:conditionalFormatting>
        <x14:conditionalFormatting xmlns:xm="http://schemas.microsoft.com/office/excel/2006/main">
          <x14:cfRule type="expression" priority="36" id="{EC02BE2A-355E-4962-8EDF-D62D744C0B0C}">
            <xm:f>OR($C147=INputs!$A$3,$C147=INputs!$A$4)</xm:f>
            <x14:dxf>
              <font>
                <color theme="0"/>
              </font>
              <fill>
                <patternFill>
                  <bgColor theme="0"/>
                </patternFill>
              </fill>
            </x14:dxf>
          </x14:cfRule>
          <xm:sqref>F151:G151</xm:sqref>
        </x14:conditionalFormatting>
        <x14:conditionalFormatting xmlns:xm="http://schemas.microsoft.com/office/excel/2006/main">
          <x14:cfRule type="expression" priority="35" id="{6E3BA110-932E-452C-A5C2-75804C670B49}">
            <xm:f>OR($C147=INputs!$A$3,$C147=INputs!$A$4)</xm:f>
            <x14:dxf>
              <font>
                <color theme="0"/>
              </font>
              <fill>
                <patternFill>
                  <bgColor theme="0"/>
                </patternFill>
              </fill>
            </x14:dxf>
          </x14:cfRule>
          <xm:sqref>F153:G153</xm:sqref>
        </x14:conditionalFormatting>
        <x14:conditionalFormatting xmlns:xm="http://schemas.microsoft.com/office/excel/2006/main">
          <x14:cfRule type="expression" priority="22" id="{3A0CA34F-88BA-4B01-9D63-E1DB1421D863}">
            <xm:f>OR($C155=INputs!$A$3,$C155=INputs!$A$4)</xm:f>
            <x14:dxf>
              <font>
                <color theme="0"/>
              </font>
              <fill>
                <patternFill>
                  <bgColor theme="0"/>
                </patternFill>
              </fill>
            </x14:dxf>
          </x14:cfRule>
          <xm:sqref>F157:G157</xm:sqref>
        </x14:conditionalFormatting>
        <x14:conditionalFormatting xmlns:xm="http://schemas.microsoft.com/office/excel/2006/main">
          <x14:cfRule type="expression" priority="21" id="{E634C809-7AF3-44E1-AEFD-F2F7A200D6A2}">
            <xm:f>OR($C155=INputs!$A$3,$C155=INputs!$A$4)</xm:f>
            <x14:dxf>
              <font>
                <color theme="0"/>
              </font>
              <fill>
                <patternFill>
                  <bgColor theme="0"/>
                </patternFill>
              </fill>
            </x14:dxf>
          </x14:cfRule>
          <xm:sqref>F159:G159</xm:sqref>
        </x14:conditionalFormatting>
        <x14:conditionalFormatting xmlns:xm="http://schemas.microsoft.com/office/excel/2006/main">
          <x14:cfRule type="expression" priority="20" id="{44CBC5FB-3FA1-41D7-8567-38941F77ED02}">
            <xm:f>OR($C155=INputs!$A$3,$C155=INputs!$A$4)</xm:f>
            <x14:dxf>
              <font>
                <color theme="0"/>
              </font>
              <fill>
                <patternFill>
                  <bgColor theme="0"/>
                </patternFill>
              </fill>
            </x14:dxf>
          </x14:cfRule>
          <xm:sqref>F161:G161</xm:sqref>
        </x14:conditionalFormatting>
        <x14:conditionalFormatting xmlns:xm="http://schemas.microsoft.com/office/excel/2006/main">
          <x14:cfRule type="expression" priority="7" id="{996B3981-E116-444A-A34B-7CD58A59E450}">
            <xm:f>OR($C163=INputs!$A$3,$C163=INputs!$A$4)</xm:f>
            <x14:dxf>
              <font>
                <color theme="0"/>
              </font>
              <fill>
                <patternFill>
                  <bgColor theme="0"/>
                </patternFill>
              </fill>
            </x14:dxf>
          </x14:cfRule>
          <xm:sqref>F165:G165</xm:sqref>
        </x14:conditionalFormatting>
        <x14:conditionalFormatting xmlns:xm="http://schemas.microsoft.com/office/excel/2006/main">
          <x14:cfRule type="expression" priority="6" id="{B3DDED55-EF64-4317-87B8-A3EAE0C75410}">
            <xm:f>OR($C163=INputs!$A$3,$C163=INputs!$A$4)</xm:f>
            <x14:dxf>
              <font>
                <color theme="0"/>
              </font>
              <fill>
                <patternFill>
                  <bgColor theme="0"/>
                </patternFill>
              </fill>
            </x14:dxf>
          </x14:cfRule>
          <xm:sqref>F167:G167</xm:sqref>
        </x14:conditionalFormatting>
        <x14:conditionalFormatting xmlns:xm="http://schemas.microsoft.com/office/excel/2006/main">
          <x14:cfRule type="expression" priority="5" id="{2F1C1100-1EC1-46C8-A28A-7F197DC1B994}">
            <xm:f>OR($C163=INputs!$A$3,$C163=INputs!$A$4)</xm:f>
            <x14:dxf>
              <font>
                <color theme="0"/>
              </font>
              <fill>
                <patternFill>
                  <bgColor theme="0"/>
                </patternFill>
              </fill>
            </x14:dxf>
          </x14:cfRule>
          <xm:sqref>F169:G169</xm:sqref>
        </x14:conditionalFormatting>
        <x14:conditionalFormatting xmlns:xm="http://schemas.microsoft.com/office/excel/2006/main">
          <x14:cfRule type="expression" priority="274" id="{5C91E27C-AF77-4026-84A5-2A92D4E4207E}">
            <xm:f>OR($C11=INputs!$A$3,$C11=INputs!$A$4)</xm:f>
            <x14:dxf>
              <font>
                <color theme="0"/>
              </font>
              <fill>
                <patternFill>
                  <bgColor theme="0"/>
                </patternFill>
              </fill>
            </x14:dxf>
          </x14:cfRule>
          <xm:sqref>F11:H11</xm:sqref>
        </x14:conditionalFormatting>
        <x14:conditionalFormatting xmlns:xm="http://schemas.microsoft.com/office/excel/2006/main">
          <x14:cfRule type="expression" priority="292" id="{AD2BC392-7051-4D51-BC36-E345B7EA328A}">
            <xm:f>OR($C19=INputs!$A$3,$C19=INputs!$A$4)</xm:f>
            <x14:dxf>
              <font>
                <color theme="0"/>
              </font>
              <fill>
                <patternFill>
                  <bgColor theme="0"/>
                </patternFill>
              </fill>
            </x14:dxf>
          </x14:cfRule>
          <xm:sqref>F19:H19</xm:sqref>
        </x14:conditionalFormatting>
        <x14:conditionalFormatting xmlns:xm="http://schemas.microsoft.com/office/excel/2006/main">
          <x14:cfRule type="expression" priority="259" id="{3D95ECBE-9942-4CA8-BCA6-D8AAE313ACD4}">
            <xm:f>OR($C27=INputs!$A$3,$C27=INputs!$A$4)</xm:f>
            <x14:dxf>
              <font>
                <color theme="0"/>
              </font>
              <fill>
                <patternFill>
                  <bgColor theme="0"/>
                </patternFill>
              </fill>
            </x14:dxf>
          </x14:cfRule>
          <xm:sqref>F27:H27</xm:sqref>
        </x14:conditionalFormatting>
        <x14:conditionalFormatting xmlns:xm="http://schemas.microsoft.com/office/excel/2006/main">
          <x14:cfRule type="expression" priority="244" id="{26D33937-1E54-4DD2-A9C9-E32E53E13EF3}">
            <xm:f>OR($C35=INputs!$A$3,$C35=INputs!$A$4)</xm:f>
            <x14:dxf>
              <font>
                <color theme="0"/>
              </font>
              <fill>
                <patternFill>
                  <bgColor theme="0"/>
                </patternFill>
              </fill>
            </x14:dxf>
          </x14:cfRule>
          <xm:sqref>F35:H35</xm:sqref>
        </x14:conditionalFormatting>
        <x14:conditionalFormatting xmlns:xm="http://schemas.microsoft.com/office/excel/2006/main">
          <x14:cfRule type="expression" priority="229" id="{5A198E0D-9F6A-4326-835C-F090267D3B71}">
            <xm:f>OR($C43=INputs!$A$3,$C43=INputs!$A$4)</xm:f>
            <x14:dxf>
              <font>
                <color theme="0"/>
              </font>
              <fill>
                <patternFill>
                  <bgColor theme="0"/>
                </patternFill>
              </fill>
            </x14:dxf>
          </x14:cfRule>
          <xm:sqref>F43:H43</xm:sqref>
        </x14:conditionalFormatting>
        <x14:conditionalFormatting xmlns:xm="http://schemas.microsoft.com/office/excel/2006/main">
          <x14:cfRule type="expression" priority="214" id="{16D849F8-4C35-45C2-AEA0-CF51F2FC61C1}">
            <xm:f>OR($C51=INputs!$A$3,$C51=INputs!$A$4)</xm:f>
            <x14:dxf>
              <font>
                <color theme="0"/>
              </font>
              <fill>
                <patternFill>
                  <bgColor theme="0"/>
                </patternFill>
              </fill>
            </x14:dxf>
          </x14:cfRule>
          <xm:sqref>F51:H51</xm:sqref>
        </x14:conditionalFormatting>
        <x14:conditionalFormatting xmlns:xm="http://schemas.microsoft.com/office/excel/2006/main">
          <x14:cfRule type="expression" priority="199" id="{357B238A-233D-429B-951F-E788BA478F59}">
            <xm:f>OR($C59=INputs!$A$3,$C59=INputs!$A$4)</xm:f>
            <x14:dxf>
              <font>
                <color theme="0"/>
              </font>
              <fill>
                <patternFill>
                  <bgColor theme="0"/>
                </patternFill>
              </fill>
            </x14:dxf>
          </x14:cfRule>
          <xm:sqref>F59:H59</xm:sqref>
        </x14:conditionalFormatting>
        <x14:conditionalFormatting xmlns:xm="http://schemas.microsoft.com/office/excel/2006/main">
          <x14:cfRule type="expression" priority="184" id="{3341499B-4861-4A57-A832-363BD4FC515A}">
            <xm:f>OR($C67=INputs!$A$3,$C67=INputs!$A$4)</xm:f>
            <x14:dxf>
              <font>
                <color theme="0"/>
              </font>
              <fill>
                <patternFill>
                  <bgColor theme="0"/>
                </patternFill>
              </fill>
            </x14:dxf>
          </x14:cfRule>
          <xm:sqref>F67:H67</xm:sqref>
        </x14:conditionalFormatting>
        <x14:conditionalFormatting xmlns:xm="http://schemas.microsoft.com/office/excel/2006/main">
          <x14:cfRule type="expression" priority="169" id="{C7B828D4-CB8A-4261-BB7D-DCDB278F2FC6}">
            <xm:f>OR($C75=INputs!$A$3,$C75=INputs!$A$4)</xm:f>
            <x14:dxf>
              <font>
                <color theme="0"/>
              </font>
              <fill>
                <patternFill>
                  <bgColor theme="0"/>
                </patternFill>
              </fill>
            </x14:dxf>
          </x14:cfRule>
          <xm:sqref>F75:H75</xm:sqref>
        </x14:conditionalFormatting>
        <x14:conditionalFormatting xmlns:xm="http://schemas.microsoft.com/office/excel/2006/main">
          <x14:cfRule type="expression" priority="154" id="{875578DF-2721-425C-9415-5367E1266EF3}">
            <xm:f>OR($C83=INputs!$A$3,$C83=INputs!$A$4)</xm:f>
            <x14:dxf>
              <font>
                <color theme="0"/>
              </font>
              <fill>
                <patternFill>
                  <bgColor theme="0"/>
                </patternFill>
              </fill>
            </x14:dxf>
          </x14:cfRule>
          <xm:sqref>F83:H83</xm:sqref>
        </x14:conditionalFormatting>
        <x14:conditionalFormatting xmlns:xm="http://schemas.microsoft.com/office/excel/2006/main">
          <x14:cfRule type="expression" priority="139" id="{C9B17E19-E59C-4D60-9BD3-B6B90E5BFE78}">
            <xm:f>OR($C91=INputs!$A$3,$C91=INputs!$A$4)</xm:f>
            <x14:dxf>
              <font>
                <color theme="0"/>
              </font>
              <fill>
                <patternFill>
                  <bgColor theme="0"/>
                </patternFill>
              </fill>
            </x14:dxf>
          </x14:cfRule>
          <xm:sqref>F91:H91</xm:sqref>
        </x14:conditionalFormatting>
        <x14:conditionalFormatting xmlns:xm="http://schemas.microsoft.com/office/excel/2006/main">
          <x14:cfRule type="expression" priority="124" id="{2FA3FD40-6EF6-4B41-8415-DCADDE5FDCA3}">
            <xm:f>OR($C99=INputs!$A$3,$C99=INputs!$A$4)</xm:f>
            <x14:dxf>
              <font>
                <color theme="0"/>
              </font>
              <fill>
                <patternFill>
                  <bgColor theme="0"/>
                </patternFill>
              </fill>
            </x14:dxf>
          </x14:cfRule>
          <xm:sqref>F99:H99</xm:sqref>
        </x14:conditionalFormatting>
        <x14:conditionalFormatting xmlns:xm="http://schemas.microsoft.com/office/excel/2006/main">
          <x14:cfRule type="expression" priority="109" id="{C526430B-381A-4E41-96C7-59108C2581D2}">
            <xm:f>OR($C107=INputs!$A$3,$C107=INputs!$A$4)</xm:f>
            <x14:dxf>
              <font>
                <color theme="0"/>
              </font>
              <fill>
                <patternFill>
                  <bgColor theme="0"/>
                </patternFill>
              </fill>
            </x14:dxf>
          </x14:cfRule>
          <xm:sqref>F107:H107</xm:sqref>
        </x14:conditionalFormatting>
        <x14:conditionalFormatting xmlns:xm="http://schemas.microsoft.com/office/excel/2006/main">
          <x14:cfRule type="expression" priority="94" id="{952B3BC8-64FE-4780-9371-6EEF43DAFB03}">
            <xm:f>OR($C115=INputs!$A$3,$C115=INputs!$A$4)</xm:f>
            <x14:dxf>
              <font>
                <color theme="0"/>
              </font>
              <fill>
                <patternFill>
                  <bgColor theme="0"/>
                </patternFill>
              </fill>
            </x14:dxf>
          </x14:cfRule>
          <xm:sqref>F115:H115</xm:sqref>
        </x14:conditionalFormatting>
        <x14:conditionalFormatting xmlns:xm="http://schemas.microsoft.com/office/excel/2006/main">
          <x14:cfRule type="expression" priority="79" id="{D2E1CBB6-B6F5-47A0-8464-91543EFCB647}">
            <xm:f>OR($C123=INputs!$A$3,$C123=INputs!$A$4)</xm:f>
            <x14:dxf>
              <font>
                <color theme="0"/>
              </font>
              <fill>
                <patternFill>
                  <bgColor theme="0"/>
                </patternFill>
              </fill>
            </x14:dxf>
          </x14:cfRule>
          <xm:sqref>F123:H123</xm:sqref>
        </x14:conditionalFormatting>
        <x14:conditionalFormatting xmlns:xm="http://schemas.microsoft.com/office/excel/2006/main">
          <x14:cfRule type="expression" priority="64" id="{BBE4A019-6A76-4CBD-B8DD-199C87C5201E}">
            <xm:f>OR($C131=INputs!$A$3,$C131=INputs!$A$4)</xm:f>
            <x14:dxf>
              <font>
                <color theme="0"/>
              </font>
              <fill>
                <patternFill>
                  <bgColor theme="0"/>
                </patternFill>
              </fill>
            </x14:dxf>
          </x14:cfRule>
          <xm:sqref>F131:H131</xm:sqref>
        </x14:conditionalFormatting>
        <x14:conditionalFormatting xmlns:xm="http://schemas.microsoft.com/office/excel/2006/main">
          <x14:cfRule type="expression" priority="49" id="{F653901D-D1DE-4223-AA72-EEDD714EB063}">
            <xm:f>OR($C139=INputs!$A$3,$C139=INputs!$A$4)</xm:f>
            <x14:dxf>
              <font>
                <color theme="0"/>
              </font>
              <fill>
                <patternFill>
                  <bgColor theme="0"/>
                </patternFill>
              </fill>
            </x14:dxf>
          </x14:cfRule>
          <xm:sqref>F139:H139</xm:sqref>
        </x14:conditionalFormatting>
        <x14:conditionalFormatting xmlns:xm="http://schemas.microsoft.com/office/excel/2006/main">
          <x14:cfRule type="expression" priority="34" id="{BFB6A83F-9508-431F-A2C9-31F4026FADE1}">
            <xm:f>OR($C147=INputs!$A$3,$C147=INputs!$A$4)</xm:f>
            <x14:dxf>
              <font>
                <color theme="0"/>
              </font>
              <fill>
                <patternFill>
                  <bgColor theme="0"/>
                </patternFill>
              </fill>
            </x14:dxf>
          </x14:cfRule>
          <xm:sqref>F147:H147</xm:sqref>
        </x14:conditionalFormatting>
        <x14:conditionalFormatting xmlns:xm="http://schemas.microsoft.com/office/excel/2006/main">
          <x14:cfRule type="expression" priority="19" id="{2516F355-5C8E-4515-BD96-97BD17089824}">
            <xm:f>OR($C155=INputs!$A$3,$C155=INputs!$A$4)</xm:f>
            <x14:dxf>
              <font>
                <color theme="0"/>
              </font>
              <fill>
                <patternFill>
                  <bgColor theme="0"/>
                </patternFill>
              </fill>
            </x14:dxf>
          </x14:cfRule>
          <xm:sqref>F155:H155</xm:sqref>
        </x14:conditionalFormatting>
        <x14:conditionalFormatting xmlns:xm="http://schemas.microsoft.com/office/excel/2006/main">
          <x14:cfRule type="expression" priority="4" id="{DF6AEF91-7013-4382-AF4F-CF1572505B42}">
            <xm:f>OR($C163=INputs!$A$3,$C163=INputs!$A$4)</xm:f>
            <x14:dxf>
              <font>
                <color theme="0"/>
              </font>
              <fill>
                <patternFill>
                  <bgColor theme="0"/>
                </patternFill>
              </fill>
            </x14:dxf>
          </x14:cfRule>
          <xm:sqref>F163:H163</xm:sqref>
        </x14:conditionalFormatting>
        <x14:conditionalFormatting xmlns:xm="http://schemas.microsoft.com/office/excel/2006/main">
          <x14:cfRule type="expression" priority="273" id="{8832B69D-8463-40A4-82AD-807A8B841C85}">
            <xm:f>OR($C11=INputs!$A$3,$C11=INputs!$A$4)</xm:f>
            <x14:dxf>
              <font>
                <color theme="0"/>
              </font>
            </x14:dxf>
          </x14:cfRule>
          <xm:sqref>H13</xm:sqref>
        </x14:conditionalFormatting>
        <x14:conditionalFormatting xmlns:xm="http://schemas.microsoft.com/office/excel/2006/main">
          <x14:cfRule type="expression" priority="272" id="{0CE350A3-B7EC-405A-9958-A14BE3847EA5}">
            <xm:f>OR($C11=INputs!$A$3,$C11=INputs!$A$4)</xm:f>
            <x14:dxf>
              <font>
                <color theme="0"/>
              </font>
            </x14:dxf>
          </x14:cfRule>
          <xm:sqref>H15</xm:sqref>
        </x14:conditionalFormatting>
        <x14:conditionalFormatting xmlns:xm="http://schemas.microsoft.com/office/excel/2006/main">
          <x14:cfRule type="expression" priority="271" id="{9BFF06C1-AE34-479C-9D0E-0857C009C879}">
            <xm:f>OR($C11=INputs!$A$3,$C11=INputs!$A$4)</xm:f>
            <x14:dxf>
              <font>
                <color theme="0"/>
              </font>
            </x14:dxf>
          </x14:cfRule>
          <xm:sqref>H17</xm:sqref>
        </x14:conditionalFormatting>
        <x14:conditionalFormatting xmlns:xm="http://schemas.microsoft.com/office/excel/2006/main">
          <x14:cfRule type="expression" priority="291" id="{B9437C24-C2F4-4C9A-9C52-97D1FEEF8F91}">
            <xm:f>OR($C19=INputs!$A$3,$C19=INputs!$A$4)</xm:f>
            <x14:dxf>
              <font>
                <color theme="0"/>
              </font>
            </x14:dxf>
          </x14:cfRule>
          <xm:sqref>H21</xm:sqref>
        </x14:conditionalFormatting>
        <x14:conditionalFormatting xmlns:xm="http://schemas.microsoft.com/office/excel/2006/main">
          <x14:cfRule type="expression" priority="290" id="{03EE7CD8-83D0-40D6-82C1-CA11E4DCE6FC}">
            <xm:f>OR($C19=INputs!$A$3,$C19=INputs!$A$4)</xm:f>
            <x14:dxf>
              <font>
                <color theme="0"/>
              </font>
            </x14:dxf>
          </x14:cfRule>
          <xm:sqref>H23</xm:sqref>
        </x14:conditionalFormatting>
        <x14:conditionalFormatting xmlns:xm="http://schemas.microsoft.com/office/excel/2006/main">
          <x14:cfRule type="expression" priority="289" id="{858886A7-E141-4B41-BAB0-12BB195DFD93}">
            <xm:f>OR($C19=INputs!$A$3,$C19=INputs!$A$4)</xm:f>
            <x14:dxf>
              <font>
                <color theme="0"/>
              </font>
            </x14:dxf>
          </x14:cfRule>
          <xm:sqref>H25</xm:sqref>
        </x14:conditionalFormatting>
        <x14:conditionalFormatting xmlns:xm="http://schemas.microsoft.com/office/excel/2006/main">
          <x14:cfRule type="expression" priority="258" id="{52A8ED5C-245B-40FB-88C8-2A57F46A14A2}">
            <xm:f>OR($C27=INputs!$A$3,$C27=INputs!$A$4)</xm:f>
            <x14:dxf>
              <font>
                <color theme="0"/>
              </font>
            </x14:dxf>
          </x14:cfRule>
          <xm:sqref>H29</xm:sqref>
        </x14:conditionalFormatting>
        <x14:conditionalFormatting xmlns:xm="http://schemas.microsoft.com/office/excel/2006/main">
          <x14:cfRule type="expression" priority="257" id="{74478924-B6FB-4C6D-9BB9-43BDE73B40F4}">
            <xm:f>OR($C27=INputs!$A$3,$C27=INputs!$A$4)</xm:f>
            <x14:dxf>
              <font>
                <color theme="0"/>
              </font>
            </x14:dxf>
          </x14:cfRule>
          <xm:sqref>H31</xm:sqref>
        </x14:conditionalFormatting>
        <x14:conditionalFormatting xmlns:xm="http://schemas.microsoft.com/office/excel/2006/main">
          <x14:cfRule type="expression" priority="256" id="{CB4F4E21-1E0C-4378-A9AE-C0F6FF5FE934}">
            <xm:f>OR($C27=INputs!$A$3,$C27=INputs!$A$4)</xm:f>
            <x14:dxf>
              <font>
                <color theme="0"/>
              </font>
            </x14:dxf>
          </x14:cfRule>
          <xm:sqref>H33</xm:sqref>
        </x14:conditionalFormatting>
        <x14:conditionalFormatting xmlns:xm="http://schemas.microsoft.com/office/excel/2006/main">
          <x14:cfRule type="expression" priority="243" id="{37736193-FE82-4770-9213-AF2CE4E1A709}">
            <xm:f>OR($C35=INputs!$A$3,$C35=INputs!$A$4)</xm:f>
            <x14:dxf>
              <font>
                <color theme="0"/>
              </font>
            </x14:dxf>
          </x14:cfRule>
          <xm:sqref>H37</xm:sqref>
        </x14:conditionalFormatting>
        <x14:conditionalFormatting xmlns:xm="http://schemas.microsoft.com/office/excel/2006/main">
          <x14:cfRule type="expression" priority="242" id="{66EE4A6F-39A0-4E6D-856C-E0942AF527C4}">
            <xm:f>OR($C35=INputs!$A$3,$C35=INputs!$A$4)</xm:f>
            <x14:dxf>
              <font>
                <color theme="0"/>
              </font>
            </x14:dxf>
          </x14:cfRule>
          <xm:sqref>H39</xm:sqref>
        </x14:conditionalFormatting>
        <x14:conditionalFormatting xmlns:xm="http://schemas.microsoft.com/office/excel/2006/main">
          <x14:cfRule type="expression" priority="241" id="{DDDD8311-7121-42ED-B0F8-455F1428B5D1}">
            <xm:f>OR($C35=INputs!$A$3,$C35=INputs!$A$4)</xm:f>
            <x14:dxf>
              <font>
                <color theme="0"/>
              </font>
            </x14:dxf>
          </x14:cfRule>
          <xm:sqref>H41</xm:sqref>
        </x14:conditionalFormatting>
        <x14:conditionalFormatting xmlns:xm="http://schemas.microsoft.com/office/excel/2006/main">
          <x14:cfRule type="expression" priority="228" id="{674C7039-3363-4EDC-9442-BFB2C9C5F24E}">
            <xm:f>OR($C43=INputs!$A$3,$C43=INputs!$A$4)</xm:f>
            <x14:dxf>
              <font>
                <color theme="0"/>
              </font>
            </x14:dxf>
          </x14:cfRule>
          <xm:sqref>H45</xm:sqref>
        </x14:conditionalFormatting>
        <x14:conditionalFormatting xmlns:xm="http://schemas.microsoft.com/office/excel/2006/main">
          <x14:cfRule type="expression" priority="227" id="{C5FC365E-CF69-4432-B5A0-1BBF52500401}">
            <xm:f>OR($C43=INputs!$A$3,$C43=INputs!$A$4)</xm:f>
            <x14:dxf>
              <font>
                <color theme="0"/>
              </font>
            </x14:dxf>
          </x14:cfRule>
          <xm:sqref>H47</xm:sqref>
        </x14:conditionalFormatting>
        <x14:conditionalFormatting xmlns:xm="http://schemas.microsoft.com/office/excel/2006/main">
          <x14:cfRule type="expression" priority="226" id="{5981BDD8-7822-4085-A1F9-FEAA4B021C67}">
            <xm:f>OR($C43=INputs!$A$3,$C43=INputs!$A$4)</xm:f>
            <x14:dxf>
              <font>
                <color theme="0"/>
              </font>
            </x14:dxf>
          </x14:cfRule>
          <xm:sqref>H49</xm:sqref>
        </x14:conditionalFormatting>
        <x14:conditionalFormatting xmlns:xm="http://schemas.microsoft.com/office/excel/2006/main">
          <x14:cfRule type="expression" priority="213" id="{39775DBA-DDFA-4CFC-B955-B6408CEC0DBC}">
            <xm:f>OR($C51=INputs!$A$3,$C51=INputs!$A$4)</xm:f>
            <x14:dxf>
              <font>
                <color theme="0"/>
              </font>
            </x14:dxf>
          </x14:cfRule>
          <xm:sqref>H53</xm:sqref>
        </x14:conditionalFormatting>
        <x14:conditionalFormatting xmlns:xm="http://schemas.microsoft.com/office/excel/2006/main">
          <x14:cfRule type="expression" priority="212" id="{76248348-2EF9-44DF-BE4F-74EA0E08CEE4}">
            <xm:f>OR($C51=INputs!$A$3,$C51=INputs!$A$4)</xm:f>
            <x14:dxf>
              <font>
                <color theme="0"/>
              </font>
            </x14:dxf>
          </x14:cfRule>
          <xm:sqref>H55</xm:sqref>
        </x14:conditionalFormatting>
        <x14:conditionalFormatting xmlns:xm="http://schemas.microsoft.com/office/excel/2006/main">
          <x14:cfRule type="expression" priority="211" id="{A1204554-DFB6-4844-8759-61A154531CFC}">
            <xm:f>OR($C51=INputs!$A$3,$C51=INputs!$A$4)</xm:f>
            <x14:dxf>
              <font>
                <color theme="0"/>
              </font>
            </x14:dxf>
          </x14:cfRule>
          <xm:sqref>H57</xm:sqref>
        </x14:conditionalFormatting>
        <x14:conditionalFormatting xmlns:xm="http://schemas.microsoft.com/office/excel/2006/main">
          <x14:cfRule type="expression" priority="198" id="{82E696EE-8D2A-435F-A230-5FC438B947D2}">
            <xm:f>OR($C59=INputs!$A$3,$C59=INputs!$A$4)</xm:f>
            <x14:dxf>
              <font>
                <color theme="0"/>
              </font>
            </x14:dxf>
          </x14:cfRule>
          <xm:sqref>H61</xm:sqref>
        </x14:conditionalFormatting>
        <x14:conditionalFormatting xmlns:xm="http://schemas.microsoft.com/office/excel/2006/main">
          <x14:cfRule type="expression" priority="197" id="{419AFD47-C10D-4BEA-8D05-9261CB702FAA}">
            <xm:f>OR($C59=INputs!$A$3,$C59=INputs!$A$4)</xm:f>
            <x14:dxf>
              <font>
                <color theme="0"/>
              </font>
            </x14:dxf>
          </x14:cfRule>
          <xm:sqref>H63</xm:sqref>
        </x14:conditionalFormatting>
        <x14:conditionalFormatting xmlns:xm="http://schemas.microsoft.com/office/excel/2006/main">
          <x14:cfRule type="expression" priority="196" id="{0C05E5FD-9B50-4A85-AFD7-E93E2F370AD7}">
            <xm:f>OR($C59=INputs!$A$3,$C59=INputs!$A$4)</xm:f>
            <x14:dxf>
              <font>
                <color theme="0"/>
              </font>
            </x14:dxf>
          </x14:cfRule>
          <xm:sqref>H65</xm:sqref>
        </x14:conditionalFormatting>
        <x14:conditionalFormatting xmlns:xm="http://schemas.microsoft.com/office/excel/2006/main">
          <x14:cfRule type="expression" priority="183" id="{F86CA7B3-827E-4672-869F-34F972FB1AA2}">
            <xm:f>OR($C67=INputs!$A$3,$C67=INputs!$A$4)</xm:f>
            <x14:dxf>
              <font>
                <color theme="0"/>
              </font>
            </x14:dxf>
          </x14:cfRule>
          <xm:sqref>H69</xm:sqref>
        </x14:conditionalFormatting>
        <x14:conditionalFormatting xmlns:xm="http://schemas.microsoft.com/office/excel/2006/main">
          <x14:cfRule type="expression" priority="182" id="{E2876DBD-326F-46B8-BCAF-C6B7664AD53B}">
            <xm:f>OR($C67=INputs!$A$3,$C67=INputs!$A$4)</xm:f>
            <x14:dxf>
              <font>
                <color theme="0"/>
              </font>
            </x14:dxf>
          </x14:cfRule>
          <xm:sqref>H71</xm:sqref>
        </x14:conditionalFormatting>
        <x14:conditionalFormatting xmlns:xm="http://schemas.microsoft.com/office/excel/2006/main">
          <x14:cfRule type="expression" priority="181" id="{43A0C32B-A2DF-410A-9791-8E0095B92A2D}">
            <xm:f>OR($C67=INputs!$A$3,$C67=INputs!$A$4)</xm:f>
            <x14:dxf>
              <font>
                <color theme="0"/>
              </font>
            </x14:dxf>
          </x14:cfRule>
          <xm:sqref>H73</xm:sqref>
        </x14:conditionalFormatting>
        <x14:conditionalFormatting xmlns:xm="http://schemas.microsoft.com/office/excel/2006/main">
          <x14:cfRule type="expression" priority="168" id="{04000845-684F-4814-98CA-0266C736DB8A}">
            <xm:f>OR($C75=INputs!$A$3,$C75=INputs!$A$4)</xm:f>
            <x14:dxf>
              <font>
                <color theme="0"/>
              </font>
            </x14:dxf>
          </x14:cfRule>
          <xm:sqref>H77</xm:sqref>
        </x14:conditionalFormatting>
        <x14:conditionalFormatting xmlns:xm="http://schemas.microsoft.com/office/excel/2006/main">
          <x14:cfRule type="expression" priority="167" id="{095E2E67-385D-4CB8-8616-1076F8123DB6}">
            <xm:f>OR($C75=INputs!$A$3,$C75=INputs!$A$4)</xm:f>
            <x14:dxf>
              <font>
                <color theme="0"/>
              </font>
            </x14:dxf>
          </x14:cfRule>
          <xm:sqref>H79</xm:sqref>
        </x14:conditionalFormatting>
        <x14:conditionalFormatting xmlns:xm="http://schemas.microsoft.com/office/excel/2006/main">
          <x14:cfRule type="expression" priority="166" id="{844E6188-7CB1-4B4B-835B-FFF00BFA729E}">
            <xm:f>OR($C75=INputs!$A$3,$C75=INputs!$A$4)</xm:f>
            <x14:dxf>
              <font>
                <color theme="0"/>
              </font>
            </x14:dxf>
          </x14:cfRule>
          <xm:sqref>H81</xm:sqref>
        </x14:conditionalFormatting>
        <x14:conditionalFormatting xmlns:xm="http://schemas.microsoft.com/office/excel/2006/main">
          <x14:cfRule type="expression" priority="153" id="{5FADEB88-E8D3-45B9-AC3A-DE706972B35E}">
            <xm:f>OR($C83=INputs!$A$3,$C83=INputs!$A$4)</xm:f>
            <x14:dxf>
              <font>
                <color theme="0"/>
              </font>
            </x14:dxf>
          </x14:cfRule>
          <xm:sqref>H85</xm:sqref>
        </x14:conditionalFormatting>
        <x14:conditionalFormatting xmlns:xm="http://schemas.microsoft.com/office/excel/2006/main">
          <x14:cfRule type="expression" priority="152" id="{593AA14E-2DB1-4F7C-9DDD-02CB13DD6B00}">
            <xm:f>OR($C83=INputs!$A$3,$C83=INputs!$A$4)</xm:f>
            <x14:dxf>
              <font>
                <color theme="0"/>
              </font>
            </x14:dxf>
          </x14:cfRule>
          <xm:sqref>H87</xm:sqref>
        </x14:conditionalFormatting>
        <x14:conditionalFormatting xmlns:xm="http://schemas.microsoft.com/office/excel/2006/main">
          <x14:cfRule type="expression" priority="151" id="{B615E1B0-0DC6-4C47-AB59-9BF9FE773A2D}">
            <xm:f>OR($C83=INputs!$A$3,$C83=INputs!$A$4)</xm:f>
            <x14:dxf>
              <font>
                <color theme="0"/>
              </font>
            </x14:dxf>
          </x14:cfRule>
          <xm:sqref>H89</xm:sqref>
        </x14:conditionalFormatting>
        <x14:conditionalFormatting xmlns:xm="http://schemas.microsoft.com/office/excel/2006/main">
          <x14:cfRule type="expression" priority="138" id="{D52E2BF9-9AC6-473A-ABC9-8FB559190F44}">
            <xm:f>OR($C91=INputs!$A$3,$C91=INputs!$A$4)</xm:f>
            <x14:dxf>
              <font>
                <color theme="0"/>
              </font>
            </x14:dxf>
          </x14:cfRule>
          <xm:sqref>H93</xm:sqref>
        </x14:conditionalFormatting>
        <x14:conditionalFormatting xmlns:xm="http://schemas.microsoft.com/office/excel/2006/main">
          <x14:cfRule type="expression" priority="137" id="{353925E8-EB7F-44F4-84B0-C9E781238581}">
            <xm:f>OR($C91=INputs!$A$3,$C91=INputs!$A$4)</xm:f>
            <x14:dxf>
              <font>
                <color theme="0"/>
              </font>
            </x14:dxf>
          </x14:cfRule>
          <xm:sqref>H95</xm:sqref>
        </x14:conditionalFormatting>
        <x14:conditionalFormatting xmlns:xm="http://schemas.microsoft.com/office/excel/2006/main">
          <x14:cfRule type="expression" priority="136" id="{31C649E6-D7C5-4B5F-A4C6-85725A8AE07C}">
            <xm:f>OR($C91=INputs!$A$3,$C91=INputs!$A$4)</xm:f>
            <x14:dxf>
              <font>
                <color theme="0"/>
              </font>
            </x14:dxf>
          </x14:cfRule>
          <xm:sqref>H97</xm:sqref>
        </x14:conditionalFormatting>
        <x14:conditionalFormatting xmlns:xm="http://schemas.microsoft.com/office/excel/2006/main">
          <x14:cfRule type="expression" priority="123" id="{A1AA6F7D-1C5F-43D3-919A-6FB1AA6A3300}">
            <xm:f>OR($C99=INputs!$A$3,$C99=INputs!$A$4)</xm:f>
            <x14:dxf>
              <font>
                <color theme="0"/>
              </font>
            </x14:dxf>
          </x14:cfRule>
          <xm:sqref>H101</xm:sqref>
        </x14:conditionalFormatting>
        <x14:conditionalFormatting xmlns:xm="http://schemas.microsoft.com/office/excel/2006/main">
          <x14:cfRule type="expression" priority="122" id="{FA7B62AF-7D0E-43A7-8036-492B792F9B42}">
            <xm:f>OR($C99=INputs!$A$3,$C99=INputs!$A$4)</xm:f>
            <x14:dxf>
              <font>
                <color theme="0"/>
              </font>
            </x14:dxf>
          </x14:cfRule>
          <xm:sqref>H103</xm:sqref>
        </x14:conditionalFormatting>
        <x14:conditionalFormatting xmlns:xm="http://schemas.microsoft.com/office/excel/2006/main">
          <x14:cfRule type="expression" priority="121" id="{7DD74E39-2ABA-4D13-B81D-56054C051A0C}">
            <xm:f>OR($C99=INputs!$A$3,$C99=INputs!$A$4)</xm:f>
            <x14:dxf>
              <font>
                <color theme="0"/>
              </font>
            </x14:dxf>
          </x14:cfRule>
          <xm:sqref>H105</xm:sqref>
        </x14:conditionalFormatting>
        <x14:conditionalFormatting xmlns:xm="http://schemas.microsoft.com/office/excel/2006/main">
          <x14:cfRule type="expression" priority="108" id="{A19F6C5F-0C71-44EB-9C17-491A370786D3}">
            <xm:f>OR($C107=INputs!$A$3,$C107=INputs!$A$4)</xm:f>
            <x14:dxf>
              <font>
                <color theme="0"/>
              </font>
            </x14:dxf>
          </x14:cfRule>
          <xm:sqref>H109</xm:sqref>
        </x14:conditionalFormatting>
        <x14:conditionalFormatting xmlns:xm="http://schemas.microsoft.com/office/excel/2006/main">
          <x14:cfRule type="expression" priority="107" id="{68BEFDAC-642A-4D9F-B11D-C86AF8464966}">
            <xm:f>OR($C107=INputs!$A$3,$C107=INputs!$A$4)</xm:f>
            <x14:dxf>
              <font>
                <color theme="0"/>
              </font>
            </x14:dxf>
          </x14:cfRule>
          <xm:sqref>H111</xm:sqref>
        </x14:conditionalFormatting>
        <x14:conditionalFormatting xmlns:xm="http://schemas.microsoft.com/office/excel/2006/main">
          <x14:cfRule type="expression" priority="106" id="{7E1A277D-EAB9-4BB0-98A7-3C46BCFE0517}">
            <xm:f>OR($C107=INputs!$A$3,$C107=INputs!$A$4)</xm:f>
            <x14:dxf>
              <font>
                <color theme="0"/>
              </font>
            </x14:dxf>
          </x14:cfRule>
          <xm:sqref>H113</xm:sqref>
        </x14:conditionalFormatting>
        <x14:conditionalFormatting xmlns:xm="http://schemas.microsoft.com/office/excel/2006/main">
          <x14:cfRule type="expression" priority="93" id="{D60F5F78-BB39-40F1-BF8D-F0E09BDD6C1A}">
            <xm:f>OR($C115=INputs!$A$3,$C115=INputs!$A$4)</xm:f>
            <x14:dxf>
              <font>
                <color theme="0"/>
              </font>
            </x14:dxf>
          </x14:cfRule>
          <xm:sqref>H117</xm:sqref>
        </x14:conditionalFormatting>
        <x14:conditionalFormatting xmlns:xm="http://schemas.microsoft.com/office/excel/2006/main">
          <x14:cfRule type="expression" priority="92" id="{BFEDF4D6-347A-41D0-962B-C480CF377E73}">
            <xm:f>OR($C115=INputs!$A$3,$C115=INputs!$A$4)</xm:f>
            <x14:dxf>
              <font>
                <color theme="0"/>
              </font>
            </x14:dxf>
          </x14:cfRule>
          <xm:sqref>H119</xm:sqref>
        </x14:conditionalFormatting>
        <x14:conditionalFormatting xmlns:xm="http://schemas.microsoft.com/office/excel/2006/main">
          <x14:cfRule type="expression" priority="91" id="{2DF2D52A-5979-42CF-98BE-C8C9BF7AD5CD}">
            <xm:f>OR($C115=INputs!$A$3,$C115=INputs!$A$4)</xm:f>
            <x14:dxf>
              <font>
                <color theme="0"/>
              </font>
            </x14:dxf>
          </x14:cfRule>
          <xm:sqref>H121</xm:sqref>
        </x14:conditionalFormatting>
        <x14:conditionalFormatting xmlns:xm="http://schemas.microsoft.com/office/excel/2006/main">
          <x14:cfRule type="expression" priority="78" id="{7DC50CC3-007C-43DE-86BC-751F4F5B0945}">
            <xm:f>OR($C123=INputs!$A$3,$C123=INputs!$A$4)</xm:f>
            <x14:dxf>
              <font>
                <color theme="0"/>
              </font>
            </x14:dxf>
          </x14:cfRule>
          <xm:sqref>H125</xm:sqref>
        </x14:conditionalFormatting>
        <x14:conditionalFormatting xmlns:xm="http://schemas.microsoft.com/office/excel/2006/main">
          <x14:cfRule type="expression" priority="77" id="{B9C72290-5F95-40AA-832A-DEAEDBC8AADB}">
            <xm:f>OR($C123=INputs!$A$3,$C123=INputs!$A$4)</xm:f>
            <x14:dxf>
              <font>
                <color theme="0"/>
              </font>
            </x14:dxf>
          </x14:cfRule>
          <xm:sqref>H127</xm:sqref>
        </x14:conditionalFormatting>
        <x14:conditionalFormatting xmlns:xm="http://schemas.microsoft.com/office/excel/2006/main">
          <x14:cfRule type="expression" priority="76" id="{49D1282C-A362-4CCB-995D-F7B6F0138AA7}">
            <xm:f>OR($C123=INputs!$A$3,$C123=INputs!$A$4)</xm:f>
            <x14:dxf>
              <font>
                <color theme="0"/>
              </font>
            </x14:dxf>
          </x14:cfRule>
          <xm:sqref>H129</xm:sqref>
        </x14:conditionalFormatting>
        <x14:conditionalFormatting xmlns:xm="http://schemas.microsoft.com/office/excel/2006/main">
          <x14:cfRule type="expression" priority="63" id="{A8CDD5F2-6BA2-4395-8ED4-3B2D55519B8F}">
            <xm:f>OR($C131=INputs!$A$3,$C131=INputs!$A$4)</xm:f>
            <x14:dxf>
              <font>
                <color theme="0"/>
              </font>
            </x14:dxf>
          </x14:cfRule>
          <xm:sqref>H133</xm:sqref>
        </x14:conditionalFormatting>
        <x14:conditionalFormatting xmlns:xm="http://schemas.microsoft.com/office/excel/2006/main">
          <x14:cfRule type="expression" priority="62" id="{7F84AB8D-3085-4DFA-885E-599C5801E9DB}">
            <xm:f>OR($C131=INputs!$A$3,$C131=INputs!$A$4)</xm:f>
            <x14:dxf>
              <font>
                <color theme="0"/>
              </font>
            </x14:dxf>
          </x14:cfRule>
          <xm:sqref>H135</xm:sqref>
        </x14:conditionalFormatting>
        <x14:conditionalFormatting xmlns:xm="http://schemas.microsoft.com/office/excel/2006/main">
          <x14:cfRule type="expression" priority="61" id="{8C1E6DB7-D92F-4AE2-8525-E6CB5FDD9EBF}">
            <xm:f>OR($C131=INputs!$A$3,$C131=INputs!$A$4)</xm:f>
            <x14:dxf>
              <font>
                <color theme="0"/>
              </font>
            </x14:dxf>
          </x14:cfRule>
          <xm:sqref>H137</xm:sqref>
        </x14:conditionalFormatting>
        <x14:conditionalFormatting xmlns:xm="http://schemas.microsoft.com/office/excel/2006/main">
          <x14:cfRule type="expression" priority="48" id="{715A9F23-472C-4E8E-AF44-19F0F99F7482}">
            <xm:f>OR($C139=INputs!$A$3,$C139=INputs!$A$4)</xm:f>
            <x14:dxf>
              <font>
                <color theme="0"/>
              </font>
            </x14:dxf>
          </x14:cfRule>
          <xm:sqref>H141</xm:sqref>
        </x14:conditionalFormatting>
        <x14:conditionalFormatting xmlns:xm="http://schemas.microsoft.com/office/excel/2006/main">
          <x14:cfRule type="expression" priority="47" id="{A1FCCF3F-01FF-41B9-BCE7-43CD1318FE19}">
            <xm:f>OR($C139=INputs!$A$3,$C139=INputs!$A$4)</xm:f>
            <x14:dxf>
              <font>
                <color theme="0"/>
              </font>
            </x14:dxf>
          </x14:cfRule>
          <xm:sqref>H143</xm:sqref>
        </x14:conditionalFormatting>
        <x14:conditionalFormatting xmlns:xm="http://schemas.microsoft.com/office/excel/2006/main">
          <x14:cfRule type="expression" priority="46" id="{8662D388-09E5-4A9F-8844-4AC9D1473C69}">
            <xm:f>OR($C139=INputs!$A$3,$C139=INputs!$A$4)</xm:f>
            <x14:dxf>
              <font>
                <color theme="0"/>
              </font>
            </x14:dxf>
          </x14:cfRule>
          <xm:sqref>H145</xm:sqref>
        </x14:conditionalFormatting>
        <x14:conditionalFormatting xmlns:xm="http://schemas.microsoft.com/office/excel/2006/main">
          <x14:cfRule type="expression" priority="33" id="{962136BA-2D00-40ED-8CB4-F83F8DEDE330}">
            <xm:f>OR($C147=INputs!$A$3,$C147=INputs!$A$4)</xm:f>
            <x14:dxf>
              <font>
                <color theme="0"/>
              </font>
            </x14:dxf>
          </x14:cfRule>
          <xm:sqref>H149</xm:sqref>
        </x14:conditionalFormatting>
        <x14:conditionalFormatting xmlns:xm="http://schemas.microsoft.com/office/excel/2006/main">
          <x14:cfRule type="expression" priority="32" id="{73CF580C-B5D5-400F-BF85-33D0A53C3B07}">
            <xm:f>OR($C147=INputs!$A$3,$C147=INputs!$A$4)</xm:f>
            <x14:dxf>
              <font>
                <color theme="0"/>
              </font>
            </x14:dxf>
          </x14:cfRule>
          <xm:sqref>H151</xm:sqref>
        </x14:conditionalFormatting>
        <x14:conditionalFormatting xmlns:xm="http://schemas.microsoft.com/office/excel/2006/main">
          <x14:cfRule type="expression" priority="31" id="{A8A30F4F-39B6-4472-8070-4091C8874A26}">
            <xm:f>OR($C147=INputs!$A$3,$C147=INputs!$A$4)</xm:f>
            <x14:dxf>
              <font>
                <color theme="0"/>
              </font>
            </x14:dxf>
          </x14:cfRule>
          <xm:sqref>H153</xm:sqref>
        </x14:conditionalFormatting>
        <x14:conditionalFormatting xmlns:xm="http://schemas.microsoft.com/office/excel/2006/main">
          <x14:cfRule type="expression" priority="18" id="{759CF494-DE77-4820-82EB-B2ECAE8E6AFB}">
            <xm:f>OR($C155=INputs!$A$3,$C155=INputs!$A$4)</xm:f>
            <x14:dxf>
              <font>
                <color theme="0"/>
              </font>
            </x14:dxf>
          </x14:cfRule>
          <xm:sqref>H157</xm:sqref>
        </x14:conditionalFormatting>
        <x14:conditionalFormatting xmlns:xm="http://schemas.microsoft.com/office/excel/2006/main">
          <x14:cfRule type="expression" priority="17" id="{BFA90EB2-B110-413E-B3EB-579FAD69F500}">
            <xm:f>OR($C155=INputs!$A$3,$C155=INputs!$A$4)</xm:f>
            <x14:dxf>
              <font>
                <color theme="0"/>
              </font>
            </x14:dxf>
          </x14:cfRule>
          <xm:sqref>H159</xm:sqref>
        </x14:conditionalFormatting>
        <x14:conditionalFormatting xmlns:xm="http://schemas.microsoft.com/office/excel/2006/main">
          <x14:cfRule type="expression" priority="16" id="{B405159F-F2A2-48AE-8030-EC7754C33F44}">
            <xm:f>OR($C155=INputs!$A$3,$C155=INputs!$A$4)</xm:f>
            <x14:dxf>
              <font>
                <color theme="0"/>
              </font>
            </x14:dxf>
          </x14:cfRule>
          <xm:sqref>H161</xm:sqref>
        </x14:conditionalFormatting>
        <x14:conditionalFormatting xmlns:xm="http://schemas.microsoft.com/office/excel/2006/main">
          <x14:cfRule type="expression" priority="3" id="{58383F26-B3F8-47FB-A557-20D2F285EF6D}">
            <xm:f>OR($C163=INputs!$A$3,$C163=INputs!$A$4)</xm:f>
            <x14:dxf>
              <font>
                <color theme="0"/>
              </font>
            </x14:dxf>
          </x14:cfRule>
          <xm:sqref>H165</xm:sqref>
        </x14:conditionalFormatting>
        <x14:conditionalFormatting xmlns:xm="http://schemas.microsoft.com/office/excel/2006/main">
          <x14:cfRule type="expression" priority="2" id="{D166B6A8-0193-448C-840B-F1F47A468782}">
            <xm:f>OR($C163=INputs!$A$3,$C163=INputs!$A$4)</xm:f>
            <x14:dxf>
              <font>
                <color theme="0"/>
              </font>
            </x14:dxf>
          </x14:cfRule>
          <xm:sqref>H167</xm:sqref>
        </x14:conditionalFormatting>
        <x14:conditionalFormatting xmlns:xm="http://schemas.microsoft.com/office/excel/2006/main">
          <x14:cfRule type="expression" priority="1" id="{A0C187EC-9A00-4E97-A652-3677375E3007}">
            <xm:f>OR($C163=INputs!$A$3,$C163=INputs!$A$4)</xm:f>
            <x14:dxf>
              <font>
                <color theme="0"/>
              </font>
            </x14:dxf>
          </x14:cfRule>
          <xm:sqref>H169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6C7F4-138F-44F6-9621-90DFF64A33B2}">
  <sheetPr>
    <tabColor rgb="FF00B0F0"/>
  </sheetPr>
  <dimension ref="A1:AG248"/>
  <sheetViews>
    <sheetView showGridLines="0" zoomScaleNormal="100" workbookViewId="0">
      <pane xSplit="1" ySplit="3" topLeftCell="B10" activePane="bottomRight" state="frozen"/>
      <selection pane="topRight" activeCell="B1" sqref="B1"/>
      <selection pane="bottomLeft" activeCell="A4" sqref="A4"/>
      <selection pane="bottomRight" activeCell="F14" sqref="F14:F15"/>
    </sheetView>
  </sheetViews>
  <sheetFormatPr defaultColWidth="9.1796875" defaultRowHeight="14.5" outlineLevelRow="1" x14ac:dyDescent="0.35"/>
  <cols>
    <col min="1" max="1" width="5.81640625" style="89" customWidth="1"/>
    <col min="2" max="2" width="20.08984375" style="286" hidden="1" customWidth="1"/>
    <col min="3" max="3" width="29.1796875" style="183" customWidth="1"/>
    <col min="4" max="4" width="0.81640625" style="3" customWidth="1"/>
    <col min="5" max="5" width="4.1796875" style="3" customWidth="1"/>
    <col min="6" max="6" width="54.54296875" style="3" bestFit="1" customWidth="1"/>
    <col min="7" max="7" width="0.81640625" style="3" customWidth="1"/>
    <col min="8" max="8" width="4" style="3" customWidth="1"/>
    <col min="9" max="9" width="30.26953125" style="3" customWidth="1"/>
    <col min="10" max="10" width="4" style="28" customWidth="1"/>
    <col min="11" max="11" width="28" style="3" customWidth="1"/>
    <col min="12" max="12" width="4" style="3" customWidth="1"/>
    <col min="13" max="13" width="25.54296875" style="3" customWidth="1"/>
    <col min="14" max="14" width="10.1796875" style="3" bestFit="1" customWidth="1"/>
    <col min="15" max="15" width="4.1796875" style="3" customWidth="1"/>
    <col min="16" max="16" width="25.81640625" style="3" customWidth="1"/>
    <col min="17" max="17" width="8.7265625" style="3" customWidth="1"/>
    <col min="18" max="18" width="3.453125" style="3" customWidth="1"/>
    <col min="19" max="19" width="26.7265625" style="3" customWidth="1"/>
    <col min="20" max="20" width="17.453125" style="3" customWidth="1"/>
    <col min="21" max="21" width="4.1796875" style="28" customWidth="1"/>
    <col min="22" max="22" width="41.81640625" style="3" customWidth="1"/>
    <col min="23" max="23" width="0.81640625" style="3" customWidth="1"/>
    <col min="24" max="24" width="4.26953125" style="389" customWidth="1"/>
    <col min="25" max="25" width="14.81640625" style="3" customWidth="1"/>
    <col min="26" max="26" width="26.7265625" style="183" customWidth="1"/>
    <col min="27" max="27" width="0.7265625" style="3" customWidth="1"/>
    <col min="28" max="28" width="3.81640625" style="3" customWidth="1"/>
    <col min="29" max="29" width="35.26953125" style="3" bestFit="1" customWidth="1"/>
    <col min="30" max="30" width="2.54296875" style="3" customWidth="1"/>
    <col min="31" max="31" width="53.453125" style="3" customWidth="1"/>
    <col min="32" max="32" width="1.26953125" style="3" customWidth="1"/>
    <col min="33" max="33" width="9.1796875" style="3"/>
  </cols>
  <sheetData>
    <row r="1" spans="1:33" s="3" customFormat="1" ht="26.25" customHeight="1" thickBot="1" x14ac:dyDescent="0.4">
      <c r="A1" s="89"/>
      <c r="B1" s="286"/>
      <c r="C1" s="634" t="s">
        <v>89</v>
      </c>
      <c r="D1" s="634"/>
      <c r="E1" s="634"/>
      <c r="F1" s="634"/>
      <c r="G1" s="634"/>
      <c r="H1" s="634"/>
      <c r="I1" s="634"/>
      <c r="J1" s="11"/>
      <c r="K1" s="11"/>
      <c r="L1" s="11"/>
      <c r="M1" s="11"/>
      <c r="N1" s="11"/>
      <c r="R1" s="11"/>
      <c r="U1" s="28"/>
      <c r="X1" s="389"/>
      <c r="Z1" s="183"/>
    </row>
    <row r="2" spans="1:33" s="3" customFormat="1" ht="18.75" customHeight="1" thickBot="1" x14ac:dyDescent="0.5">
      <c r="A2" s="89"/>
      <c r="B2" s="286"/>
      <c r="C2" s="183"/>
      <c r="H2" s="614" t="s">
        <v>144</v>
      </c>
      <c r="I2" s="615"/>
      <c r="J2" s="615"/>
      <c r="K2" s="615"/>
      <c r="L2" s="615"/>
      <c r="M2" s="615"/>
      <c r="N2" s="615"/>
      <c r="O2" s="615"/>
      <c r="P2" s="615"/>
      <c r="Q2" s="615"/>
      <c r="R2" s="615"/>
      <c r="S2" s="616"/>
      <c r="T2" s="615"/>
      <c r="U2" s="616"/>
      <c r="V2" s="617"/>
      <c r="W2" s="19"/>
      <c r="X2" s="389"/>
      <c r="Z2" s="183"/>
    </row>
    <row r="3" spans="1:33" s="13" customFormat="1" ht="37.5" customHeight="1" thickBot="1" x14ac:dyDescent="0.5">
      <c r="A3" s="90"/>
      <c r="B3" s="286"/>
      <c r="C3" s="97" t="s">
        <v>145</v>
      </c>
      <c r="D3" s="14"/>
      <c r="E3" s="618" t="s">
        <v>146</v>
      </c>
      <c r="F3" s="619"/>
      <c r="G3" s="14"/>
      <c r="H3" s="610" t="s">
        <v>147</v>
      </c>
      <c r="I3" s="611"/>
      <c r="J3" s="607" t="s">
        <v>148</v>
      </c>
      <c r="K3" s="609"/>
      <c r="L3" s="607" t="s">
        <v>149</v>
      </c>
      <c r="M3" s="608"/>
      <c r="N3" s="609"/>
      <c r="O3" s="607" t="s">
        <v>150</v>
      </c>
      <c r="P3" s="608"/>
      <c r="Q3" s="608"/>
      <c r="R3" s="607" t="s">
        <v>151</v>
      </c>
      <c r="S3" s="608"/>
      <c r="T3" s="609"/>
      <c r="U3" s="607" t="s">
        <v>152</v>
      </c>
      <c r="V3" s="648"/>
      <c r="W3" s="21"/>
      <c r="X3" s="607" t="s">
        <v>153</v>
      </c>
      <c r="Y3" s="608"/>
      <c r="Z3" s="609"/>
      <c r="AB3" s="636" t="s">
        <v>154</v>
      </c>
      <c r="AC3" s="637"/>
      <c r="AD3" s="637"/>
      <c r="AE3" s="637"/>
      <c r="AF3" s="638"/>
    </row>
    <row r="4" spans="1:33" ht="284.5" hidden="1" customHeight="1" outlineLevel="1" x14ac:dyDescent="0.35">
      <c r="A4" s="358" t="s">
        <v>119</v>
      </c>
      <c r="B4" s="232"/>
      <c r="C4" s="184" t="s">
        <v>155</v>
      </c>
      <c r="D4" s="150"/>
      <c r="E4" s="620" t="s">
        <v>156</v>
      </c>
      <c r="F4" s="621"/>
      <c r="G4" s="150"/>
      <c r="H4" s="628" t="s">
        <v>157</v>
      </c>
      <c r="I4" s="629"/>
      <c r="J4" s="622" t="s">
        <v>158</v>
      </c>
      <c r="K4" s="623"/>
      <c r="L4" s="624" t="s">
        <v>159</v>
      </c>
      <c r="M4" s="625"/>
      <c r="N4" s="626"/>
      <c r="O4" s="627" t="s">
        <v>160</v>
      </c>
      <c r="P4" s="627"/>
      <c r="Q4" s="627"/>
      <c r="R4" s="630" t="s">
        <v>161</v>
      </c>
      <c r="S4" s="631"/>
      <c r="T4" s="173"/>
      <c r="U4" s="624" t="s">
        <v>162</v>
      </c>
      <c r="V4" s="626"/>
      <c r="W4" s="154"/>
      <c r="X4" s="627" t="s">
        <v>163</v>
      </c>
      <c r="Y4" s="627"/>
      <c r="Z4" s="627"/>
      <c r="AA4" s="177"/>
      <c r="AB4" s="639" t="s">
        <v>164</v>
      </c>
      <c r="AC4" s="640"/>
      <c r="AD4" s="640"/>
      <c r="AE4" s="640"/>
      <c r="AF4" s="641"/>
      <c r="AG4"/>
    </row>
    <row r="5" spans="1:33" ht="40.5" hidden="1" customHeight="1" outlineLevel="1" x14ac:dyDescent="0.35">
      <c r="A5" s="594" t="s">
        <v>127</v>
      </c>
      <c r="B5" s="232"/>
      <c r="C5" s="185"/>
      <c r="D5" s="162"/>
      <c r="E5" s="596" t="s">
        <v>165</v>
      </c>
      <c r="F5" s="596"/>
      <c r="G5" s="162"/>
      <c r="H5" s="601" t="s">
        <v>166</v>
      </c>
      <c r="I5" s="601"/>
      <c r="J5" s="604" t="s">
        <v>167</v>
      </c>
      <c r="K5" s="604"/>
      <c r="L5" s="596" t="s">
        <v>168</v>
      </c>
      <c r="M5" s="596"/>
      <c r="N5" s="596"/>
      <c r="O5" s="596" t="s">
        <v>168</v>
      </c>
      <c r="P5" s="596"/>
      <c r="Q5" s="567"/>
      <c r="R5" s="632" t="s">
        <v>169</v>
      </c>
      <c r="S5" s="633"/>
      <c r="T5" s="124"/>
      <c r="U5" s="596" t="s">
        <v>170</v>
      </c>
      <c r="V5" s="596"/>
      <c r="W5" s="124"/>
      <c r="X5" s="596" t="s">
        <v>171</v>
      </c>
      <c r="Y5" s="596"/>
      <c r="Z5" s="596"/>
      <c r="AA5" s="124"/>
      <c r="AB5" s="642" t="s">
        <v>172</v>
      </c>
      <c r="AC5" s="596"/>
      <c r="AD5" s="596"/>
      <c r="AE5" s="596"/>
      <c r="AF5" s="643"/>
      <c r="AG5"/>
    </row>
    <row r="6" spans="1:33" ht="60.65" hidden="1" customHeight="1" outlineLevel="1" x14ac:dyDescent="0.35">
      <c r="A6" s="594"/>
      <c r="B6" s="232"/>
      <c r="C6" s="185"/>
      <c r="D6" s="162"/>
      <c r="E6" s="597"/>
      <c r="F6" s="597"/>
      <c r="G6" s="162"/>
      <c r="H6" s="596" t="s">
        <v>173</v>
      </c>
      <c r="I6" s="596"/>
      <c r="J6" s="596" t="s">
        <v>174</v>
      </c>
      <c r="K6" s="596"/>
      <c r="L6" s="606"/>
      <c r="M6" s="606"/>
      <c r="N6" s="606"/>
      <c r="O6" s="596" t="s">
        <v>175</v>
      </c>
      <c r="P6" s="596"/>
      <c r="Q6" s="567"/>
      <c r="R6" s="606"/>
      <c r="S6" s="606"/>
      <c r="T6" s="124"/>
      <c r="U6" s="606"/>
      <c r="V6" s="606"/>
      <c r="W6" s="124"/>
      <c r="X6" s="606"/>
      <c r="Y6" s="606"/>
      <c r="Z6" s="606"/>
      <c r="AA6" s="124"/>
      <c r="AB6" s="642" t="s">
        <v>176</v>
      </c>
      <c r="AC6" s="596"/>
      <c r="AD6" s="596"/>
      <c r="AE6" s="596"/>
      <c r="AF6" s="643"/>
      <c r="AG6"/>
    </row>
    <row r="7" spans="1:33" ht="44.5" hidden="1" customHeight="1" outlineLevel="1" x14ac:dyDescent="0.35">
      <c r="A7" s="594"/>
      <c r="B7" s="232"/>
      <c r="C7" s="185"/>
      <c r="D7" s="162"/>
      <c r="E7" s="597"/>
      <c r="F7" s="597"/>
      <c r="G7" s="162"/>
      <c r="H7" s="597"/>
      <c r="I7" s="597"/>
      <c r="J7" s="597"/>
      <c r="K7" s="597"/>
      <c r="L7" s="606"/>
      <c r="M7" s="606"/>
      <c r="N7" s="606"/>
      <c r="O7" s="606"/>
      <c r="P7" s="606"/>
      <c r="Q7" s="612"/>
      <c r="R7" s="606"/>
      <c r="S7" s="606"/>
      <c r="T7" s="124"/>
      <c r="U7" s="606"/>
      <c r="V7" s="606"/>
      <c r="W7" s="124"/>
      <c r="X7" s="606"/>
      <c r="Y7" s="606"/>
      <c r="Z7" s="606"/>
      <c r="AA7" s="124"/>
      <c r="AB7" s="642" t="s">
        <v>177</v>
      </c>
      <c r="AC7" s="606"/>
      <c r="AD7" s="606"/>
      <c r="AE7" s="606"/>
      <c r="AF7" s="644"/>
      <c r="AG7"/>
    </row>
    <row r="8" spans="1:33" ht="19" hidden="1" customHeight="1" outlineLevel="1" x14ac:dyDescent="0.35">
      <c r="A8" s="594"/>
      <c r="B8" s="232"/>
      <c r="C8" s="186"/>
      <c r="D8" s="165"/>
      <c r="E8" s="598"/>
      <c r="F8" s="599"/>
      <c r="G8" s="165"/>
      <c r="H8" s="597"/>
      <c r="I8" s="597"/>
      <c r="J8" s="597"/>
      <c r="K8" s="597"/>
      <c r="L8" s="606"/>
      <c r="M8" s="606"/>
      <c r="N8" s="606"/>
      <c r="O8" s="606"/>
      <c r="P8" s="606"/>
      <c r="Q8" s="612"/>
      <c r="R8" s="606"/>
      <c r="S8" s="606"/>
      <c r="T8" s="378"/>
      <c r="U8" s="606"/>
      <c r="V8" s="606"/>
      <c r="W8" s="148"/>
      <c r="X8" s="635"/>
      <c r="Y8" s="605"/>
      <c r="Z8" s="613"/>
      <c r="AA8" s="198"/>
      <c r="AB8" s="645"/>
      <c r="AC8" s="606"/>
      <c r="AD8" s="606"/>
      <c r="AE8" s="606"/>
      <c r="AF8" s="644"/>
      <c r="AG8"/>
    </row>
    <row r="9" spans="1:33" ht="19" hidden="1" customHeight="1" outlineLevel="1" thickBot="1" x14ac:dyDescent="0.4">
      <c r="A9" s="595"/>
      <c r="B9" s="232"/>
      <c r="C9" s="214"/>
      <c r="D9" s="165"/>
      <c r="E9" s="600"/>
      <c r="F9" s="600"/>
      <c r="G9" s="165"/>
      <c r="H9" s="603"/>
      <c r="I9" s="603"/>
      <c r="J9" s="603"/>
      <c r="K9" s="603"/>
      <c r="L9" s="605"/>
      <c r="M9" s="605"/>
      <c r="N9" s="605"/>
      <c r="O9" s="605"/>
      <c r="P9" s="605"/>
      <c r="Q9" s="613"/>
      <c r="R9" s="605"/>
      <c r="S9" s="605"/>
      <c r="T9" s="378"/>
      <c r="U9" s="605"/>
      <c r="V9" s="605"/>
      <c r="W9" s="148"/>
      <c r="X9" s="605"/>
      <c r="Y9" s="605"/>
      <c r="Z9" s="605"/>
      <c r="AA9" s="198"/>
      <c r="AB9" s="646"/>
      <c r="AC9" s="605"/>
      <c r="AD9" s="605"/>
      <c r="AE9" s="605"/>
      <c r="AF9" s="647"/>
      <c r="AG9"/>
    </row>
    <row r="10" spans="1:33" s="13" customFormat="1" ht="29.5" customHeight="1" collapsed="1" x14ac:dyDescent="0.35">
      <c r="A10" s="591">
        <v>1</v>
      </c>
      <c r="B10" s="286">
        <f>A10+10</f>
        <v>11</v>
      </c>
      <c r="C10" s="602" t="str">
        <f>VLOOKUP(A10,INputs!$G$3:$O$22,7,FALSE)</f>
        <v>Please fill out Sensitivity Labels Tab</v>
      </c>
      <c r="D10" s="47"/>
      <c r="E10" s="47"/>
      <c r="F10" s="48" t="s">
        <v>136</v>
      </c>
      <c r="G10" s="199"/>
      <c r="H10" s="577" t="s">
        <v>136</v>
      </c>
      <c r="I10" s="577"/>
      <c r="J10" s="578" t="s">
        <v>178</v>
      </c>
      <c r="K10" s="578"/>
      <c r="L10" s="578" t="s">
        <v>136</v>
      </c>
      <c r="M10" s="578"/>
      <c r="N10" s="578"/>
      <c r="O10" s="578" t="s">
        <v>136</v>
      </c>
      <c r="P10" s="578"/>
      <c r="Q10" s="578"/>
      <c r="R10" s="582" t="s">
        <v>179</v>
      </c>
      <c r="S10" s="582"/>
      <c r="T10" s="397" t="s">
        <v>135</v>
      </c>
      <c r="U10" s="583" t="s">
        <v>180</v>
      </c>
      <c r="V10" s="583"/>
      <c r="W10" s="50"/>
      <c r="X10" s="391"/>
      <c r="Y10" s="576" t="s">
        <v>136</v>
      </c>
      <c r="Z10" s="576"/>
      <c r="AA10" s="51"/>
      <c r="AB10" s="577"/>
      <c r="AC10" s="577"/>
      <c r="AD10" s="578" t="s">
        <v>181</v>
      </c>
      <c r="AE10" s="578"/>
      <c r="AF10" s="52"/>
      <c r="AG10" s="20"/>
    </row>
    <row r="11" spans="1:33" s="13" customFormat="1" ht="12" customHeight="1" x14ac:dyDescent="0.35">
      <c r="A11" s="592"/>
      <c r="B11" s="286">
        <f>B10+1</f>
        <v>12</v>
      </c>
      <c r="C11" s="586"/>
      <c r="D11" s="8"/>
      <c r="E11" s="8"/>
      <c r="F11" s="208"/>
      <c r="G11" s="209"/>
      <c r="H11" s="208"/>
      <c r="I11" s="208"/>
      <c r="J11" s="376"/>
      <c r="K11" s="376"/>
      <c r="L11" s="376"/>
      <c r="M11" s="376"/>
      <c r="N11" s="376"/>
      <c r="O11" s="376"/>
      <c r="P11" s="376"/>
      <c r="Q11" s="376"/>
      <c r="R11" s="575"/>
      <c r="S11" s="575"/>
      <c r="T11" s="575"/>
      <c r="U11" s="396"/>
      <c r="V11" s="390"/>
      <c r="W11" s="216"/>
      <c r="X11" s="393"/>
      <c r="Y11" s="395"/>
      <c r="Z11" s="395"/>
      <c r="AA11" s="20"/>
      <c r="AB11" s="208"/>
      <c r="AC11" s="530" t="s">
        <v>136</v>
      </c>
      <c r="AD11" s="208"/>
      <c r="AE11" s="573"/>
      <c r="AF11" s="54"/>
      <c r="AG11" s="20"/>
    </row>
    <row r="12" spans="1:33" s="3" customFormat="1" ht="30.5" x14ac:dyDescent="0.35">
      <c r="A12" s="592"/>
      <c r="B12" s="286">
        <f t="shared" ref="B12:B18" si="0">B11+1</f>
        <v>13</v>
      </c>
      <c r="C12" s="586"/>
      <c r="E12" s="200" t="b">
        <v>0</v>
      </c>
      <c r="F12" s="3" t="s">
        <v>182</v>
      </c>
      <c r="H12" s="200" t="b">
        <v>0</v>
      </c>
      <c r="I12" s="210" t="s">
        <v>183</v>
      </c>
      <c r="J12" s="201" t="b">
        <v>0</v>
      </c>
      <c r="K12" s="202" t="s">
        <v>184</v>
      </c>
      <c r="L12" s="203" t="b">
        <v>0</v>
      </c>
      <c r="M12" s="9" t="s">
        <v>185</v>
      </c>
      <c r="N12" s="213"/>
      <c r="O12" s="203" t="b">
        <v>0</v>
      </c>
      <c r="P12" s="9" t="s">
        <v>186</v>
      </c>
      <c r="Q12" s="9"/>
      <c r="R12" s="575"/>
      <c r="S12" s="575"/>
      <c r="T12" s="575"/>
      <c r="U12" s="575"/>
      <c r="V12" s="575"/>
      <c r="W12" s="216"/>
      <c r="X12" s="204" t="b">
        <v>0</v>
      </c>
      <c r="Y12" s="205" t="s">
        <v>187</v>
      </c>
      <c r="Z12" s="371"/>
      <c r="AA12" s="15"/>
      <c r="AB12" s="529" t="b">
        <v>0</v>
      </c>
      <c r="AC12" s="389" t="s">
        <v>188</v>
      </c>
      <c r="AD12" s="15"/>
      <c r="AE12" s="573"/>
      <c r="AF12" s="53"/>
      <c r="AG12" s="15"/>
    </row>
    <row r="13" spans="1:33" s="3" customFormat="1" ht="32.15" customHeight="1" x14ac:dyDescent="0.35">
      <c r="A13" s="592"/>
      <c r="B13" s="286">
        <f t="shared" si="0"/>
        <v>14</v>
      </c>
      <c r="C13" s="586"/>
      <c r="E13" s="200" t="b">
        <v>0</v>
      </c>
      <c r="F13" s="196" t="s">
        <v>189</v>
      </c>
      <c r="H13" s="15"/>
      <c r="I13" s="210"/>
      <c r="J13" s="204" t="b">
        <v>0</v>
      </c>
      <c r="K13" s="588" t="s">
        <v>190</v>
      </c>
      <c r="L13" s="204" t="b">
        <v>0</v>
      </c>
      <c r="M13" s="205" t="s">
        <v>191</v>
      </c>
      <c r="N13" s="387">
        <v>44197</v>
      </c>
      <c r="O13" s="204" t="b">
        <v>0</v>
      </c>
      <c r="P13" s="205" t="s">
        <v>185</v>
      </c>
      <c r="Q13" s="205"/>
      <c r="R13" s="203" t="b">
        <v>0</v>
      </c>
      <c r="S13" s="9" t="s">
        <v>192</v>
      </c>
      <c r="T13" s="9" t="s">
        <v>135</v>
      </c>
      <c r="U13" s="204" t="b">
        <v>0</v>
      </c>
      <c r="V13" s="390" t="s">
        <v>193</v>
      </c>
      <c r="W13" s="215"/>
      <c r="X13" s="204" t="b">
        <v>0</v>
      </c>
      <c r="Y13" s="388" t="s">
        <v>194</v>
      </c>
      <c r="Z13" s="371"/>
      <c r="AA13" s="15"/>
      <c r="AB13" s="217"/>
      <c r="AC13" s="208" t="s">
        <v>137</v>
      </c>
      <c r="AD13" s="209"/>
      <c r="AE13" s="376" t="s">
        <v>195</v>
      </c>
      <c r="AF13" s="54"/>
      <c r="AG13" s="15"/>
    </row>
    <row r="14" spans="1:33" s="3" customFormat="1" ht="15.65" customHeight="1" x14ac:dyDescent="0.35">
      <c r="A14" s="592"/>
      <c r="B14" s="286">
        <f t="shared" si="0"/>
        <v>15</v>
      </c>
      <c r="C14" s="586"/>
      <c r="E14" s="200" t="b">
        <v>0</v>
      </c>
      <c r="F14" s="589" t="s">
        <v>196</v>
      </c>
      <c r="H14" s="200" t="b">
        <v>0</v>
      </c>
      <c r="I14" s="210" t="s">
        <v>197</v>
      </c>
      <c r="J14" s="205"/>
      <c r="K14" s="588"/>
      <c r="L14" s="203" t="b">
        <v>0</v>
      </c>
      <c r="M14" s="44" t="s">
        <v>198</v>
      </c>
      <c r="N14" s="211">
        <v>78</v>
      </c>
      <c r="O14" s="203" t="b">
        <v>0</v>
      </c>
      <c r="P14" s="9" t="s">
        <v>198</v>
      </c>
      <c r="Q14" s="211">
        <v>76</v>
      </c>
      <c r="R14" s="575"/>
      <c r="S14" s="575"/>
      <c r="T14" s="575"/>
      <c r="U14" s="584" t="s">
        <v>136</v>
      </c>
      <c r="V14" s="584"/>
      <c r="W14" s="584"/>
      <c r="X14" s="204" t="b">
        <v>0</v>
      </c>
      <c r="Y14" s="9" t="s">
        <v>199</v>
      </c>
      <c r="Z14" s="579"/>
      <c r="AA14" s="15"/>
      <c r="AB14" s="217"/>
      <c r="AC14" s="22"/>
      <c r="AD14" s="15"/>
      <c r="AE14" s="574"/>
      <c r="AF14" s="53"/>
      <c r="AG14" s="15"/>
    </row>
    <row r="15" spans="1:33" s="3" customFormat="1" ht="29.15" customHeight="1" x14ac:dyDescent="0.35">
      <c r="A15" s="592"/>
      <c r="B15" s="286">
        <f t="shared" si="0"/>
        <v>16</v>
      </c>
      <c r="C15" s="586"/>
      <c r="F15" s="589"/>
      <c r="H15" s="15"/>
      <c r="I15" s="15"/>
      <c r="J15" s="205"/>
      <c r="K15" s="9"/>
      <c r="L15" s="15"/>
      <c r="M15" s="15"/>
      <c r="N15" s="218"/>
      <c r="O15" s="9"/>
      <c r="P15" s="9"/>
      <c r="Q15" s="9"/>
      <c r="R15" s="575"/>
      <c r="S15" s="575"/>
      <c r="T15" s="575"/>
      <c r="U15" s="204" t="b">
        <v>0</v>
      </c>
      <c r="V15" s="205" t="s">
        <v>200</v>
      </c>
      <c r="W15" s="216"/>
      <c r="X15" s="389"/>
      <c r="Y15" s="15"/>
      <c r="Z15" s="579"/>
      <c r="AA15" s="15"/>
      <c r="AB15" s="15"/>
      <c r="AC15" s="15"/>
      <c r="AD15" s="15"/>
      <c r="AE15" s="574"/>
      <c r="AF15" s="53"/>
      <c r="AG15" s="15"/>
    </row>
    <row r="16" spans="1:33" s="3" customFormat="1" ht="30" customHeight="1" x14ac:dyDescent="0.35">
      <c r="A16" s="592"/>
      <c r="B16" s="286">
        <f t="shared" si="0"/>
        <v>17</v>
      </c>
      <c r="C16" s="586"/>
      <c r="E16"/>
      <c r="H16" s="15"/>
      <c r="I16" s="15"/>
      <c r="J16" s="373"/>
      <c r="K16" s="213"/>
      <c r="L16" s="213"/>
      <c r="M16" s="213"/>
      <c r="N16" s="213"/>
      <c r="O16" s="9"/>
      <c r="P16" s="9"/>
      <c r="Q16" s="9"/>
      <c r="R16" s="203" t="b">
        <v>0</v>
      </c>
      <c r="S16" s="9" t="s">
        <v>201</v>
      </c>
      <c r="T16" s="9" t="s">
        <v>135</v>
      </c>
      <c r="U16" s="575"/>
      <c r="V16" s="575"/>
      <c r="X16" s="389"/>
      <c r="Y16" s="15"/>
      <c r="Z16" s="368"/>
      <c r="AA16" s="15"/>
      <c r="AB16" s="15"/>
      <c r="AC16" s="15"/>
      <c r="AD16" s="15"/>
      <c r="AE16" s="15"/>
      <c r="AF16" s="53"/>
      <c r="AG16" s="15"/>
    </row>
    <row r="17" spans="1:33" s="3" customFormat="1" x14ac:dyDescent="0.35">
      <c r="A17" s="592"/>
      <c r="B17" s="286">
        <f t="shared" si="0"/>
        <v>18</v>
      </c>
      <c r="C17" s="586"/>
      <c r="E17"/>
      <c r="H17" s="212"/>
      <c r="I17" s="15"/>
      <c r="J17" s="373"/>
      <c r="K17" s="213"/>
      <c r="L17" s="213"/>
      <c r="M17" s="213"/>
      <c r="N17" s="213"/>
      <c r="O17" s="9"/>
      <c r="P17" s="9"/>
      <c r="Q17" s="9"/>
      <c r="R17" s="575"/>
      <c r="S17" s="575"/>
      <c r="T17" s="575"/>
      <c r="U17" s="204" t="b">
        <v>0</v>
      </c>
      <c r="V17" s="9" t="s">
        <v>202</v>
      </c>
      <c r="W17" s="9"/>
      <c r="X17" s="389"/>
      <c r="Y17" s="15"/>
      <c r="Z17" s="368"/>
      <c r="AA17" s="15"/>
      <c r="AB17" s="15"/>
      <c r="AC17" s="15"/>
      <c r="AD17" s="15"/>
      <c r="AE17" s="15"/>
      <c r="AF17" s="53"/>
      <c r="AG17" s="15"/>
    </row>
    <row r="18" spans="1:33" s="3" customFormat="1" ht="30" customHeight="1" thickBot="1" x14ac:dyDescent="0.4">
      <c r="A18" s="593"/>
      <c r="B18" s="286">
        <f t="shared" si="0"/>
        <v>19</v>
      </c>
      <c r="C18" s="587"/>
      <c r="D18" s="55"/>
      <c r="E18" s="55"/>
      <c r="F18" s="55"/>
      <c r="G18" s="55"/>
      <c r="H18" s="56"/>
      <c r="I18" s="56"/>
      <c r="J18" s="374"/>
      <c r="K18" s="57"/>
      <c r="L18" s="57"/>
      <c r="M18" s="57"/>
      <c r="N18" s="57"/>
      <c r="O18" s="58"/>
      <c r="P18" s="58"/>
      <c r="Q18" s="58"/>
      <c r="R18" s="575"/>
      <c r="S18" s="575"/>
      <c r="T18" s="575"/>
      <c r="U18" s="575"/>
      <c r="V18" s="575"/>
      <c r="W18" s="58"/>
      <c r="X18" s="392"/>
      <c r="Y18" s="56"/>
      <c r="Z18" s="369"/>
      <c r="AA18" s="56"/>
      <c r="AB18" s="56"/>
      <c r="AC18" s="56"/>
      <c r="AD18" s="56"/>
      <c r="AE18" s="56"/>
      <c r="AF18" s="59"/>
      <c r="AG18" s="15"/>
    </row>
    <row r="19" spans="1:33" ht="15" hidden="1" customHeight="1" thickBot="1" x14ac:dyDescent="0.4">
      <c r="A19" s="87"/>
      <c r="B19" s="232"/>
      <c r="C19" s="381"/>
      <c r="D19" s="229"/>
      <c r="E19" s="229"/>
      <c r="F19" s="229"/>
      <c r="G19" s="229"/>
      <c r="H19" s="229"/>
      <c r="I19" s="229"/>
      <c r="J19" s="379"/>
      <c r="K19" s="229"/>
      <c r="L19" s="229"/>
      <c r="M19" s="229"/>
      <c r="N19" s="229"/>
      <c r="O19" s="229"/>
      <c r="P19" s="229"/>
      <c r="Q19" s="229"/>
      <c r="R19" s="220"/>
      <c r="S19" s="220"/>
      <c r="T19" s="220"/>
      <c r="U19" s="379"/>
      <c r="V19" s="229"/>
      <c r="W19" s="229"/>
      <c r="X19" s="379"/>
      <c r="Y19" s="229"/>
      <c r="Z19" s="380"/>
      <c r="AA19" s="229"/>
      <c r="AB19" s="229"/>
      <c r="AC19" s="229"/>
      <c r="AD19" s="229"/>
      <c r="AE19" s="229"/>
      <c r="AF19" s="302"/>
      <c r="AG19"/>
    </row>
    <row r="20" spans="1:33" ht="5.15" customHeight="1" thickBot="1" x14ac:dyDescent="0.4">
      <c r="A20" s="87"/>
      <c r="B20" s="232"/>
      <c r="C20" s="381"/>
      <c r="D20" s="229"/>
      <c r="E20" s="229"/>
      <c r="F20" s="229"/>
      <c r="G20" s="229"/>
      <c r="H20" s="229"/>
      <c r="I20" s="229"/>
      <c r="J20" s="379"/>
      <c r="K20" s="229"/>
      <c r="L20" s="229"/>
      <c r="M20" s="229"/>
      <c r="N20" s="229"/>
      <c r="O20" s="229"/>
      <c r="P20" s="229"/>
      <c r="Q20" s="229"/>
      <c r="R20" s="229"/>
      <c r="S20" s="229"/>
      <c r="T20" s="229"/>
      <c r="U20" s="379"/>
      <c r="V20" s="229"/>
      <c r="W20" s="229"/>
      <c r="X20" s="379"/>
      <c r="Y20" s="229"/>
      <c r="Z20" s="380"/>
      <c r="AA20" s="229"/>
      <c r="AB20" s="229"/>
      <c r="AC20" s="229"/>
      <c r="AD20" s="229"/>
      <c r="AE20" s="229"/>
      <c r="AF20" s="302"/>
      <c r="AG20" s="87"/>
    </row>
    <row r="21" spans="1:33" ht="15" hidden="1" customHeight="1" thickBot="1" x14ac:dyDescent="0.4">
      <c r="A21" s="87"/>
      <c r="B21" s="232"/>
      <c r="C21" s="381"/>
      <c r="D21" s="229"/>
      <c r="E21" s="229"/>
      <c r="F21" s="229"/>
      <c r="G21" s="229"/>
      <c r="H21" s="229"/>
      <c r="I21" s="229"/>
      <c r="J21" s="379"/>
      <c r="K21" s="229"/>
      <c r="L21" s="229"/>
      <c r="M21" s="229"/>
      <c r="N21" s="229"/>
      <c r="O21" s="229"/>
      <c r="P21" s="229"/>
      <c r="Q21" s="229"/>
      <c r="R21" s="229"/>
      <c r="S21" s="229"/>
      <c r="T21" s="229"/>
      <c r="U21" s="379"/>
      <c r="V21" s="229"/>
      <c r="W21" s="229"/>
      <c r="X21" s="379"/>
      <c r="Y21" s="229"/>
      <c r="Z21" s="380"/>
      <c r="AA21" s="229"/>
      <c r="AB21" s="229"/>
      <c r="AC21" s="229"/>
      <c r="AD21" s="229"/>
      <c r="AE21" s="229"/>
      <c r="AF21" s="302"/>
      <c r="AG21"/>
    </row>
    <row r="22" spans="1:33" s="13" customFormat="1" ht="29" customHeight="1" x14ac:dyDescent="0.35">
      <c r="A22" s="591">
        <f>A10+1</f>
        <v>2</v>
      </c>
      <c r="B22" s="286">
        <f>B10+10</f>
        <v>21</v>
      </c>
      <c r="C22" s="585" t="str">
        <f>VLOOKUP(A22,INputs!$G$3:$O$22,7,FALSE)</f>
        <v>Please fill out Sensitivity Labels Tab</v>
      </c>
      <c r="D22" s="8"/>
      <c r="E22" s="8"/>
      <c r="F22" s="581" t="s">
        <v>136</v>
      </c>
      <c r="G22" s="581"/>
      <c r="H22" s="581" t="s">
        <v>136</v>
      </c>
      <c r="I22" s="581"/>
      <c r="J22" s="573" t="str">
        <f>J$10</f>
        <v>Select a check box</v>
      </c>
      <c r="K22" s="573"/>
      <c r="L22" s="573" t="s">
        <v>136</v>
      </c>
      <c r="M22" s="573"/>
      <c r="N22" s="573"/>
      <c r="O22" s="573" t="s">
        <v>136</v>
      </c>
      <c r="P22" s="573"/>
      <c r="Q22" s="573"/>
      <c r="R22" s="582" t="s">
        <v>179</v>
      </c>
      <c r="S22" s="582"/>
      <c r="T22" s="397" t="s">
        <v>135</v>
      </c>
      <c r="U22" s="583" t="s">
        <v>180</v>
      </c>
      <c r="V22" s="583"/>
      <c r="W22" s="50"/>
      <c r="X22" s="393"/>
      <c r="Y22" s="580" t="s">
        <v>136</v>
      </c>
      <c r="Z22" s="580"/>
      <c r="AA22" s="20"/>
      <c r="AB22" s="581"/>
      <c r="AC22" s="581"/>
      <c r="AD22" s="578" t="s">
        <v>181</v>
      </c>
      <c r="AE22" s="578"/>
      <c r="AF22" s="54"/>
      <c r="AG22" s="20"/>
    </row>
    <row r="23" spans="1:33" s="13" customFormat="1" x14ac:dyDescent="0.35">
      <c r="A23" s="592"/>
      <c r="B23" s="286">
        <f>B22+1</f>
        <v>22</v>
      </c>
      <c r="C23" s="586"/>
      <c r="D23" s="8"/>
      <c r="E23" s="8"/>
      <c r="F23" s="208"/>
      <c r="G23" s="208"/>
      <c r="H23" s="208"/>
      <c r="I23" s="208"/>
      <c r="J23" s="376"/>
      <c r="K23" s="376"/>
      <c r="L23" s="376"/>
      <c r="M23" s="376"/>
      <c r="N23" s="376"/>
      <c r="O23" s="376"/>
      <c r="P23" s="376"/>
      <c r="Q23" s="376"/>
      <c r="R23" s="575"/>
      <c r="S23" s="575"/>
      <c r="T23" s="575"/>
      <c r="U23" s="396"/>
      <c r="V23" s="390" t="s">
        <v>137</v>
      </c>
      <c r="W23" s="216"/>
      <c r="X23" s="393"/>
      <c r="Y23" s="395"/>
      <c r="Z23" s="395"/>
      <c r="AA23" s="20"/>
      <c r="AB23" s="208"/>
      <c r="AC23" s="530" t="s">
        <v>136</v>
      </c>
      <c r="AD23" s="208"/>
      <c r="AE23" s="573"/>
      <c r="AF23" s="54"/>
      <c r="AG23" s="20"/>
    </row>
    <row r="24" spans="1:33" s="3" customFormat="1" ht="30.65" customHeight="1" x14ac:dyDescent="0.35">
      <c r="A24" s="592"/>
      <c r="B24" s="286">
        <f t="shared" ref="B24:B30" si="1">B23+1</f>
        <v>23</v>
      </c>
      <c r="C24" s="586"/>
      <c r="E24" s="200" t="b">
        <v>0</v>
      </c>
      <c r="F24" s="3" t="s">
        <v>182</v>
      </c>
      <c r="H24" s="200" t="b">
        <v>0</v>
      </c>
      <c r="I24" s="210" t="s">
        <v>183</v>
      </c>
      <c r="J24" s="201" t="b">
        <v>0</v>
      </c>
      <c r="K24" s="202" t="s">
        <v>184</v>
      </c>
      <c r="L24" s="203" t="b">
        <v>0</v>
      </c>
      <c r="M24" s="9" t="s">
        <v>185</v>
      </c>
      <c r="N24" s="213"/>
      <c r="O24" s="203" t="b">
        <v>0</v>
      </c>
      <c r="P24" s="9" t="s">
        <v>186</v>
      </c>
      <c r="Q24" s="9"/>
      <c r="R24" s="575"/>
      <c r="S24" s="575"/>
      <c r="T24" s="575"/>
      <c r="U24" s="575"/>
      <c r="V24" s="575"/>
      <c r="W24" s="216"/>
      <c r="X24" s="204" t="b">
        <v>0</v>
      </c>
      <c r="Y24" s="205" t="s">
        <v>187</v>
      </c>
      <c r="Z24" s="371"/>
      <c r="AA24" s="210"/>
      <c r="AB24" s="529" t="b">
        <v>0</v>
      </c>
      <c r="AC24" s="389" t="s">
        <v>188</v>
      </c>
      <c r="AD24" s="15"/>
      <c r="AE24" s="573"/>
      <c r="AF24" s="53"/>
      <c r="AG24" s="15"/>
    </row>
    <row r="25" spans="1:33" s="3" customFormat="1" ht="32.15" customHeight="1" x14ac:dyDescent="0.35">
      <c r="A25" s="592"/>
      <c r="B25" s="286">
        <f t="shared" si="1"/>
        <v>24</v>
      </c>
      <c r="C25" s="586"/>
      <c r="E25" s="200" t="b">
        <v>0</v>
      </c>
      <c r="F25" s="196" t="s">
        <v>189</v>
      </c>
      <c r="H25" s="15"/>
      <c r="I25" s="210"/>
      <c r="J25" s="204" t="b">
        <v>0</v>
      </c>
      <c r="K25" s="588" t="s">
        <v>190</v>
      </c>
      <c r="L25" s="204" t="b">
        <v>0</v>
      </c>
      <c r="M25" s="205" t="s">
        <v>191</v>
      </c>
      <c r="N25" s="387">
        <v>44197</v>
      </c>
      <c r="O25" s="204" t="b">
        <v>0</v>
      </c>
      <c r="P25" s="205" t="s">
        <v>185</v>
      </c>
      <c r="Q25" s="205"/>
      <c r="R25" s="203" t="b">
        <v>0</v>
      </c>
      <c r="S25" s="9" t="s">
        <v>192</v>
      </c>
      <c r="T25" s="9" t="s">
        <v>135</v>
      </c>
      <c r="U25" s="204" t="b">
        <v>0</v>
      </c>
      <c r="V25" s="390" t="s">
        <v>193</v>
      </c>
      <c r="W25" s="215"/>
      <c r="X25" s="204" t="b">
        <v>0</v>
      </c>
      <c r="Y25" s="205" t="s">
        <v>194</v>
      </c>
      <c r="Z25" s="371"/>
      <c r="AA25" s="15"/>
      <c r="AB25" s="217"/>
      <c r="AC25" s="208" t="s">
        <v>137</v>
      </c>
      <c r="AD25" s="209"/>
      <c r="AE25" s="376" t="s">
        <v>195</v>
      </c>
      <c r="AF25" s="54"/>
      <c r="AG25" s="15"/>
    </row>
    <row r="26" spans="1:33" s="3" customFormat="1" ht="14.5" customHeight="1" x14ac:dyDescent="0.35">
      <c r="A26" s="592"/>
      <c r="B26" s="286">
        <f t="shared" si="1"/>
        <v>25</v>
      </c>
      <c r="C26" s="586"/>
      <c r="E26" s="200" t="b">
        <v>0</v>
      </c>
      <c r="F26" s="589" t="s">
        <v>196</v>
      </c>
      <c r="H26" s="200" t="b">
        <v>0</v>
      </c>
      <c r="I26" s="210" t="s">
        <v>197</v>
      </c>
      <c r="J26" s="205"/>
      <c r="K26" s="588"/>
      <c r="L26" s="203" t="b">
        <v>0</v>
      </c>
      <c r="M26" s="44" t="s">
        <v>198</v>
      </c>
      <c r="N26" s="211">
        <v>6</v>
      </c>
      <c r="O26" s="203" t="b">
        <v>0</v>
      </c>
      <c r="P26" s="9" t="s">
        <v>198</v>
      </c>
      <c r="Q26" s="211">
        <v>7</v>
      </c>
      <c r="R26" s="575"/>
      <c r="S26" s="575"/>
      <c r="T26" s="575"/>
      <c r="U26" s="584" t="s">
        <v>136</v>
      </c>
      <c r="V26" s="584"/>
      <c r="W26" s="584"/>
      <c r="X26" s="204" t="b">
        <v>0</v>
      </c>
      <c r="Y26" s="9" t="s">
        <v>199</v>
      </c>
      <c r="Z26" s="575"/>
      <c r="AA26" s="15"/>
      <c r="AB26" s="217"/>
      <c r="AC26" s="22"/>
      <c r="AD26" s="15"/>
      <c r="AE26" s="574"/>
      <c r="AF26" s="53"/>
      <c r="AG26" s="15"/>
    </row>
    <row r="27" spans="1:33" s="3" customFormat="1" ht="34" customHeight="1" x14ac:dyDescent="0.35">
      <c r="A27" s="592"/>
      <c r="B27" s="286">
        <f t="shared" si="1"/>
        <v>26</v>
      </c>
      <c r="C27" s="586"/>
      <c r="F27" s="589"/>
      <c r="H27" s="15"/>
      <c r="I27" s="15"/>
      <c r="J27" s="205"/>
      <c r="K27" s="9"/>
      <c r="L27" s="15"/>
      <c r="M27" s="15"/>
      <c r="N27" s="218"/>
      <c r="O27" s="9"/>
      <c r="P27" s="9"/>
      <c r="Q27" s="9"/>
      <c r="R27" s="575"/>
      <c r="S27" s="575"/>
      <c r="T27" s="575"/>
      <c r="U27" s="204" t="b">
        <v>0</v>
      </c>
      <c r="V27" s="205" t="s">
        <v>200</v>
      </c>
      <c r="W27" s="216"/>
      <c r="X27" s="389"/>
      <c r="Y27" s="15"/>
      <c r="Z27" s="575"/>
      <c r="AA27" s="15"/>
      <c r="AB27" s="15"/>
      <c r="AC27" s="15"/>
      <c r="AD27" s="15"/>
      <c r="AE27" s="574"/>
      <c r="AF27" s="53"/>
      <c r="AG27" s="15"/>
    </row>
    <row r="28" spans="1:33" s="3" customFormat="1" ht="30" customHeight="1" x14ac:dyDescent="0.35">
      <c r="A28" s="592"/>
      <c r="B28" s="286">
        <f t="shared" si="1"/>
        <v>27</v>
      </c>
      <c r="C28" s="586"/>
      <c r="E28"/>
      <c r="H28" s="15"/>
      <c r="I28" s="15"/>
      <c r="J28" s="373"/>
      <c r="K28" s="213"/>
      <c r="L28" s="213"/>
      <c r="M28" s="213"/>
      <c r="N28" s="213"/>
      <c r="O28" s="9"/>
      <c r="P28" s="9"/>
      <c r="Q28" s="9"/>
      <c r="R28" s="203" t="b">
        <v>0</v>
      </c>
      <c r="S28" s="9" t="s">
        <v>201</v>
      </c>
      <c r="T28" s="9" t="s">
        <v>135</v>
      </c>
      <c r="U28" s="536"/>
      <c r="V28" s="536"/>
      <c r="X28" s="389"/>
      <c r="Y28" s="15"/>
      <c r="Z28" s="368"/>
      <c r="AA28" s="15"/>
      <c r="AB28" s="15"/>
      <c r="AC28" s="15"/>
      <c r="AD28" s="15"/>
      <c r="AE28" s="15"/>
      <c r="AF28" s="53"/>
      <c r="AG28" s="15"/>
    </row>
    <row r="29" spans="1:33" s="3" customFormat="1" x14ac:dyDescent="0.35">
      <c r="A29" s="592"/>
      <c r="B29" s="286">
        <f t="shared" si="1"/>
        <v>28</v>
      </c>
      <c r="C29" s="586"/>
      <c r="E29"/>
      <c r="H29" s="212"/>
      <c r="I29" s="15"/>
      <c r="J29" s="373"/>
      <c r="K29" s="213"/>
      <c r="L29" s="213"/>
      <c r="M29" s="213"/>
      <c r="N29" s="213"/>
      <c r="O29" s="9"/>
      <c r="P29" s="9"/>
      <c r="Q29" s="9"/>
      <c r="R29" s="575"/>
      <c r="S29" s="575"/>
      <c r="T29" s="575"/>
      <c r="U29" s="204" t="b">
        <v>0</v>
      </c>
      <c r="V29" s="9" t="s">
        <v>202</v>
      </c>
      <c r="W29" s="9"/>
      <c r="X29" s="389"/>
      <c r="Y29" s="15"/>
      <c r="Z29" s="368"/>
      <c r="AA29" s="15"/>
      <c r="AB29" s="15"/>
      <c r="AC29" s="15"/>
      <c r="AD29" s="15"/>
      <c r="AE29" s="15"/>
      <c r="AF29" s="53"/>
      <c r="AG29" s="15"/>
    </row>
    <row r="30" spans="1:33" s="3" customFormat="1" ht="30" customHeight="1" thickBot="1" x14ac:dyDescent="0.4">
      <c r="A30" s="593"/>
      <c r="B30" s="286">
        <f t="shared" si="1"/>
        <v>29</v>
      </c>
      <c r="C30" s="587"/>
      <c r="D30" s="55"/>
      <c r="E30" s="55"/>
      <c r="F30" s="55"/>
      <c r="G30" s="55"/>
      <c r="H30" s="56"/>
      <c r="I30" s="56"/>
      <c r="J30" s="374"/>
      <c r="K30" s="57"/>
      <c r="L30" s="57"/>
      <c r="M30" s="57"/>
      <c r="N30" s="57"/>
      <c r="O30" s="58"/>
      <c r="P30" s="58"/>
      <c r="Q30" s="58"/>
      <c r="R30" s="575"/>
      <c r="S30" s="575"/>
      <c r="T30" s="575"/>
      <c r="U30" s="536"/>
      <c r="V30" s="536"/>
      <c r="W30" s="58"/>
      <c r="X30" s="392"/>
      <c r="Y30" s="56"/>
      <c r="Z30" s="369"/>
      <c r="AA30" s="56"/>
      <c r="AB30" s="56"/>
      <c r="AC30" s="56"/>
      <c r="AD30" s="56"/>
      <c r="AE30" s="56"/>
      <c r="AF30" s="59"/>
      <c r="AG30" s="15"/>
    </row>
    <row r="31" spans="1:33" s="3" customFormat="1" ht="15" hidden="1" customHeight="1" thickBot="1" x14ac:dyDescent="0.4">
      <c r="A31" s="87"/>
      <c r="B31" s="232"/>
      <c r="C31" s="381"/>
      <c r="D31" s="229"/>
      <c r="E31" s="229"/>
      <c r="F31" s="229"/>
      <c r="G31" s="229"/>
      <c r="H31" s="229"/>
      <c r="I31" s="229"/>
      <c r="J31" s="379"/>
      <c r="K31" s="229"/>
      <c r="L31" s="229"/>
      <c r="M31" s="229"/>
      <c r="N31" s="229"/>
      <c r="O31" s="229"/>
      <c r="P31" s="229"/>
      <c r="Q31" s="229"/>
      <c r="R31" s="229"/>
      <c r="S31" s="229"/>
      <c r="T31" s="229"/>
      <c r="U31" s="379"/>
      <c r="V31" s="229"/>
      <c r="W31" s="229"/>
      <c r="X31" s="379"/>
      <c r="Y31" s="229"/>
      <c r="Z31" s="380"/>
      <c r="AA31" s="229"/>
      <c r="AB31" s="229"/>
      <c r="AC31" s="229"/>
      <c r="AD31" s="229"/>
      <c r="AE31" s="229"/>
      <c r="AF31" s="302"/>
      <c r="AG31" s="15"/>
    </row>
    <row r="32" spans="1:33" ht="5.15" customHeight="1" thickBot="1" x14ac:dyDescent="0.4">
      <c r="A32" s="87"/>
      <c r="B32" s="232"/>
      <c r="C32" s="381"/>
      <c r="D32" s="229"/>
      <c r="E32" s="229"/>
      <c r="F32" s="229"/>
      <c r="G32" s="229"/>
      <c r="H32" s="229"/>
      <c r="I32" s="229"/>
      <c r="J32" s="379"/>
      <c r="K32" s="229"/>
      <c r="L32" s="229"/>
      <c r="M32" s="229"/>
      <c r="N32" s="229"/>
      <c r="O32" s="229"/>
      <c r="P32" s="229"/>
      <c r="Q32" s="229"/>
      <c r="R32" s="229"/>
      <c r="S32" s="229"/>
      <c r="T32" s="229"/>
      <c r="U32" s="379"/>
      <c r="V32" s="229"/>
      <c r="W32" s="229"/>
      <c r="X32" s="379"/>
      <c r="Y32" s="229"/>
      <c r="Z32" s="380"/>
      <c r="AA32" s="229"/>
      <c r="AB32" s="229"/>
      <c r="AC32" s="229"/>
      <c r="AD32" s="229"/>
      <c r="AE32" s="229"/>
      <c r="AF32" s="302"/>
      <c r="AG32" s="87"/>
    </row>
    <row r="33" spans="1:33" ht="15" hidden="1" customHeight="1" thickBot="1" x14ac:dyDescent="0.4">
      <c r="A33" s="87"/>
      <c r="B33" s="232"/>
      <c r="C33" s="381"/>
      <c r="D33" s="229"/>
      <c r="E33" s="229"/>
      <c r="F33" s="229"/>
      <c r="G33" s="229"/>
      <c r="H33" s="229"/>
      <c r="I33" s="229"/>
      <c r="J33" s="379"/>
      <c r="K33" s="229"/>
      <c r="L33" s="229"/>
      <c r="M33" s="229"/>
      <c r="N33" s="229"/>
      <c r="O33" s="229"/>
      <c r="P33" s="229"/>
      <c r="Q33" s="229"/>
      <c r="R33" s="229"/>
      <c r="S33" s="229"/>
      <c r="T33" s="229"/>
      <c r="U33" s="379"/>
      <c r="V33" s="229"/>
      <c r="W33" s="229"/>
      <c r="X33" s="379"/>
      <c r="Y33" s="229"/>
      <c r="Z33" s="380"/>
      <c r="AA33" s="229"/>
      <c r="AB33" s="229"/>
      <c r="AC33" s="229"/>
      <c r="AD33" s="229"/>
      <c r="AE33" s="229"/>
      <c r="AF33" s="302"/>
      <c r="AG33"/>
    </row>
    <row r="34" spans="1:33" s="13" customFormat="1" ht="29.15" customHeight="1" x14ac:dyDescent="0.35">
      <c r="A34" s="591">
        <f>A22+1</f>
        <v>3</v>
      </c>
      <c r="B34" s="286">
        <f>B22+10</f>
        <v>31</v>
      </c>
      <c r="C34" s="585" t="str">
        <f>VLOOKUP(A34,INputs!$G$3:$O$22,7,FALSE)</f>
        <v>Please fill out Sensitivity Labels Tab</v>
      </c>
      <c r="D34" s="47"/>
      <c r="E34" s="47"/>
      <c r="F34" s="577" t="s">
        <v>136</v>
      </c>
      <c r="G34" s="577"/>
      <c r="H34" s="577" t="s">
        <v>136</v>
      </c>
      <c r="I34" s="577"/>
      <c r="J34" s="578" t="str">
        <f>J10</f>
        <v>Select a check box</v>
      </c>
      <c r="K34" s="578"/>
      <c r="L34" s="578" t="s">
        <v>136</v>
      </c>
      <c r="M34" s="578"/>
      <c r="N34" s="578"/>
      <c r="O34" s="578" t="s">
        <v>136</v>
      </c>
      <c r="P34" s="578"/>
      <c r="Q34" s="578"/>
      <c r="R34" s="582" t="s">
        <v>179</v>
      </c>
      <c r="S34" s="582"/>
      <c r="T34" s="397" t="s">
        <v>135</v>
      </c>
      <c r="U34" s="583" t="s">
        <v>180</v>
      </c>
      <c r="V34" s="583"/>
      <c r="W34" s="50"/>
      <c r="X34" s="391"/>
      <c r="Y34" s="576" t="s">
        <v>136</v>
      </c>
      <c r="Z34" s="576"/>
      <c r="AA34" s="51"/>
      <c r="AB34" s="577"/>
      <c r="AC34" s="577"/>
      <c r="AD34" s="48"/>
      <c r="AE34" s="49" t="s">
        <v>181</v>
      </c>
      <c r="AF34" s="52"/>
      <c r="AG34" s="20"/>
    </row>
    <row r="35" spans="1:33" s="13" customFormat="1" x14ac:dyDescent="0.35">
      <c r="A35" s="592"/>
      <c r="B35" s="286">
        <f>B34+1</f>
        <v>32</v>
      </c>
      <c r="C35" s="586"/>
      <c r="D35" s="8"/>
      <c r="E35" s="8"/>
      <c r="F35" s="208"/>
      <c r="G35" s="208"/>
      <c r="H35" s="208"/>
      <c r="I35" s="208"/>
      <c r="J35" s="376"/>
      <c r="K35" s="376"/>
      <c r="L35" s="376"/>
      <c r="M35" s="376"/>
      <c r="N35" s="376"/>
      <c r="O35" s="376"/>
      <c r="P35" s="376"/>
      <c r="Q35" s="376"/>
      <c r="R35" s="575"/>
      <c r="S35" s="575"/>
      <c r="T35" s="575"/>
      <c r="U35" s="396"/>
      <c r="V35" s="390" t="s">
        <v>137</v>
      </c>
      <c r="W35" s="216"/>
      <c r="X35" s="393"/>
      <c r="Y35" s="395"/>
      <c r="Z35" s="395"/>
      <c r="AA35" s="20"/>
      <c r="AB35" s="208"/>
      <c r="AC35" s="530" t="s">
        <v>136</v>
      </c>
      <c r="AD35" s="208"/>
      <c r="AE35" s="573"/>
      <c r="AF35" s="54"/>
      <c r="AG35" s="20"/>
    </row>
    <row r="36" spans="1:33" s="3" customFormat="1" ht="30.5" x14ac:dyDescent="0.35">
      <c r="A36" s="592"/>
      <c r="B36" s="286">
        <f t="shared" ref="B36:B42" si="2">B35+1</f>
        <v>33</v>
      </c>
      <c r="C36" s="586"/>
      <c r="E36" s="200" t="b">
        <v>0</v>
      </c>
      <c r="F36" s="3" t="s">
        <v>182</v>
      </c>
      <c r="H36" s="200" t="b">
        <v>0</v>
      </c>
      <c r="I36" s="210" t="s">
        <v>183</v>
      </c>
      <c r="J36" s="201" t="b">
        <v>0</v>
      </c>
      <c r="K36" s="202" t="s">
        <v>184</v>
      </c>
      <c r="L36" s="203" t="b">
        <v>0</v>
      </c>
      <c r="M36" s="9" t="s">
        <v>185</v>
      </c>
      <c r="N36" s="213"/>
      <c r="O36" s="203" t="b">
        <v>0</v>
      </c>
      <c r="P36" s="9" t="s">
        <v>186</v>
      </c>
      <c r="Q36" s="9"/>
      <c r="R36" s="575"/>
      <c r="S36" s="575"/>
      <c r="T36" s="575"/>
      <c r="U36" s="575"/>
      <c r="V36" s="575"/>
      <c r="W36" s="216"/>
      <c r="X36" s="204" t="b">
        <v>0</v>
      </c>
      <c r="Y36" s="205" t="s">
        <v>187</v>
      </c>
      <c r="Z36" s="371"/>
      <c r="AA36" s="15"/>
      <c r="AB36" s="529" t="b">
        <v>0</v>
      </c>
      <c r="AC36" s="389" t="s">
        <v>188</v>
      </c>
      <c r="AD36" s="15"/>
      <c r="AE36" s="573"/>
      <c r="AF36" s="53"/>
      <c r="AG36" s="15"/>
    </row>
    <row r="37" spans="1:33" s="3" customFormat="1" ht="35.15" customHeight="1" x14ac:dyDescent="0.35">
      <c r="A37" s="592"/>
      <c r="B37" s="286">
        <f t="shared" si="2"/>
        <v>34</v>
      </c>
      <c r="C37" s="586"/>
      <c r="E37" s="200" t="b">
        <v>0</v>
      </c>
      <c r="F37" s="196" t="s">
        <v>189</v>
      </c>
      <c r="H37" s="15"/>
      <c r="I37" s="210"/>
      <c r="J37" s="204" t="b">
        <v>0</v>
      </c>
      <c r="K37" s="588" t="s">
        <v>190</v>
      </c>
      <c r="L37" s="204" t="b">
        <v>0</v>
      </c>
      <c r="M37" s="205" t="s">
        <v>191</v>
      </c>
      <c r="N37" s="387">
        <v>44197</v>
      </c>
      <c r="O37" s="204" t="b">
        <v>0</v>
      </c>
      <c r="P37" s="205" t="s">
        <v>185</v>
      </c>
      <c r="Q37" s="205"/>
      <c r="R37" s="203" t="b">
        <v>0</v>
      </c>
      <c r="S37" s="9" t="s">
        <v>192</v>
      </c>
      <c r="T37" s="9" t="s">
        <v>135</v>
      </c>
      <c r="U37" s="204" t="b">
        <v>0</v>
      </c>
      <c r="V37" s="390" t="s">
        <v>193</v>
      </c>
      <c r="W37" s="215"/>
      <c r="X37" s="204" t="b">
        <v>0</v>
      </c>
      <c r="Y37" s="205" t="s">
        <v>194</v>
      </c>
      <c r="Z37" s="371"/>
      <c r="AA37" s="15"/>
      <c r="AB37" s="217"/>
      <c r="AC37" s="208" t="s">
        <v>137</v>
      </c>
      <c r="AD37" s="209"/>
      <c r="AE37" s="376" t="s">
        <v>195</v>
      </c>
      <c r="AF37" s="54"/>
      <c r="AG37" s="15"/>
    </row>
    <row r="38" spans="1:33" s="3" customFormat="1" ht="14.5" customHeight="1" x14ac:dyDescent="0.35">
      <c r="A38" s="592"/>
      <c r="B38" s="286">
        <f t="shared" si="2"/>
        <v>35</v>
      </c>
      <c r="C38" s="586"/>
      <c r="E38" s="200" t="b">
        <v>0</v>
      </c>
      <c r="F38" s="589" t="s">
        <v>196</v>
      </c>
      <c r="H38" s="200" t="b">
        <v>0</v>
      </c>
      <c r="I38" s="210" t="s">
        <v>197</v>
      </c>
      <c r="J38" s="205"/>
      <c r="K38" s="588"/>
      <c r="L38" s="203" t="b">
        <v>0</v>
      </c>
      <c r="M38" s="44" t="s">
        <v>198</v>
      </c>
      <c r="N38" s="211">
        <v>0</v>
      </c>
      <c r="O38" s="203" t="b">
        <v>0</v>
      </c>
      <c r="P38" s="9" t="s">
        <v>198</v>
      </c>
      <c r="Q38" s="211">
        <v>8</v>
      </c>
      <c r="R38" s="575"/>
      <c r="S38" s="575"/>
      <c r="T38" s="575"/>
      <c r="U38" s="584" t="s">
        <v>136</v>
      </c>
      <c r="V38" s="584"/>
      <c r="W38" s="584"/>
      <c r="X38" s="204" t="b">
        <v>0</v>
      </c>
      <c r="Y38" s="9" t="s">
        <v>199</v>
      </c>
      <c r="Z38" s="575"/>
      <c r="AA38" s="15"/>
      <c r="AB38" s="217"/>
      <c r="AC38" s="22"/>
      <c r="AD38" s="15"/>
      <c r="AE38" s="574"/>
      <c r="AF38" s="53"/>
      <c r="AG38" s="15"/>
    </row>
    <row r="39" spans="1:33" s="3" customFormat="1" x14ac:dyDescent="0.35">
      <c r="A39" s="592"/>
      <c r="B39" s="286">
        <f t="shared" si="2"/>
        <v>36</v>
      </c>
      <c r="C39" s="586"/>
      <c r="F39" s="589"/>
      <c r="H39" s="15"/>
      <c r="I39" s="15"/>
      <c r="J39" s="205"/>
      <c r="K39" s="9"/>
      <c r="L39" s="15"/>
      <c r="M39" s="15"/>
      <c r="N39" s="218"/>
      <c r="O39" s="9"/>
      <c r="P39" s="9"/>
      <c r="Q39" s="9"/>
      <c r="R39" s="575"/>
      <c r="S39" s="575"/>
      <c r="T39" s="575"/>
      <c r="U39" s="204" t="b">
        <v>0</v>
      </c>
      <c r="V39" s="205" t="s">
        <v>200</v>
      </c>
      <c r="W39" s="216"/>
      <c r="X39" s="389"/>
      <c r="Y39" s="15"/>
      <c r="Z39" s="575"/>
      <c r="AA39" s="15"/>
      <c r="AB39" s="15"/>
      <c r="AC39" s="15"/>
      <c r="AD39" s="15"/>
      <c r="AE39" s="574"/>
      <c r="AF39" s="53"/>
      <c r="AG39" s="15"/>
    </row>
    <row r="40" spans="1:33" s="3" customFormat="1" ht="30" customHeight="1" x14ac:dyDescent="0.35">
      <c r="A40" s="592"/>
      <c r="B40" s="286">
        <f t="shared" si="2"/>
        <v>37</v>
      </c>
      <c r="C40" s="586"/>
      <c r="E40"/>
      <c r="H40" s="15"/>
      <c r="I40" s="15"/>
      <c r="J40" s="373"/>
      <c r="K40" s="213"/>
      <c r="L40" s="213"/>
      <c r="M40" s="213"/>
      <c r="N40" s="213"/>
      <c r="O40" s="9"/>
      <c r="P40" s="9"/>
      <c r="Q40" s="9"/>
      <c r="R40" s="203" t="b">
        <v>0</v>
      </c>
      <c r="S40" s="9" t="s">
        <v>201</v>
      </c>
      <c r="T40" s="9" t="s">
        <v>135</v>
      </c>
      <c r="U40" s="575"/>
      <c r="V40" s="575"/>
      <c r="X40" s="389"/>
      <c r="Y40" s="15"/>
      <c r="Z40" s="368"/>
      <c r="AA40" s="15"/>
      <c r="AB40" s="15"/>
      <c r="AC40" s="15"/>
      <c r="AD40" s="15"/>
      <c r="AE40" s="15"/>
      <c r="AF40" s="53"/>
      <c r="AG40" s="15"/>
    </row>
    <row r="41" spans="1:33" s="3" customFormat="1" x14ac:dyDescent="0.35">
      <c r="A41" s="592"/>
      <c r="B41" s="286">
        <f t="shared" si="2"/>
        <v>38</v>
      </c>
      <c r="C41" s="586"/>
      <c r="E41"/>
      <c r="H41" s="212"/>
      <c r="I41" s="15"/>
      <c r="J41" s="373"/>
      <c r="K41" s="213"/>
      <c r="L41" s="213"/>
      <c r="M41" s="213"/>
      <c r="N41" s="213"/>
      <c r="O41" s="9"/>
      <c r="P41" s="9"/>
      <c r="Q41" s="9"/>
      <c r="R41" s="575"/>
      <c r="S41" s="575"/>
      <c r="T41" s="575"/>
      <c r="U41" s="204" t="b">
        <v>0</v>
      </c>
      <c r="V41" s="9" t="s">
        <v>202</v>
      </c>
      <c r="W41" s="9"/>
      <c r="X41" s="389"/>
      <c r="Y41" s="15"/>
      <c r="Z41" s="368"/>
      <c r="AA41" s="15"/>
      <c r="AB41" s="15"/>
      <c r="AC41" s="15"/>
      <c r="AD41" s="15"/>
      <c r="AE41" s="15"/>
      <c r="AF41" s="53"/>
      <c r="AG41" s="15"/>
    </row>
    <row r="42" spans="1:33" s="3" customFormat="1" ht="30" customHeight="1" thickBot="1" x14ac:dyDescent="0.4">
      <c r="A42" s="593"/>
      <c r="B42" s="286">
        <f t="shared" si="2"/>
        <v>39</v>
      </c>
      <c r="C42" s="587"/>
      <c r="D42" s="55"/>
      <c r="E42" s="55"/>
      <c r="F42" s="55"/>
      <c r="G42" s="55"/>
      <c r="H42" s="56"/>
      <c r="I42" s="56"/>
      <c r="J42" s="374"/>
      <c r="K42" s="57"/>
      <c r="L42" s="57"/>
      <c r="M42" s="57"/>
      <c r="N42" s="57"/>
      <c r="O42" s="58"/>
      <c r="P42" s="58"/>
      <c r="Q42" s="58"/>
      <c r="R42" s="575"/>
      <c r="S42" s="575"/>
      <c r="T42" s="575"/>
      <c r="U42" s="575"/>
      <c r="V42" s="575"/>
      <c r="W42" s="58"/>
      <c r="X42" s="392"/>
      <c r="Y42" s="56"/>
      <c r="Z42" s="369"/>
      <c r="AA42" s="56"/>
      <c r="AB42" s="56"/>
      <c r="AC42" s="56"/>
      <c r="AD42" s="56"/>
      <c r="AE42" s="56"/>
      <c r="AF42" s="59"/>
      <c r="AG42" s="15"/>
    </row>
    <row r="43" spans="1:33" s="3" customFormat="1" ht="15" hidden="1" customHeight="1" thickBot="1" x14ac:dyDescent="0.4">
      <c r="A43" s="87"/>
      <c r="B43" s="232"/>
      <c r="C43" s="382"/>
      <c r="D43" s="383"/>
      <c r="E43" s="383"/>
      <c r="F43" s="383"/>
      <c r="G43" s="383"/>
      <c r="H43" s="383"/>
      <c r="I43" s="383"/>
      <c r="J43" s="384"/>
      <c r="K43" s="383"/>
      <c r="L43" s="383"/>
      <c r="M43" s="383"/>
      <c r="N43" s="383"/>
      <c r="O43" s="383"/>
      <c r="P43" s="383"/>
      <c r="Q43" s="383"/>
      <c r="R43" s="383"/>
      <c r="S43" s="383"/>
      <c r="T43" s="383"/>
      <c r="U43" s="384"/>
      <c r="V43" s="383"/>
      <c r="W43" s="383"/>
      <c r="X43" s="384"/>
      <c r="Y43" s="383"/>
      <c r="Z43" s="385"/>
      <c r="AA43" s="383"/>
      <c r="AB43" s="383"/>
      <c r="AC43" s="383"/>
      <c r="AD43" s="383"/>
      <c r="AE43" s="383"/>
      <c r="AF43" s="386"/>
      <c r="AG43" s="15"/>
    </row>
    <row r="44" spans="1:33" ht="5.15" customHeight="1" thickBot="1" x14ac:dyDescent="0.4">
      <c r="A44" s="87"/>
      <c r="B44" s="232"/>
      <c r="C44" s="381"/>
      <c r="D44" s="229"/>
      <c r="E44" s="229"/>
      <c r="F44" s="229"/>
      <c r="G44" s="229"/>
      <c r="H44" s="229"/>
      <c r="I44" s="229"/>
      <c r="J44" s="379"/>
      <c r="K44" s="229"/>
      <c r="L44" s="229"/>
      <c r="M44" s="229"/>
      <c r="N44" s="229"/>
      <c r="O44" s="229"/>
      <c r="P44" s="229"/>
      <c r="Q44" s="229"/>
      <c r="R44" s="229"/>
      <c r="S44" s="229"/>
      <c r="T44" s="229"/>
      <c r="U44" s="379"/>
      <c r="V44" s="229"/>
      <c r="W44" s="229"/>
      <c r="X44" s="379"/>
      <c r="Y44" s="229"/>
      <c r="Z44" s="380"/>
      <c r="AA44" s="229"/>
      <c r="AB44" s="229"/>
      <c r="AC44" s="229"/>
      <c r="AD44" s="229"/>
      <c r="AE44" s="229"/>
      <c r="AF44" s="302"/>
      <c r="AG44" s="87"/>
    </row>
    <row r="45" spans="1:33" ht="15" hidden="1" customHeight="1" thickBot="1" x14ac:dyDescent="0.4">
      <c r="A45" s="87"/>
      <c r="B45" s="232"/>
      <c r="C45" s="381"/>
      <c r="D45" s="229"/>
      <c r="E45" s="229"/>
      <c r="F45" s="229"/>
      <c r="G45" s="229"/>
      <c r="H45" s="229"/>
      <c r="I45" s="229"/>
      <c r="J45" s="379"/>
      <c r="K45" s="229"/>
      <c r="L45" s="229"/>
      <c r="M45" s="229"/>
      <c r="N45" s="229"/>
      <c r="O45" s="229"/>
      <c r="P45" s="229"/>
      <c r="Q45" s="229"/>
      <c r="R45" s="229"/>
      <c r="S45" s="229"/>
      <c r="T45" s="229"/>
      <c r="U45" s="379"/>
      <c r="V45" s="229"/>
      <c r="W45" s="229"/>
      <c r="X45" s="379"/>
      <c r="Y45" s="229"/>
      <c r="Z45" s="380"/>
      <c r="AA45" s="229"/>
      <c r="AB45" s="229"/>
      <c r="AC45" s="229"/>
      <c r="AD45" s="229"/>
      <c r="AE45" s="229"/>
      <c r="AF45" s="302"/>
      <c r="AG45"/>
    </row>
    <row r="46" spans="1:33" s="13" customFormat="1" ht="29.15" customHeight="1" x14ac:dyDescent="0.35">
      <c r="A46" s="591">
        <f>A34+1</f>
        <v>4</v>
      </c>
      <c r="B46" s="286">
        <f>B34+10</f>
        <v>41</v>
      </c>
      <c r="C46" s="585" t="str">
        <f>VLOOKUP(A46,INputs!$G$3:$O$22,7,FALSE)</f>
        <v>Please fill out Sensitivity Labels Tab</v>
      </c>
      <c r="D46" s="47"/>
      <c r="E46" s="47"/>
      <c r="F46" s="577" t="s">
        <v>136</v>
      </c>
      <c r="G46" s="577"/>
      <c r="H46" s="577" t="s">
        <v>136</v>
      </c>
      <c r="I46" s="577"/>
      <c r="J46" s="578" t="str">
        <f>J10</f>
        <v>Select a check box</v>
      </c>
      <c r="K46" s="578"/>
      <c r="L46" s="578" t="s">
        <v>136</v>
      </c>
      <c r="M46" s="578"/>
      <c r="N46" s="578"/>
      <c r="O46" s="578" t="s">
        <v>136</v>
      </c>
      <c r="P46" s="578"/>
      <c r="Q46" s="578"/>
      <c r="R46" s="582" t="s">
        <v>179</v>
      </c>
      <c r="S46" s="582"/>
      <c r="T46" s="397" t="s">
        <v>135</v>
      </c>
      <c r="U46" s="583" t="s">
        <v>180</v>
      </c>
      <c r="V46" s="583"/>
      <c r="W46" s="50"/>
      <c r="X46" s="391"/>
      <c r="Y46" s="576" t="s">
        <v>136</v>
      </c>
      <c r="Z46" s="576"/>
      <c r="AA46" s="51"/>
      <c r="AB46" s="577"/>
      <c r="AC46" s="577"/>
      <c r="AD46" s="48"/>
      <c r="AE46" s="49" t="s">
        <v>181</v>
      </c>
      <c r="AF46" s="52"/>
      <c r="AG46" s="20"/>
    </row>
    <row r="47" spans="1:33" s="13" customFormat="1" x14ac:dyDescent="0.35">
      <c r="A47" s="592"/>
      <c r="B47" s="286">
        <f>B46+1</f>
        <v>42</v>
      </c>
      <c r="C47" s="586"/>
      <c r="D47" s="8"/>
      <c r="E47" s="8"/>
      <c r="F47" s="208"/>
      <c r="G47" s="208"/>
      <c r="H47" s="208"/>
      <c r="I47" s="208"/>
      <c r="J47" s="376"/>
      <c r="K47" s="376"/>
      <c r="L47" s="376"/>
      <c r="M47" s="376"/>
      <c r="N47" s="376"/>
      <c r="O47" s="376"/>
      <c r="P47" s="376"/>
      <c r="Q47" s="376"/>
      <c r="R47" s="575"/>
      <c r="S47" s="575"/>
      <c r="T47" s="575"/>
      <c r="U47" s="396"/>
      <c r="V47" s="390" t="s">
        <v>137</v>
      </c>
      <c r="W47" s="216"/>
      <c r="X47" s="393"/>
      <c r="Y47" s="395"/>
      <c r="Z47" s="395"/>
      <c r="AA47" s="20"/>
      <c r="AB47" s="208"/>
      <c r="AC47" s="530" t="s">
        <v>136</v>
      </c>
      <c r="AD47" s="208"/>
      <c r="AE47" s="573"/>
      <c r="AF47" s="54"/>
      <c r="AG47" s="20"/>
    </row>
    <row r="48" spans="1:33" s="3" customFormat="1" ht="30.5" x14ac:dyDescent="0.35">
      <c r="A48" s="592"/>
      <c r="B48" s="286">
        <f t="shared" ref="B48:B54" si="3">B47+1</f>
        <v>43</v>
      </c>
      <c r="C48" s="586"/>
      <c r="E48" s="200" t="b">
        <v>0</v>
      </c>
      <c r="F48" s="3" t="s">
        <v>182</v>
      </c>
      <c r="H48" s="200" t="b">
        <v>0</v>
      </c>
      <c r="I48" s="210" t="s">
        <v>183</v>
      </c>
      <c r="J48" s="201" t="b">
        <v>0</v>
      </c>
      <c r="K48" s="202" t="s">
        <v>184</v>
      </c>
      <c r="L48" s="203" t="b">
        <v>0</v>
      </c>
      <c r="M48" s="9" t="s">
        <v>185</v>
      </c>
      <c r="N48" s="213"/>
      <c r="O48" s="203" t="b">
        <v>0</v>
      </c>
      <c r="P48" s="9" t="s">
        <v>186</v>
      </c>
      <c r="Q48" s="9"/>
      <c r="R48" s="575"/>
      <c r="S48" s="575"/>
      <c r="T48" s="575"/>
      <c r="U48" s="575"/>
      <c r="V48" s="575"/>
      <c r="W48" s="216"/>
      <c r="X48" s="204" t="b">
        <v>0</v>
      </c>
      <c r="Y48" s="205" t="s">
        <v>187</v>
      </c>
      <c r="Z48" s="371"/>
      <c r="AA48" s="15"/>
      <c r="AB48" s="529" t="b">
        <v>0</v>
      </c>
      <c r="AC48" s="389" t="s">
        <v>188</v>
      </c>
      <c r="AD48" s="15"/>
      <c r="AE48" s="573"/>
      <c r="AF48" s="53"/>
      <c r="AG48" s="15"/>
    </row>
    <row r="49" spans="1:33" s="3" customFormat="1" ht="35.15" customHeight="1" x14ac:dyDescent="0.35">
      <c r="A49" s="592"/>
      <c r="B49" s="286">
        <f t="shared" si="3"/>
        <v>44</v>
      </c>
      <c r="C49" s="586"/>
      <c r="E49" s="200" t="b">
        <v>0</v>
      </c>
      <c r="F49" s="196" t="s">
        <v>189</v>
      </c>
      <c r="H49" s="15"/>
      <c r="I49" s="210"/>
      <c r="J49" s="204" t="b">
        <v>0</v>
      </c>
      <c r="K49" s="588" t="s">
        <v>190</v>
      </c>
      <c r="L49" s="204" t="b">
        <v>0</v>
      </c>
      <c r="M49" s="205" t="s">
        <v>191</v>
      </c>
      <c r="N49" s="387">
        <v>44197</v>
      </c>
      <c r="O49" s="204" t="b">
        <v>0</v>
      </c>
      <c r="P49" s="205" t="s">
        <v>185</v>
      </c>
      <c r="Q49" s="205"/>
      <c r="R49" s="203" t="b">
        <v>0</v>
      </c>
      <c r="S49" s="9" t="s">
        <v>192</v>
      </c>
      <c r="T49" s="9" t="s">
        <v>135</v>
      </c>
      <c r="U49" s="204" t="b">
        <v>0</v>
      </c>
      <c r="V49" s="390" t="s">
        <v>193</v>
      </c>
      <c r="W49" s="215"/>
      <c r="X49" s="204" t="b">
        <v>0</v>
      </c>
      <c r="Y49" s="205" t="s">
        <v>194</v>
      </c>
      <c r="Z49" s="371"/>
      <c r="AA49" s="15"/>
      <c r="AB49" s="217"/>
      <c r="AC49" s="208" t="s">
        <v>137</v>
      </c>
      <c r="AD49" s="209"/>
      <c r="AE49" s="376" t="s">
        <v>195</v>
      </c>
      <c r="AF49" s="54"/>
      <c r="AG49" s="15"/>
    </row>
    <row r="50" spans="1:33" s="3" customFormat="1" ht="14.5" customHeight="1" x14ac:dyDescent="0.35">
      <c r="A50" s="592"/>
      <c r="B50" s="286">
        <f t="shared" si="3"/>
        <v>45</v>
      </c>
      <c r="C50" s="586"/>
      <c r="E50" s="200" t="b">
        <v>0</v>
      </c>
      <c r="F50" s="589" t="s">
        <v>196</v>
      </c>
      <c r="H50" s="200" t="b">
        <v>0</v>
      </c>
      <c r="I50" s="210" t="s">
        <v>197</v>
      </c>
      <c r="J50" s="205"/>
      <c r="K50" s="588"/>
      <c r="L50" s="203" t="b">
        <v>0</v>
      </c>
      <c r="M50" s="44" t="s">
        <v>198</v>
      </c>
      <c r="N50" s="211">
        <v>6</v>
      </c>
      <c r="O50" s="203" t="b">
        <v>0</v>
      </c>
      <c r="P50" s="9" t="s">
        <v>198</v>
      </c>
      <c r="Q50" s="211">
        <v>7</v>
      </c>
      <c r="R50" s="575"/>
      <c r="S50" s="575"/>
      <c r="T50" s="575"/>
      <c r="U50" s="584" t="s">
        <v>136</v>
      </c>
      <c r="V50" s="584"/>
      <c r="W50" s="584"/>
      <c r="X50" s="204" t="b">
        <v>0</v>
      </c>
      <c r="Y50" s="9" t="s">
        <v>199</v>
      </c>
      <c r="Z50" s="575"/>
      <c r="AA50" s="15"/>
      <c r="AB50" s="217"/>
      <c r="AC50" s="22"/>
      <c r="AD50" s="15"/>
      <c r="AE50" s="574"/>
      <c r="AF50" s="53"/>
      <c r="AG50" s="15"/>
    </row>
    <row r="51" spans="1:33" s="3" customFormat="1" x14ac:dyDescent="0.35">
      <c r="A51" s="592"/>
      <c r="B51" s="286">
        <f t="shared" si="3"/>
        <v>46</v>
      </c>
      <c r="C51" s="586"/>
      <c r="F51" s="589"/>
      <c r="H51" s="15"/>
      <c r="I51" s="15"/>
      <c r="J51" s="205"/>
      <c r="K51" s="9"/>
      <c r="L51" s="15"/>
      <c r="M51" s="15"/>
      <c r="N51" s="218"/>
      <c r="O51" s="9"/>
      <c r="P51" s="9"/>
      <c r="Q51" s="9"/>
      <c r="R51" s="575"/>
      <c r="S51" s="575"/>
      <c r="T51" s="575"/>
      <c r="U51" s="204" t="b">
        <v>0</v>
      </c>
      <c r="V51" s="205" t="s">
        <v>200</v>
      </c>
      <c r="W51" s="216"/>
      <c r="X51" s="389"/>
      <c r="Y51" s="15"/>
      <c r="Z51" s="575"/>
      <c r="AA51" s="15"/>
      <c r="AB51" s="15"/>
      <c r="AC51" s="15"/>
      <c r="AD51" s="15"/>
      <c r="AE51" s="574"/>
      <c r="AF51" s="53"/>
      <c r="AG51" s="15"/>
    </row>
    <row r="52" spans="1:33" s="3" customFormat="1" ht="30" customHeight="1" x14ac:dyDescent="0.35">
      <c r="A52" s="592"/>
      <c r="B52" s="286">
        <f t="shared" si="3"/>
        <v>47</v>
      </c>
      <c r="C52" s="586"/>
      <c r="E52"/>
      <c r="H52" s="15"/>
      <c r="I52" s="15"/>
      <c r="J52" s="373"/>
      <c r="K52" s="213"/>
      <c r="L52" s="213"/>
      <c r="M52" s="213"/>
      <c r="N52" s="213"/>
      <c r="O52" s="9"/>
      <c r="P52" s="9"/>
      <c r="Q52" s="9"/>
      <c r="R52" s="203" t="b">
        <v>0</v>
      </c>
      <c r="S52" s="9" t="s">
        <v>201</v>
      </c>
      <c r="T52" s="9" t="s">
        <v>135</v>
      </c>
      <c r="U52" s="575"/>
      <c r="V52" s="575"/>
      <c r="X52" s="389"/>
      <c r="Y52" s="15"/>
      <c r="Z52" s="368"/>
      <c r="AA52" s="15"/>
      <c r="AB52" s="15"/>
      <c r="AC52" s="15"/>
      <c r="AD52" s="15"/>
      <c r="AE52" s="15"/>
      <c r="AF52" s="53"/>
      <c r="AG52" s="15"/>
    </row>
    <row r="53" spans="1:33" s="3" customFormat="1" x14ac:dyDescent="0.35">
      <c r="A53" s="592"/>
      <c r="B53" s="286">
        <f t="shared" si="3"/>
        <v>48</v>
      </c>
      <c r="C53" s="586"/>
      <c r="E53"/>
      <c r="H53" s="212"/>
      <c r="I53" s="15"/>
      <c r="J53" s="373"/>
      <c r="K53" s="213"/>
      <c r="L53" s="213"/>
      <c r="M53" s="213"/>
      <c r="N53" s="213"/>
      <c r="O53" s="9"/>
      <c r="P53" s="9"/>
      <c r="Q53" s="9"/>
      <c r="R53" s="575"/>
      <c r="S53" s="575"/>
      <c r="T53" s="575"/>
      <c r="U53" s="204" t="b">
        <v>0</v>
      </c>
      <c r="V53" s="9" t="s">
        <v>202</v>
      </c>
      <c r="W53" s="9"/>
      <c r="X53" s="389"/>
      <c r="Y53" s="15"/>
      <c r="Z53" s="368"/>
      <c r="AA53" s="15"/>
      <c r="AB53" s="15"/>
      <c r="AC53" s="15"/>
      <c r="AD53" s="15"/>
      <c r="AE53" s="15"/>
      <c r="AF53" s="53"/>
      <c r="AG53" s="15"/>
    </row>
    <row r="54" spans="1:33" s="3" customFormat="1" ht="30" customHeight="1" thickBot="1" x14ac:dyDescent="0.4">
      <c r="A54" s="593"/>
      <c r="B54" s="286">
        <f t="shared" si="3"/>
        <v>49</v>
      </c>
      <c r="C54" s="587"/>
      <c r="D54" s="55"/>
      <c r="E54" s="55"/>
      <c r="F54" s="55"/>
      <c r="G54" s="55"/>
      <c r="H54" s="56"/>
      <c r="I54" s="56"/>
      <c r="J54" s="374"/>
      <c r="K54" s="57"/>
      <c r="L54" s="57"/>
      <c r="M54" s="57"/>
      <c r="N54" s="57"/>
      <c r="O54" s="58"/>
      <c r="P54" s="58"/>
      <c r="Q54" s="58"/>
      <c r="R54" s="575"/>
      <c r="S54" s="575"/>
      <c r="T54" s="575"/>
      <c r="U54" s="575"/>
      <c r="V54" s="575"/>
      <c r="W54" s="58"/>
      <c r="X54" s="392"/>
      <c r="Y54" s="56"/>
      <c r="Z54" s="369"/>
      <c r="AA54" s="56"/>
      <c r="AB54" s="56"/>
      <c r="AC54" s="56"/>
      <c r="AD54" s="56"/>
      <c r="AE54" s="56"/>
      <c r="AF54" s="59"/>
      <c r="AG54" s="15"/>
    </row>
    <row r="55" spans="1:33" s="3" customFormat="1" ht="15" hidden="1" customHeight="1" thickBot="1" x14ac:dyDescent="0.4">
      <c r="A55" s="87"/>
      <c r="B55" s="232"/>
      <c r="C55" s="382"/>
      <c r="D55" s="383"/>
      <c r="E55" s="383"/>
      <c r="F55" s="383"/>
      <c r="G55" s="383"/>
      <c r="H55" s="383"/>
      <c r="I55" s="383"/>
      <c r="J55" s="384"/>
      <c r="K55" s="383"/>
      <c r="L55" s="383"/>
      <c r="M55" s="383"/>
      <c r="N55" s="383"/>
      <c r="O55" s="383"/>
      <c r="P55" s="383"/>
      <c r="Q55" s="383"/>
      <c r="R55" s="30"/>
      <c r="S55" s="30"/>
      <c r="T55" s="30"/>
      <c r="U55" s="384"/>
      <c r="V55" s="383"/>
      <c r="W55" s="383"/>
      <c r="X55" s="384"/>
      <c r="Y55" s="383"/>
      <c r="Z55" s="385"/>
      <c r="AA55" s="383"/>
      <c r="AB55" s="383"/>
      <c r="AC55" s="383"/>
      <c r="AD55" s="383"/>
      <c r="AE55" s="383"/>
      <c r="AF55" s="386"/>
      <c r="AG55" s="15"/>
    </row>
    <row r="56" spans="1:33" ht="5.15" customHeight="1" thickBot="1" x14ac:dyDescent="0.4">
      <c r="A56" s="87"/>
      <c r="B56" s="232"/>
      <c r="C56" s="381"/>
      <c r="D56" s="229"/>
      <c r="E56" s="229"/>
      <c r="F56" s="229"/>
      <c r="G56" s="229"/>
      <c r="H56" s="229"/>
      <c r="I56" s="229"/>
      <c r="J56" s="379"/>
      <c r="K56" s="229"/>
      <c r="L56" s="229"/>
      <c r="M56" s="229"/>
      <c r="N56" s="229"/>
      <c r="O56" s="229"/>
      <c r="P56" s="229"/>
      <c r="Q56" s="229"/>
      <c r="R56" s="229"/>
      <c r="S56" s="229"/>
      <c r="T56" s="229"/>
      <c r="U56" s="379"/>
      <c r="V56" s="229"/>
      <c r="W56" s="229"/>
      <c r="X56" s="379"/>
      <c r="Y56" s="229"/>
      <c r="Z56" s="380"/>
      <c r="AA56" s="229"/>
      <c r="AB56" s="229"/>
      <c r="AC56" s="229"/>
      <c r="AD56" s="229"/>
      <c r="AE56" s="229"/>
      <c r="AF56" s="302"/>
      <c r="AG56" s="87"/>
    </row>
    <row r="57" spans="1:33" ht="15" hidden="1" customHeight="1" thickBot="1" x14ac:dyDescent="0.4">
      <c r="A57" s="87"/>
      <c r="B57" s="232"/>
      <c r="C57" s="381"/>
      <c r="D57" s="229"/>
      <c r="E57" s="229"/>
      <c r="F57" s="229"/>
      <c r="G57" s="229"/>
      <c r="H57" s="229"/>
      <c r="I57" s="229"/>
      <c r="J57" s="379"/>
      <c r="K57" s="229"/>
      <c r="L57" s="229"/>
      <c r="M57" s="229"/>
      <c r="N57" s="229"/>
      <c r="O57" s="229"/>
      <c r="P57" s="229"/>
      <c r="Q57" s="229"/>
      <c r="R57" s="229"/>
      <c r="S57" s="229"/>
      <c r="T57" s="229"/>
      <c r="U57" s="379"/>
      <c r="V57" s="229"/>
      <c r="W57" s="229"/>
      <c r="X57" s="379"/>
      <c r="Y57" s="229"/>
      <c r="Z57" s="380"/>
      <c r="AA57" s="229"/>
      <c r="AB57" s="229"/>
      <c r="AC57" s="229"/>
      <c r="AD57" s="229"/>
      <c r="AE57" s="229"/>
      <c r="AF57" s="302"/>
      <c r="AG57"/>
    </row>
    <row r="58" spans="1:33" s="13" customFormat="1" ht="29.15" customHeight="1" x14ac:dyDescent="0.35">
      <c r="A58" s="591">
        <f>A46+1</f>
        <v>5</v>
      </c>
      <c r="B58" s="286">
        <f>B46+10</f>
        <v>51</v>
      </c>
      <c r="C58" s="585" t="str">
        <f>VLOOKUP(A58,INputs!$G$3:$O$22,7,FALSE)</f>
        <v>Please fill out Sensitivity Labels Tab</v>
      </c>
      <c r="D58" s="47"/>
      <c r="E58" s="47"/>
      <c r="F58" s="577" t="s">
        <v>136</v>
      </c>
      <c r="G58" s="577"/>
      <c r="H58" s="577" t="s">
        <v>136</v>
      </c>
      <c r="I58" s="577"/>
      <c r="J58" s="578" t="str">
        <f>J$10</f>
        <v>Select a check box</v>
      </c>
      <c r="K58" s="578"/>
      <c r="L58" s="578" t="s">
        <v>136</v>
      </c>
      <c r="M58" s="578"/>
      <c r="N58" s="578"/>
      <c r="O58" s="578" t="s">
        <v>136</v>
      </c>
      <c r="P58" s="578"/>
      <c r="Q58" s="578"/>
      <c r="R58" s="582" t="s">
        <v>179</v>
      </c>
      <c r="S58" s="582"/>
      <c r="T58" s="397" t="s">
        <v>135</v>
      </c>
      <c r="U58" s="583" t="s">
        <v>180</v>
      </c>
      <c r="V58" s="583"/>
      <c r="W58" s="50"/>
      <c r="X58" s="391"/>
      <c r="Y58" s="576" t="s">
        <v>136</v>
      </c>
      <c r="Z58" s="576"/>
      <c r="AA58" s="51"/>
      <c r="AB58" s="577"/>
      <c r="AC58" s="577"/>
      <c r="AD58" s="48"/>
      <c r="AE58" s="49" t="s">
        <v>181</v>
      </c>
      <c r="AF58" s="52"/>
      <c r="AG58" s="20"/>
    </row>
    <row r="59" spans="1:33" s="13" customFormat="1" x14ac:dyDescent="0.35">
      <c r="A59" s="592"/>
      <c r="B59" s="286">
        <f>B58+1</f>
        <v>52</v>
      </c>
      <c r="C59" s="586"/>
      <c r="D59" s="8"/>
      <c r="E59" s="8"/>
      <c r="F59" s="208"/>
      <c r="G59" s="208"/>
      <c r="H59" s="208"/>
      <c r="I59" s="208"/>
      <c r="J59" s="376"/>
      <c r="K59" s="376"/>
      <c r="L59" s="376"/>
      <c r="M59" s="376"/>
      <c r="N59" s="376"/>
      <c r="O59" s="376"/>
      <c r="P59" s="376"/>
      <c r="Q59" s="376"/>
      <c r="R59" s="575"/>
      <c r="S59" s="575"/>
      <c r="T59" s="575"/>
      <c r="U59" s="396"/>
      <c r="V59" s="390" t="s">
        <v>137</v>
      </c>
      <c r="W59" s="216"/>
      <c r="X59" s="393"/>
      <c r="Y59" s="395"/>
      <c r="Z59" s="395"/>
      <c r="AA59" s="20"/>
      <c r="AB59" s="208"/>
      <c r="AC59" s="530" t="s">
        <v>136</v>
      </c>
      <c r="AD59" s="208"/>
      <c r="AE59" s="573"/>
      <c r="AF59" s="54"/>
      <c r="AG59" s="20"/>
    </row>
    <row r="60" spans="1:33" s="3" customFormat="1" ht="30.5" x14ac:dyDescent="0.35">
      <c r="A60" s="592"/>
      <c r="B60" s="286">
        <f t="shared" ref="B60:B66" si="4">B59+1</f>
        <v>53</v>
      </c>
      <c r="C60" s="586"/>
      <c r="E60" s="200" t="b">
        <v>0</v>
      </c>
      <c r="F60" s="3" t="s">
        <v>182</v>
      </c>
      <c r="H60" s="200" t="b">
        <v>0</v>
      </c>
      <c r="I60" s="210" t="s">
        <v>183</v>
      </c>
      <c r="J60" s="201" t="b">
        <v>0</v>
      </c>
      <c r="K60" s="202" t="s">
        <v>184</v>
      </c>
      <c r="L60" s="203" t="b">
        <v>0</v>
      </c>
      <c r="M60" s="9" t="s">
        <v>185</v>
      </c>
      <c r="N60" s="213"/>
      <c r="O60" s="203" t="b">
        <v>0</v>
      </c>
      <c r="P60" s="9" t="s">
        <v>186</v>
      </c>
      <c r="Q60" s="9"/>
      <c r="R60" s="575"/>
      <c r="S60" s="575"/>
      <c r="T60" s="575"/>
      <c r="U60" s="575"/>
      <c r="V60" s="575"/>
      <c r="W60" s="216"/>
      <c r="X60" s="204" t="b">
        <v>0</v>
      </c>
      <c r="Y60" s="205" t="s">
        <v>187</v>
      </c>
      <c r="Z60" s="371"/>
      <c r="AA60" s="15"/>
      <c r="AB60" s="529" t="b">
        <v>0</v>
      </c>
      <c r="AC60" s="389" t="s">
        <v>188</v>
      </c>
      <c r="AD60" s="15"/>
      <c r="AE60" s="573"/>
      <c r="AF60" s="53"/>
      <c r="AG60" s="15"/>
    </row>
    <row r="61" spans="1:33" s="3" customFormat="1" ht="35.15" customHeight="1" x14ac:dyDescent="0.35">
      <c r="A61" s="592"/>
      <c r="B61" s="286">
        <f t="shared" si="4"/>
        <v>54</v>
      </c>
      <c r="C61" s="586"/>
      <c r="E61" s="200" t="b">
        <v>0</v>
      </c>
      <c r="F61" s="196" t="s">
        <v>189</v>
      </c>
      <c r="H61" s="15"/>
      <c r="I61" s="210"/>
      <c r="J61" s="204" t="b">
        <v>0</v>
      </c>
      <c r="K61" s="588" t="s">
        <v>190</v>
      </c>
      <c r="L61" s="204" t="b">
        <v>0</v>
      </c>
      <c r="M61" s="205" t="s">
        <v>191</v>
      </c>
      <c r="N61" s="387">
        <v>44197</v>
      </c>
      <c r="O61" s="204" t="b">
        <v>0</v>
      </c>
      <c r="P61" s="205" t="s">
        <v>185</v>
      </c>
      <c r="Q61" s="205"/>
      <c r="R61" s="203" t="b">
        <v>0</v>
      </c>
      <c r="S61" s="9" t="s">
        <v>192</v>
      </c>
      <c r="T61" s="9" t="s">
        <v>135</v>
      </c>
      <c r="U61" s="204" t="b">
        <v>0</v>
      </c>
      <c r="V61" s="390" t="s">
        <v>193</v>
      </c>
      <c r="W61" s="215"/>
      <c r="X61" s="204" t="b">
        <v>0</v>
      </c>
      <c r="Y61" s="205" t="s">
        <v>194</v>
      </c>
      <c r="Z61" s="371"/>
      <c r="AA61" s="15"/>
      <c r="AB61" s="217"/>
      <c r="AC61" s="208" t="s">
        <v>137</v>
      </c>
      <c r="AD61" s="209"/>
      <c r="AE61" s="376" t="s">
        <v>195</v>
      </c>
      <c r="AF61" s="54"/>
      <c r="AG61" s="15"/>
    </row>
    <row r="62" spans="1:33" s="3" customFormat="1" ht="14.5" customHeight="1" x14ac:dyDescent="0.35">
      <c r="A62" s="592"/>
      <c r="B62" s="286">
        <f t="shared" si="4"/>
        <v>55</v>
      </c>
      <c r="C62" s="586"/>
      <c r="E62" s="200" t="b">
        <v>0</v>
      </c>
      <c r="F62" s="589" t="s">
        <v>196</v>
      </c>
      <c r="H62" s="200" t="b">
        <v>0</v>
      </c>
      <c r="I62" s="210" t="s">
        <v>197</v>
      </c>
      <c r="J62" s="205"/>
      <c r="K62" s="588"/>
      <c r="L62" s="203" t="b">
        <v>0</v>
      </c>
      <c r="M62" s="44" t="s">
        <v>198</v>
      </c>
      <c r="N62" s="211">
        <v>0</v>
      </c>
      <c r="O62" s="203" t="b">
        <v>0</v>
      </c>
      <c r="P62" s="9" t="s">
        <v>198</v>
      </c>
      <c r="Q62" s="211">
        <v>7</v>
      </c>
      <c r="R62" s="575"/>
      <c r="S62" s="575"/>
      <c r="T62" s="575"/>
      <c r="U62" s="584" t="s">
        <v>136</v>
      </c>
      <c r="V62" s="584"/>
      <c r="W62" s="584"/>
      <c r="X62" s="204" t="b">
        <v>0</v>
      </c>
      <c r="Y62" s="9" t="s">
        <v>199</v>
      </c>
      <c r="Z62" s="575"/>
      <c r="AA62" s="15"/>
      <c r="AB62" s="217"/>
      <c r="AC62" s="22"/>
      <c r="AD62" s="15"/>
      <c r="AE62" s="574"/>
      <c r="AF62" s="53"/>
      <c r="AG62" s="15"/>
    </row>
    <row r="63" spans="1:33" s="3" customFormat="1" ht="30" customHeight="1" x14ac:dyDescent="0.35">
      <c r="A63" s="592"/>
      <c r="B63" s="286">
        <f t="shared" si="4"/>
        <v>56</v>
      </c>
      <c r="C63" s="586"/>
      <c r="F63" s="589"/>
      <c r="H63" s="15"/>
      <c r="I63" s="15"/>
      <c r="J63" s="205"/>
      <c r="K63" s="9"/>
      <c r="L63" s="15"/>
      <c r="M63" s="15"/>
      <c r="N63" s="218"/>
      <c r="O63" s="9"/>
      <c r="P63" s="9"/>
      <c r="Q63" s="9"/>
      <c r="R63" s="575"/>
      <c r="S63" s="575"/>
      <c r="T63" s="575"/>
      <c r="U63" s="204" t="b">
        <v>0</v>
      </c>
      <c r="V63" s="205" t="s">
        <v>200</v>
      </c>
      <c r="W63" s="216"/>
      <c r="X63" s="389"/>
      <c r="Y63" s="15"/>
      <c r="Z63" s="575"/>
      <c r="AA63" s="15"/>
      <c r="AB63" s="15"/>
      <c r="AC63" s="15"/>
      <c r="AD63" s="15"/>
      <c r="AE63" s="574"/>
      <c r="AF63" s="53"/>
      <c r="AG63" s="15"/>
    </row>
    <row r="64" spans="1:33" s="3" customFormat="1" ht="30.65" customHeight="1" x14ac:dyDescent="0.35">
      <c r="A64" s="592"/>
      <c r="B64" s="286">
        <f t="shared" si="4"/>
        <v>57</v>
      </c>
      <c r="C64" s="586"/>
      <c r="E64"/>
      <c r="H64" s="15"/>
      <c r="I64" s="15"/>
      <c r="J64" s="373"/>
      <c r="K64" s="213"/>
      <c r="L64" s="213"/>
      <c r="M64" s="213"/>
      <c r="N64" s="213"/>
      <c r="O64" s="9"/>
      <c r="P64" s="9"/>
      <c r="Q64" s="9"/>
      <c r="R64" s="203" t="b">
        <v>0</v>
      </c>
      <c r="S64" s="9" t="s">
        <v>201</v>
      </c>
      <c r="T64" s="9" t="s">
        <v>135</v>
      </c>
      <c r="U64" s="575"/>
      <c r="V64" s="575"/>
      <c r="X64" s="389"/>
      <c r="Y64" s="15"/>
      <c r="Z64" s="368"/>
      <c r="AA64" s="15"/>
      <c r="AB64" s="15"/>
      <c r="AC64" s="15"/>
      <c r="AD64" s="15"/>
      <c r="AE64" s="15"/>
      <c r="AF64" s="53"/>
      <c r="AG64" s="15"/>
    </row>
    <row r="65" spans="1:33" s="3" customFormat="1" x14ac:dyDescent="0.35">
      <c r="A65" s="592"/>
      <c r="B65" s="286">
        <f t="shared" si="4"/>
        <v>58</v>
      </c>
      <c r="C65" s="586"/>
      <c r="E65"/>
      <c r="H65" s="212"/>
      <c r="I65" s="15"/>
      <c r="J65" s="373"/>
      <c r="K65" s="213"/>
      <c r="L65" s="213"/>
      <c r="M65" s="213"/>
      <c r="N65" s="213"/>
      <c r="O65" s="9"/>
      <c r="P65" s="9"/>
      <c r="Q65" s="9"/>
      <c r="R65" s="575"/>
      <c r="S65" s="575"/>
      <c r="T65" s="575"/>
      <c r="U65" s="204" t="b">
        <v>0</v>
      </c>
      <c r="V65" s="9" t="s">
        <v>202</v>
      </c>
      <c r="W65" s="9"/>
      <c r="X65" s="389"/>
      <c r="Y65" s="15"/>
      <c r="Z65" s="368"/>
      <c r="AA65" s="15"/>
      <c r="AB65" s="15"/>
      <c r="AC65" s="15"/>
      <c r="AD65" s="15"/>
      <c r="AE65" s="15"/>
      <c r="AF65" s="53"/>
      <c r="AG65" s="15"/>
    </row>
    <row r="66" spans="1:33" s="3" customFormat="1" ht="30" customHeight="1" thickBot="1" x14ac:dyDescent="0.4">
      <c r="A66" s="593"/>
      <c r="B66" s="286">
        <f t="shared" si="4"/>
        <v>59</v>
      </c>
      <c r="C66" s="587"/>
      <c r="D66" s="55"/>
      <c r="E66" s="55"/>
      <c r="F66" s="55"/>
      <c r="G66" s="55"/>
      <c r="H66" s="56"/>
      <c r="I66" s="56"/>
      <c r="J66" s="374"/>
      <c r="K66" s="57"/>
      <c r="L66" s="57"/>
      <c r="M66" s="57"/>
      <c r="N66" s="57"/>
      <c r="O66" s="58"/>
      <c r="P66" s="58"/>
      <c r="Q66" s="58"/>
      <c r="R66" s="575"/>
      <c r="S66" s="575"/>
      <c r="T66" s="575"/>
      <c r="U66" s="575"/>
      <c r="V66" s="575"/>
      <c r="W66" s="58"/>
      <c r="X66" s="392"/>
      <c r="Y66" s="56"/>
      <c r="Z66" s="369"/>
      <c r="AA66" s="56"/>
      <c r="AB66" s="56"/>
      <c r="AC66" s="56"/>
      <c r="AD66" s="56"/>
      <c r="AE66" s="56"/>
      <c r="AF66" s="59"/>
      <c r="AG66" s="15"/>
    </row>
    <row r="67" spans="1:33" s="3" customFormat="1" ht="15" hidden="1" customHeight="1" thickBot="1" x14ac:dyDescent="0.4">
      <c r="A67" s="87"/>
      <c r="B67" s="232"/>
      <c r="C67" s="382"/>
      <c r="D67" s="383"/>
      <c r="E67" s="383"/>
      <c r="F67" s="383"/>
      <c r="G67" s="383"/>
      <c r="H67" s="383"/>
      <c r="I67" s="383"/>
      <c r="J67" s="384"/>
      <c r="K67" s="383"/>
      <c r="L67" s="383"/>
      <c r="M67" s="383"/>
      <c r="N67" s="383"/>
      <c r="O67" s="383"/>
      <c r="P67" s="383"/>
      <c r="Q67" s="383"/>
      <c r="R67" s="383"/>
      <c r="S67" s="383"/>
      <c r="T67" s="383"/>
      <c r="U67" s="384"/>
      <c r="V67" s="383"/>
      <c r="W67" s="383"/>
      <c r="X67" s="384"/>
      <c r="Y67" s="383"/>
      <c r="Z67" s="385"/>
      <c r="AA67" s="383"/>
      <c r="AB67" s="383"/>
      <c r="AC67" s="383"/>
      <c r="AD67" s="383"/>
      <c r="AE67" s="383"/>
      <c r="AF67" s="386"/>
      <c r="AG67" s="15"/>
    </row>
    <row r="68" spans="1:33" ht="5.15" customHeight="1" thickBot="1" x14ac:dyDescent="0.4">
      <c r="A68" s="87"/>
      <c r="B68" s="232"/>
      <c r="C68" s="381"/>
      <c r="D68" s="229"/>
      <c r="E68" s="229"/>
      <c r="F68" s="229"/>
      <c r="G68" s="229"/>
      <c r="H68" s="229"/>
      <c r="I68" s="229"/>
      <c r="J68" s="379"/>
      <c r="K68" s="229"/>
      <c r="L68" s="229"/>
      <c r="M68" s="229"/>
      <c r="N68" s="229"/>
      <c r="O68" s="229"/>
      <c r="P68" s="229"/>
      <c r="Q68" s="229"/>
      <c r="R68" s="229"/>
      <c r="S68" s="229"/>
      <c r="T68" s="229"/>
      <c r="U68" s="379"/>
      <c r="V68" s="229"/>
      <c r="W68" s="229"/>
      <c r="X68" s="379"/>
      <c r="Y68" s="229"/>
      <c r="Z68" s="380"/>
      <c r="AA68" s="229"/>
      <c r="AB68" s="229"/>
      <c r="AC68" s="229"/>
      <c r="AD68" s="229"/>
      <c r="AE68" s="229"/>
      <c r="AF68" s="302"/>
      <c r="AG68" s="87"/>
    </row>
    <row r="69" spans="1:33" ht="15" hidden="1" customHeight="1" thickBot="1" x14ac:dyDescent="0.4">
      <c r="A69" s="87"/>
      <c r="B69" s="232"/>
      <c r="C69" s="381"/>
      <c r="D69" s="229"/>
      <c r="E69" s="229"/>
      <c r="F69" s="229"/>
      <c r="G69" s="229"/>
      <c r="H69" s="229"/>
      <c r="I69" s="229"/>
      <c r="J69" s="379"/>
      <c r="K69" s="229"/>
      <c r="L69" s="229"/>
      <c r="M69" s="229"/>
      <c r="N69" s="229"/>
      <c r="O69" s="229"/>
      <c r="P69" s="229"/>
      <c r="Q69" s="229"/>
      <c r="R69" s="229"/>
      <c r="S69" s="229"/>
      <c r="T69" s="229"/>
      <c r="U69" s="379"/>
      <c r="V69" s="229"/>
      <c r="W69" s="229"/>
      <c r="X69" s="379"/>
      <c r="Y69" s="229"/>
      <c r="Z69" s="380"/>
      <c r="AA69" s="229"/>
      <c r="AB69" s="229"/>
      <c r="AC69" s="229"/>
      <c r="AD69" s="229"/>
      <c r="AE69" s="229"/>
      <c r="AF69" s="302"/>
      <c r="AG69"/>
    </row>
    <row r="70" spans="1:33" s="13" customFormat="1" ht="29.15" customHeight="1" x14ac:dyDescent="0.35">
      <c r="A70" s="591">
        <f>A58+1</f>
        <v>6</v>
      </c>
      <c r="B70" s="286">
        <f>B58+10</f>
        <v>61</v>
      </c>
      <c r="C70" s="585" t="str">
        <f>VLOOKUP(A70,INputs!$G$3:$O$22,7,FALSE)</f>
        <v>Please fill out Sensitivity Labels Tab</v>
      </c>
      <c r="D70" s="47"/>
      <c r="E70" s="47"/>
      <c r="F70" s="577" t="s">
        <v>136</v>
      </c>
      <c r="G70" s="577"/>
      <c r="H70" s="577" t="s">
        <v>136</v>
      </c>
      <c r="I70" s="577"/>
      <c r="J70" s="578" t="str">
        <f>J$10</f>
        <v>Select a check box</v>
      </c>
      <c r="K70" s="578"/>
      <c r="L70" s="578" t="s">
        <v>136</v>
      </c>
      <c r="M70" s="578"/>
      <c r="N70" s="578"/>
      <c r="O70" s="578" t="s">
        <v>136</v>
      </c>
      <c r="P70" s="578"/>
      <c r="Q70" s="578"/>
      <c r="R70" s="582" t="s">
        <v>179</v>
      </c>
      <c r="S70" s="582"/>
      <c r="T70" s="397" t="s">
        <v>135</v>
      </c>
      <c r="U70" s="583" t="s">
        <v>180</v>
      </c>
      <c r="V70" s="583"/>
      <c r="W70" s="50"/>
      <c r="X70" s="391"/>
      <c r="Y70" s="576" t="s">
        <v>136</v>
      </c>
      <c r="Z70" s="576"/>
      <c r="AA70" s="51"/>
      <c r="AB70" s="577"/>
      <c r="AC70" s="577"/>
      <c r="AD70" s="48"/>
      <c r="AE70" s="49" t="s">
        <v>181</v>
      </c>
      <c r="AF70" s="52"/>
      <c r="AG70" s="20"/>
    </row>
    <row r="71" spans="1:33" s="13" customFormat="1" x14ac:dyDescent="0.35">
      <c r="A71" s="592"/>
      <c r="B71" s="286">
        <f>B70+1</f>
        <v>62</v>
      </c>
      <c r="C71" s="586"/>
      <c r="D71" s="8"/>
      <c r="E71" s="8"/>
      <c r="F71" s="208"/>
      <c r="G71" s="208"/>
      <c r="H71" s="208"/>
      <c r="I71" s="208"/>
      <c r="J71" s="376"/>
      <c r="K71" s="376"/>
      <c r="L71" s="376"/>
      <c r="M71" s="376"/>
      <c r="N71" s="376"/>
      <c r="O71" s="376"/>
      <c r="P71" s="376"/>
      <c r="Q71" s="376"/>
      <c r="R71" s="575"/>
      <c r="S71" s="575"/>
      <c r="T71" s="575"/>
      <c r="U71" s="396"/>
      <c r="V71" s="390" t="s">
        <v>137</v>
      </c>
      <c r="W71" s="216"/>
      <c r="X71" s="393"/>
      <c r="Y71" s="395"/>
      <c r="Z71" s="395"/>
      <c r="AA71" s="20"/>
      <c r="AB71" s="208"/>
      <c r="AC71" s="530" t="s">
        <v>136</v>
      </c>
      <c r="AD71" s="208"/>
      <c r="AE71" s="573"/>
      <c r="AF71" s="54"/>
      <c r="AG71" s="20"/>
    </row>
    <row r="72" spans="1:33" s="3" customFormat="1" ht="30.5" x14ac:dyDescent="0.35">
      <c r="A72" s="592"/>
      <c r="B72" s="286">
        <f t="shared" ref="B72:B78" si="5">B71+1</f>
        <v>63</v>
      </c>
      <c r="C72" s="586"/>
      <c r="E72" s="200" t="b">
        <v>0</v>
      </c>
      <c r="F72" s="3" t="s">
        <v>182</v>
      </c>
      <c r="H72" s="200" t="b">
        <v>0</v>
      </c>
      <c r="I72" s="210" t="s">
        <v>183</v>
      </c>
      <c r="J72" s="201" t="b">
        <v>0</v>
      </c>
      <c r="K72" s="202" t="s">
        <v>184</v>
      </c>
      <c r="L72" s="203" t="b">
        <v>0</v>
      </c>
      <c r="M72" s="9" t="s">
        <v>185</v>
      </c>
      <c r="N72" s="213"/>
      <c r="O72" s="203" t="b">
        <v>0</v>
      </c>
      <c r="P72" s="9" t="s">
        <v>186</v>
      </c>
      <c r="Q72" s="9"/>
      <c r="R72" s="575"/>
      <c r="S72" s="575"/>
      <c r="T72" s="575"/>
      <c r="U72" s="575"/>
      <c r="V72" s="575"/>
      <c r="W72" s="216"/>
      <c r="X72" s="204" t="b">
        <v>0</v>
      </c>
      <c r="Y72" s="205" t="s">
        <v>187</v>
      </c>
      <c r="Z72" s="371"/>
      <c r="AA72" s="389"/>
      <c r="AB72" s="529" t="b">
        <v>0</v>
      </c>
      <c r="AC72" s="389" t="s">
        <v>188</v>
      </c>
      <c r="AD72" s="15"/>
      <c r="AE72" s="573"/>
      <c r="AF72" s="53"/>
      <c r="AG72" s="15"/>
    </row>
    <row r="73" spans="1:33" s="3" customFormat="1" ht="35.15" customHeight="1" x14ac:dyDescent="0.35">
      <c r="A73" s="592"/>
      <c r="B73" s="286">
        <f t="shared" si="5"/>
        <v>64</v>
      </c>
      <c r="C73" s="586"/>
      <c r="E73" s="200" t="b">
        <v>0</v>
      </c>
      <c r="F73" s="196" t="s">
        <v>189</v>
      </c>
      <c r="H73" s="15"/>
      <c r="I73" s="210"/>
      <c r="J73" s="204" t="b">
        <v>0</v>
      </c>
      <c r="K73" s="588" t="s">
        <v>190</v>
      </c>
      <c r="L73" s="204" t="b">
        <v>0</v>
      </c>
      <c r="M73" s="205" t="s">
        <v>191</v>
      </c>
      <c r="N73" s="387">
        <v>44197</v>
      </c>
      <c r="O73" s="204" t="b">
        <v>0</v>
      </c>
      <c r="P73" s="205" t="s">
        <v>185</v>
      </c>
      <c r="Q73" s="205"/>
      <c r="R73" s="203" t="b">
        <v>0</v>
      </c>
      <c r="S73" s="9" t="s">
        <v>192</v>
      </c>
      <c r="T73" s="9" t="s">
        <v>135</v>
      </c>
      <c r="U73" s="204" t="b">
        <v>0</v>
      </c>
      <c r="V73" s="390" t="s">
        <v>193</v>
      </c>
      <c r="W73" s="215"/>
      <c r="X73" s="204" t="b">
        <v>0</v>
      </c>
      <c r="Y73" s="205" t="s">
        <v>194</v>
      </c>
      <c r="Z73" s="371"/>
      <c r="AA73" s="389"/>
      <c r="AB73" s="217"/>
      <c r="AC73" s="208" t="s">
        <v>137</v>
      </c>
      <c r="AD73" s="209"/>
      <c r="AE73" s="376" t="s">
        <v>195</v>
      </c>
      <c r="AF73" s="54"/>
      <c r="AG73" s="15"/>
    </row>
    <row r="74" spans="1:33" s="3" customFormat="1" ht="14.5" customHeight="1" x14ac:dyDescent="0.35">
      <c r="A74" s="592"/>
      <c r="B74" s="286">
        <f t="shared" si="5"/>
        <v>65</v>
      </c>
      <c r="C74" s="586"/>
      <c r="E74" s="200" t="b">
        <v>0</v>
      </c>
      <c r="F74" s="589" t="s">
        <v>196</v>
      </c>
      <c r="H74" s="200" t="b">
        <v>0</v>
      </c>
      <c r="I74" s="210" t="s">
        <v>197</v>
      </c>
      <c r="J74" s="205"/>
      <c r="K74" s="588"/>
      <c r="L74" s="203" t="b">
        <v>0</v>
      </c>
      <c r="M74" s="44" t="s">
        <v>198</v>
      </c>
      <c r="N74" s="211">
        <v>6</v>
      </c>
      <c r="O74" s="203" t="b">
        <v>0</v>
      </c>
      <c r="P74" s="9" t="s">
        <v>198</v>
      </c>
      <c r="Q74" s="211">
        <v>7</v>
      </c>
      <c r="R74" s="575"/>
      <c r="S74" s="575"/>
      <c r="T74" s="575"/>
      <c r="U74" s="584" t="s">
        <v>136</v>
      </c>
      <c r="V74" s="584"/>
      <c r="W74" s="584"/>
      <c r="X74" s="204" t="b">
        <v>0</v>
      </c>
      <c r="Y74" s="9" t="s">
        <v>199</v>
      </c>
      <c r="Z74" s="575"/>
      <c r="AA74" s="15"/>
      <c r="AB74" s="217"/>
      <c r="AC74" s="22"/>
      <c r="AD74" s="15"/>
      <c r="AE74" s="574"/>
      <c r="AF74" s="53"/>
      <c r="AG74" s="15"/>
    </row>
    <row r="75" spans="1:33" s="3" customFormat="1" x14ac:dyDescent="0.35">
      <c r="A75" s="592"/>
      <c r="B75" s="286">
        <f t="shared" si="5"/>
        <v>66</v>
      </c>
      <c r="C75" s="586"/>
      <c r="F75" s="589"/>
      <c r="H75" s="15"/>
      <c r="I75" s="15"/>
      <c r="J75" s="205"/>
      <c r="K75" s="9"/>
      <c r="L75" s="15"/>
      <c r="M75" s="15"/>
      <c r="N75" s="218"/>
      <c r="O75" s="9"/>
      <c r="P75" s="9"/>
      <c r="Q75" s="9"/>
      <c r="R75" s="575"/>
      <c r="S75" s="575"/>
      <c r="T75" s="575"/>
      <c r="U75" s="204" t="b">
        <v>0</v>
      </c>
      <c r="V75" s="205" t="s">
        <v>200</v>
      </c>
      <c r="W75" s="216"/>
      <c r="X75" s="389"/>
      <c r="Y75" s="15"/>
      <c r="Z75" s="575"/>
      <c r="AA75" s="15"/>
      <c r="AB75" s="15"/>
      <c r="AC75" s="15"/>
      <c r="AD75" s="15"/>
      <c r="AE75" s="574"/>
      <c r="AF75" s="53"/>
      <c r="AG75" s="15"/>
    </row>
    <row r="76" spans="1:33" s="3" customFormat="1" ht="30" customHeight="1" x14ac:dyDescent="0.35">
      <c r="A76" s="592"/>
      <c r="B76" s="286">
        <f t="shared" si="5"/>
        <v>67</v>
      </c>
      <c r="C76" s="586"/>
      <c r="E76"/>
      <c r="H76" s="15"/>
      <c r="I76" s="15"/>
      <c r="J76" s="373"/>
      <c r="K76" s="213"/>
      <c r="L76" s="213"/>
      <c r="M76" s="213"/>
      <c r="N76" s="213"/>
      <c r="O76" s="9"/>
      <c r="P76" s="9"/>
      <c r="Q76" s="9"/>
      <c r="R76" s="203" t="b">
        <v>0</v>
      </c>
      <c r="S76" s="9" t="s">
        <v>201</v>
      </c>
      <c r="T76" s="9" t="s">
        <v>135</v>
      </c>
      <c r="U76" s="575"/>
      <c r="V76" s="575"/>
      <c r="X76" s="389"/>
      <c r="Y76" s="15"/>
      <c r="Z76" s="368"/>
      <c r="AA76" s="15"/>
      <c r="AB76" s="15"/>
      <c r="AC76" s="15"/>
      <c r="AD76" s="15"/>
      <c r="AE76" s="15"/>
      <c r="AF76" s="53"/>
      <c r="AG76" s="15"/>
    </row>
    <row r="77" spans="1:33" s="3" customFormat="1" x14ac:dyDescent="0.35">
      <c r="A77" s="592"/>
      <c r="B77" s="286">
        <f t="shared" si="5"/>
        <v>68</v>
      </c>
      <c r="C77" s="586"/>
      <c r="E77"/>
      <c r="H77" s="212"/>
      <c r="I77" s="15"/>
      <c r="J77" s="373"/>
      <c r="K77" s="213"/>
      <c r="L77" s="213"/>
      <c r="M77" s="213"/>
      <c r="N77" s="213"/>
      <c r="O77" s="9"/>
      <c r="P77" s="9"/>
      <c r="Q77" s="9"/>
      <c r="R77" s="575"/>
      <c r="S77" s="575"/>
      <c r="T77" s="575"/>
      <c r="U77" s="204" t="b">
        <v>0</v>
      </c>
      <c r="V77" s="9" t="s">
        <v>202</v>
      </c>
      <c r="W77" s="9"/>
      <c r="X77" s="389"/>
      <c r="Y77" s="15"/>
      <c r="Z77" s="368"/>
      <c r="AA77" s="15"/>
      <c r="AB77" s="15"/>
      <c r="AC77" s="15"/>
      <c r="AD77" s="15"/>
      <c r="AE77" s="15"/>
      <c r="AF77" s="53"/>
      <c r="AG77" s="15"/>
    </row>
    <row r="78" spans="1:33" s="3" customFormat="1" ht="30" customHeight="1" thickBot="1" x14ac:dyDescent="0.4">
      <c r="A78" s="593"/>
      <c r="B78" s="286">
        <f t="shared" si="5"/>
        <v>69</v>
      </c>
      <c r="C78" s="587"/>
      <c r="D78" s="55"/>
      <c r="E78" s="55"/>
      <c r="F78" s="55"/>
      <c r="G78" s="55"/>
      <c r="H78" s="56"/>
      <c r="I78" s="56"/>
      <c r="J78" s="374"/>
      <c r="K78" s="57"/>
      <c r="L78" s="57"/>
      <c r="M78" s="57"/>
      <c r="N78" s="57"/>
      <c r="O78" s="58"/>
      <c r="P78" s="58"/>
      <c r="Q78" s="58"/>
      <c r="R78" s="575"/>
      <c r="S78" s="575"/>
      <c r="T78" s="575"/>
      <c r="U78" s="575"/>
      <c r="V78" s="575"/>
      <c r="W78" s="58"/>
      <c r="X78" s="392"/>
      <c r="Y78" s="56"/>
      <c r="Z78" s="369"/>
      <c r="AA78" s="56"/>
      <c r="AB78" s="56"/>
      <c r="AC78" s="56"/>
      <c r="AD78" s="56"/>
      <c r="AE78" s="56"/>
      <c r="AF78" s="59"/>
      <c r="AG78" s="15"/>
    </row>
    <row r="79" spans="1:33" s="3" customFormat="1" ht="15" hidden="1" customHeight="1" thickBot="1" x14ac:dyDescent="0.4">
      <c r="A79" s="87"/>
      <c r="B79" s="232"/>
      <c r="C79" s="382"/>
      <c r="D79" s="383"/>
      <c r="E79" s="383"/>
      <c r="F79" s="383"/>
      <c r="G79" s="383"/>
      <c r="H79" s="383"/>
      <c r="I79" s="383"/>
      <c r="J79" s="384"/>
      <c r="K79" s="383"/>
      <c r="L79" s="383"/>
      <c r="M79" s="383"/>
      <c r="N79" s="383"/>
      <c r="O79" s="383"/>
      <c r="P79" s="383"/>
      <c r="Q79" s="383"/>
      <c r="R79" s="383"/>
      <c r="S79" s="383"/>
      <c r="T79" s="383"/>
      <c r="U79" s="384"/>
      <c r="V79" s="383"/>
      <c r="W79" s="383"/>
      <c r="X79" s="384"/>
      <c r="Y79" s="383"/>
      <c r="Z79" s="385"/>
      <c r="AA79" s="383"/>
      <c r="AB79" s="383"/>
      <c r="AC79" s="383"/>
      <c r="AD79" s="383"/>
      <c r="AE79" s="383"/>
      <c r="AF79" s="386"/>
      <c r="AG79" s="15"/>
    </row>
    <row r="80" spans="1:33" ht="5.15" customHeight="1" thickBot="1" x14ac:dyDescent="0.4">
      <c r="A80" s="87"/>
      <c r="B80" s="232"/>
      <c r="C80" s="381"/>
      <c r="D80" s="229"/>
      <c r="E80" s="229"/>
      <c r="F80" s="229"/>
      <c r="G80" s="229"/>
      <c r="H80" s="229"/>
      <c r="I80" s="229"/>
      <c r="J80" s="379"/>
      <c r="K80" s="229"/>
      <c r="L80" s="229"/>
      <c r="M80" s="229"/>
      <c r="N80" s="229"/>
      <c r="O80" s="229"/>
      <c r="P80" s="229"/>
      <c r="Q80" s="229"/>
      <c r="R80" s="229"/>
      <c r="S80" s="229"/>
      <c r="T80" s="229"/>
      <c r="U80" s="379"/>
      <c r="V80" s="229"/>
      <c r="W80" s="229"/>
      <c r="X80" s="379"/>
      <c r="Y80" s="229"/>
      <c r="Z80" s="380"/>
      <c r="AA80" s="229"/>
      <c r="AB80" s="229"/>
      <c r="AC80" s="229"/>
      <c r="AD80" s="229"/>
      <c r="AE80" s="229"/>
      <c r="AF80" s="302"/>
      <c r="AG80" s="87"/>
    </row>
    <row r="81" spans="1:33" ht="15" hidden="1" customHeight="1" thickBot="1" x14ac:dyDescent="0.4">
      <c r="A81" s="87"/>
      <c r="B81" s="232"/>
      <c r="C81" s="381"/>
      <c r="D81" s="229"/>
      <c r="E81" s="229"/>
      <c r="F81" s="229"/>
      <c r="G81" s="229"/>
      <c r="H81" s="229"/>
      <c r="I81" s="229"/>
      <c r="J81" s="379"/>
      <c r="K81" s="229"/>
      <c r="L81" s="229"/>
      <c r="M81" s="229"/>
      <c r="N81" s="229"/>
      <c r="O81" s="229"/>
      <c r="P81" s="229"/>
      <c r="Q81" s="229"/>
      <c r="R81" s="229"/>
      <c r="S81" s="229"/>
      <c r="T81" s="229"/>
      <c r="U81" s="379"/>
      <c r="V81" s="229"/>
      <c r="W81" s="229"/>
      <c r="X81" s="379"/>
      <c r="Y81" s="229"/>
      <c r="Z81" s="380"/>
      <c r="AA81" s="229"/>
      <c r="AB81" s="229"/>
      <c r="AC81" s="229"/>
      <c r="AD81" s="229"/>
      <c r="AE81" s="229"/>
      <c r="AF81" s="302"/>
      <c r="AG81"/>
    </row>
    <row r="82" spans="1:33" s="13" customFormat="1" ht="29.15" customHeight="1" x14ac:dyDescent="0.35">
      <c r="A82" s="591">
        <f>A70+1</f>
        <v>7</v>
      </c>
      <c r="B82" s="286">
        <f>B70+10</f>
        <v>71</v>
      </c>
      <c r="C82" s="585" t="str">
        <f>VLOOKUP(A82,INputs!$G$3:$O$22,7,FALSE)</f>
        <v>Please fill out Sensitivity Labels Tab</v>
      </c>
      <c r="D82" s="47"/>
      <c r="E82" s="47"/>
      <c r="F82" s="590" t="s">
        <v>203</v>
      </c>
      <c r="G82" s="590"/>
      <c r="H82" s="590" t="s">
        <v>136</v>
      </c>
      <c r="I82" s="590"/>
      <c r="J82" s="578" t="str">
        <f>J$10</f>
        <v>Select a check box</v>
      </c>
      <c r="K82" s="578"/>
      <c r="L82" s="578" t="s">
        <v>136</v>
      </c>
      <c r="M82" s="578"/>
      <c r="N82" s="578"/>
      <c r="O82" s="578" t="s">
        <v>203</v>
      </c>
      <c r="P82" s="578"/>
      <c r="Q82" s="578"/>
      <c r="R82" s="582" t="s">
        <v>179</v>
      </c>
      <c r="S82" s="582"/>
      <c r="T82" s="397" t="s">
        <v>135</v>
      </c>
      <c r="U82" s="583" t="s">
        <v>180</v>
      </c>
      <c r="V82" s="583"/>
      <c r="W82" s="50"/>
      <c r="X82" s="391"/>
      <c r="Y82" s="576" t="s">
        <v>136</v>
      </c>
      <c r="Z82" s="576"/>
      <c r="AA82" s="51"/>
      <c r="AB82" s="577"/>
      <c r="AC82" s="577"/>
      <c r="AD82" s="48"/>
      <c r="AE82" s="49" t="s">
        <v>181</v>
      </c>
      <c r="AF82" s="52"/>
      <c r="AG82" s="20"/>
    </row>
    <row r="83" spans="1:33" s="13" customFormat="1" x14ac:dyDescent="0.35">
      <c r="A83" s="592"/>
      <c r="B83" s="286">
        <f>B82+1</f>
        <v>72</v>
      </c>
      <c r="C83" s="586"/>
      <c r="D83" s="8"/>
      <c r="E83" s="8"/>
      <c r="F83" s="8"/>
      <c r="G83" s="8"/>
      <c r="H83" s="8"/>
      <c r="I83" s="8"/>
      <c r="J83" s="376"/>
      <c r="K83" s="376"/>
      <c r="L83" s="376"/>
      <c r="M83" s="376"/>
      <c r="N83" s="376"/>
      <c r="O83" s="376"/>
      <c r="P83" s="376"/>
      <c r="Q83" s="376"/>
      <c r="R83" s="575"/>
      <c r="S83" s="575"/>
      <c r="T83" s="575"/>
      <c r="U83" s="396"/>
      <c r="V83" s="390" t="s">
        <v>137</v>
      </c>
      <c r="W83" s="216"/>
      <c r="X83" s="393"/>
      <c r="Y83" s="395"/>
      <c r="Z83" s="395"/>
      <c r="AA83" s="20"/>
      <c r="AB83" s="208"/>
      <c r="AC83" s="530" t="s">
        <v>136</v>
      </c>
      <c r="AD83" s="208"/>
      <c r="AE83" s="573"/>
      <c r="AF83" s="54"/>
      <c r="AG83" s="20"/>
    </row>
    <row r="84" spans="1:33" s="3" customFormat="1" ht="30.5" x14ac:dyDescent="0.35">
      <c r="A84" s="592"/>
      <c r="B84" s="286">
        <f t="shared" ref="B84:B90" si="6">B83+1</f>
        <v>73</v>
      </c>
      <c r="C84" s="586"/>
      <c r="E84" s="200" t="b">
        <v>0</v>
      </c>
      <c r="F84" s="3" t="s">
        <v>182</v>
      </c>
      <c r="H84" s="200" t="b">
        <v>0</v>
      </c>
      <c r="I84" s="210" t="s">
        <v>183</v>
      </c>
      <c r="J84" s="201" t="b">
        <v>0</v>
      </c>
      <c r="K84" s="202" t="s">
        <v>184</v>
      </c>
      <c r="L84" s="203" t="b">
        <v>0</v>
      </c>
      <c r="M84" s="9" t="s">
        <v>185</v>
      </c>
      <c r="N84" s="213"/>
      <c r="O84" s="203" t="b">
        <v>0</v>
      </c>
      <c r="P84" s="9" t="s">
        <v>186</v>
      </c>
      <c r="Q84" s="9"/>
      <c r="R84" s="575"/>
      <c r="S84" s="575"/>
      <c r="T84" s="575"/>
      <c r="U84" s="575"/>
      <c r="V84" s="575"/>
      <c r="W84" s="216"/>
      <c r="X84" s="204" t="b">
        <v>0</v>
      </c>
      <c r="Y84" s="205" t="s">
        <v>187</v>
      </c>
      <c r="Z84" s="371"/>
      <c r="AA84" s="15"/>
      <c r="AB84" s="529" t="b">
        <v>0</v>
      </c>
      <c r="AC84" s="389" t="s">
        <v>188</v>
      </c>
      <c r="AD84" s="15"/>
      <c r="AE84" s="573"/>
      <c r="AF84" s="53"/>
      <c r="AG84" s="15"/>
    </row>
    <row r="85" spans="1:33" s="3" customFormat="1" ht="35.15" customHeight="1" x14ac:dyDescent="0.35">
      <c r="A85" s="592"/>
      <c r="B85" s="286">
        <f t="shared" si="6"/>
        <v>74</v>
      </c>
      <c r="C85" s="586"/>
      <c r="E85" s="200" t="b">
        <v>0</v>
      </c>
      <c r="F85" s="196" t="s">
        <v>189</v>
      </c>
      <c r="H85" s="15"/>
      <c r="I85" s="210"/>
      <c r="J85" s="204" t="b">
        <v>0</v>
      </c>
      <c r="K85" s="588" t="s">
        <v>190</v>
      </c>
      <c r="L85" s="204" t="b">
        <v>0</v>
      </c>
      <c r="M85" s="205" t="s">
        <v>191</v>
      </c>
      <c r="N85" s="387">
        <v>44197</v>
      </c>
      <c r="O85" s="204" t="b">
        <v>0</v>
      </c>
      <c r="P85" s="205" t="s">
        <v>185</v>
      </c>
      <c r="Q85" s="205"/>
      <c r="R85" s="203" t="b">
        <v>0</v>
      </c>
      <c r="S85" s="9" t="s">
        <v>192</v>
      </c>
      <c r="T85" s="9" t="s">
        <v>135</v>
      </c>
      <c r="U85" s="204" t="b">
        <v>0</v>
      </c>
      <c r="V85" s="390" t="s">
        <v>193</v>
      </c>
      <c r="W85" s="215"/>
      <c r="X85" s="204" t="b">
        <v>0</v>
      </c>
      <c r="Y85" s="205" t="s">
        <v>194</v>
      </c>
      <c r="Z85" s="371"/>
      <c r="AA85" s="15"/>
      <c r="AB85" s="217"/>
      <c r="AC85" s="208" t="s">
        <v>137</v>
      </c>
      <c r="AD85" s="209"/>
      <c r="AE85" s="376" t="s">
        <v>195</v>
      </c>
      <c r="AF85" s="54"/>
      <c r="AG85" s="15"/>
    </row>
    <row r="86" spans="1:33" s="3" customFormat="1" ht="14.5" customHeight="1" x14ac:dyDescent="0.35">
      <c r="A86" s="592"/>
      <c r="B86" s="286">
        <f t="shared" si="6"/>
        <v>75</v>
      </c>
      <c r="C86" s="586"/>
      <c r="E86" s="200" t="b">
        <v>0</v>
      </c>
      <c r="F86" s="589" t="s">
        <v>196</v>
      </c>
      <c r="H86" s="200" t="b">
        <v>0</v>
      </c>
      <c r="I86" s="210" t="s">
        <v>197</v>
      </c>
      <c r="J86" s="205"/>
      <c r="K86" s="588"/>
      <c r="L86" s="203" t="b">
        <v>0</v>
      </c>
      <c r="M86" s="44" t="s">
        <v>198</v>
      </c>
      <c r="N86" s="211">
        <v>6</v>
      </c>
      <c r="O86" s="203" t="b">
        <v>0</v>
      </c>
      <c r="P86" s="9" t="s">
        <v>198</v>
      </c>
      <c r="Q86" s="211">
        <v>7</v>
      </c>
      <c r="R86" s="575"/>
      <c r="S86" s="575"/>
      <c r="T86" s="575"/>
      <c r="U86" s="584" t="s">
        <v>136</v>
      </c>
      <c r="V86" s="584"/>
      <c r="W86" s="584"/>
      <c r="X86" s="204" t="b">
        <v>0</v>
      </c>
      <c r="Y86" s="9" t="s">
        <v>199</v>
      </c>
      <c r="Z86" s="575"/>
      <c r="AA86" s="15"/>
      <c r="AB86" s="217"/>
      <c r="AC86" s="22"/>
      <c r="AD86" s="15"/>
      <c r="AE86" s="574"/>
      <c r="AF86" s="53"/>
      <c r="AG86" s="15"/>
    </row>
    <row r="87" spans="1:33" s="3" customFormat="1" x14ac:dyDescent="0.35">
      <c r="A87" s="592"/>
      <c r="B87" s="286">
        <f t="shared" si="6"/>
        <v>76</v>
      </c>
      <c r="C87" s="586"/>
      <c r="F87" s="589"/>
      <c r="H87" s="15"/>
      <c r="I87" s="15"/>
      <c r="J87" s="205"/>
      <c r="K87" s="9"/>
      <c r="L87" s="15"/>
      <c r="M87" s="15"/>
      <c r="N87" s="218"/>
      <c r="O87" s="9"/>
      <c r="P87" s="9"/>
      <c r="Q87" s="9"/>
      <c r="R87" s="575"/>
      <c r="S87" s="575"/>
      <c r="T87" s="575"/>
      <c r="U87" s="204" t="b">
        <v>0</v>
      </c>
      <c r="V87" s="205" t="s">
        <v>200</v>
      </c>
      <c r="W87" s="216"/>
      <c r="X87" s="389"/>
      <c r="Y87" s="15"/>
      <c r="Z87" s="575"/>
      <c r="AA87" s="15"/>
      <c r="AB87" s="15"/>
      <c r="AC87" s="15"/>
      <c r="AD87" s="15"/>
      <c r="AE87" s="574"/>
      <c r="AF87" s="53"/>
      <c r="AG87" s="15"/>
    </row>
    <row r="88" spans="1:33" s="3" customFormat="1" ht="30" customHeight="1" x14ac:dyDescent="0.35">
      <c r="A88" s="592"/>
      <c r="B88" s="286">
        <f t="shared" si="6"/>
        <v>77</v>
      </c>
      <c r="C88" s="586"/>
      <c r="E88"/>
      <c r="H88" s="15"/>
      <c r="I88" s="15"/>
      <c r="J88" s="373"/>
      <c r="K88" s="213"/>
      <c r="L88" s="213"/>
      <c r="M88" s="213"/>
      <c r="N88" s="213"/>
      <c r="O88" s="9"/>
      <c r="P88" s="9"/>
      <c r="Q88" s="9"/>
      <c r="R88" s="203" t="b">
        <v>0</v>
      </c>
      <c r="S88" s="9" t="s">
        <v>201</v>
      </c>
      <c r="T88" s="9" t="s">
        <v>135</v>
      </c>
      <c r="U88" s="575"/>
      <c r="V88" s="575"/>
      <c r="X88" s="389"/>
      <c r="Y88" s="15"/>
      <c r="Z88" s="368"/>
      <c r="AA88" s="15"/>
      <c r="AB88" s="15"/>
      <c r="AC88" s="15"/>
      <c r="AD88" s="15"/>
      <c r="AE88" s="15"/>
      <c r="AF88" s="53"/>
      <c r="AG88" s="15"/>
    </row>
    <row r="89" spans="1:33" s="3" customFormat="1" x14ac:dyDescent="0.35">
      <c r="A89" s="592"/>
      <c r="B89" s="286">
        <f t="shared" si="6"/>
        <v>78</v>
      </c>
      <c r="C89" s="586"/>
      <c r="E89"/>
      <c r="H89" s="212"/>
      <c r="I89" s="15"/>
      <c r="J89" s="373"/>
      <c r="K89" s="213"/>
      <c r="L89" s="213"/>
      <c r="M89" s="213"/>
      <c r="N89" s="213"/>
      <c r="O89" s="9"/>
      <c r="P89" s="9"/>
      <c r="Q89" s="9"/>
      <c r="R89" s="575"/>
      <c r="S89" s="575"/>
      <c r="T89" s="575"/>
      <c r="U89" s="204" t="b">
        <v>0</v>
      </c>
      <c r="V89" s="9" t="s">
        <v>202</v>
      </c>
      <c r="W89" s="9"/>
      <c r="X89" s="389"/>
      <c r="Y89" s="15"/>
      <c r="Z89" s="368"/>
      <c r="AA89" s="15"/>
      <c r="AB89" s="15"/>
      <c r="AC89" s="15"/>
      <c r="AD89" s="15"/>
      <c r="AE89" s="15"/>
      <c r="AF89" s="53"/>
      <c r="AG89" s="15"/>
    </row>
    <row r="90" spans="1:33" s="3" customFormat="1" ht="30" customHeight="1" thickBot="1" x14ac:dyDescent="0.4">
      <c r="A90" s="593"/>
      <c r="B90" s="286">
        <f t="shared" si="6"/>
        <v>79</v>
      </c>
      <c r="C90" s="587"/>
      <c r="D90" s="55"/>
      <c r="E90" s="55"/>
      <c r="F90" s="55"/>
      <c r="G90" s="55"/>
      <c r="H90" s="56"/>
      <c r="I90" s="56"/>
      <c r="J90" s="374"/>
      <c r="K90" s="57"/>
      <c r="L90" s="57"/>
      <c r="M90" s="57"/>
      <c r="N90" s="57"/>
      <c r="O90" s="58"/>
      <c r="P90" s="58"/>
      <c r="Q90" s="58"/>
      <c r="R90" s="575"/>
      <c r="S90" s="575"/>
      <c r="T90" s="575"/>
      <c r="U90" s="575"/>
      <c r="V90" s="575"/>
      <c r="W90" s="58"/>
      <c r="X90" s="392"/>
      <c r="Y90" s="56"/>
      <c r="Z90" s="369"/>
      <c r="AA90" s="56"/>
      <c r="AB90" s="56"/>
      <c r="AC90" s="56"/>
      <c r="AD90" s="56"/>
      <c r="AE90" s="56"/>
      <c r="AF90" s="59"/>
      <c r="AG90" s="15"/>
    </row>
    <row r="91" spans="1:33" s="3" customFormat="1" ht="15" hidden="1" customHeight="1" thickBot="1" x14ac:dyDescent="0.4">
      <c r="A91" s="87"/>
      <c r="B91" s="232"/>
      <c r="C91" s="382"/>
      <c r="D91" s="383"/>
      <c r="E91" s="383"/>
      <c r="F91" s="383"/>
      <c r="G91" s="383"/>
      <c r="H91" s="383"/>
      <c r="I91" s="383"/>
      <c r="J91" s="384"/>
      <c r="K91" s="383"/>
      <c r="L91" s="383"/>
      <c r="M91" s="383"/>
      <c r="N91" s="383"/>
      <c r="O91" s="383"/>
      <c r="P91" s="383"/>
      <c r="Q91" s="383"/>
      <c r="R91" s="383"/>
      <c r="S91" s="383"/>
      <c r="T91" s="383"/>
      <c r="U91" s="384"/>
      <c r="V91" s="383"/>
      <c r="W91" s="383"/>
      <c r="X91" s="384"/>
      <c r="Y91" s="383"/>
      <c r="Z91" s="385"/>
      <c r="AA91" s="383"/>
      <c r="AB91" s="383"/>
      <c r="AC91" s="383"/>
      <c r="AD91" s="383"/>
      <c r="AE91" s="383"/>
      <c r="AF91" s="386"/>
      <c r="AG91" s="15"/>
    </row>
    <row r="92" spans="1:33" ht="5.15" customHeight="1" thickBot="1" x14ac:dyDescent="0.4">
      <c r="A92" s="87"/>
      <c r="B92" s="232"/>
      <c r="C92" s="381"/>
      <c r="D92" s="229"/>
      <c r="E92" s="229"/>
      <c r="F92" s="229"/>
      <c r="G92" s="229"/>
      <c r="H92" s="229"/>
      <c r="I92" s="229"/>
      <c r="J92" s="379"/>
      <c r="K92" s="229"/>
      <c r="L92" s="229"/>
      <c r="M92" s="229"/>
      <c r="N92" s="229"/>
      <c r="O92" s="229"/>
      <c r="P92" s="229"/>
      <c r="Q92" s="229"/>
      <c r="R92" s="229"/>
      <c r="S92" s="229"/>
      <c r="T92" s="229"/>
      <c r="U92" s="379"/>
      <c r="V92" s="229"/>
      <c r="W92" s="229"/>
      <c r="X92" s="379"/>
      <c r="Y92" s="229"/>
      <c r="Z92" s="380"/>
      <c r="AA92" s="229"/>
      <c r="AB92" s="229"/>
      <c r="AC92" s="229"/>
      <c r="AD92" s="229"/>
      <c r="AE92" s="229"/>
      <c r="AF92" s="302"/>
      <c r="AG92" s="87"/>
    </row>
    <row r="93" spans="1:33" ht="15" hidden="1" customHeight="1" thickBot="1" x14ac:dyDescent="0.4">
      <c r="A93" s="87"/>
      <c r="B93" s="232"/>
      <c r="C93" s="381"/>
      <c r="D93" s="229"/>
      <c r="E93" s="229"/>
      <c r="F93" s="229"/>
      <c r="G93" s="229"/>
      <c r="H93" s="229"/>
      <c r="I93" s="229"/>
      <c r="J93" s="379"/>
      <c r="K93" s="229"/>
      <c r="L93" s="229"/>
      <c r="M93" s="229"/>
      <c r="N93" s="229"/>
      <c r="O93" s="229"/>
      <c r="P93" s="229"/>
      <c r="Q93" s="229"/>
      <c r="R93" s="229"/>
      <c r="S93" s="229"/>
      <c r="T93" s="229"/>
      <c r="U93" s="379"/>
      <c r="V93" s="229"/>
      <c r="W93" s="229"/>
      <c r="X93" s="379"/>
      <c r="Y93" s="229"/>
      <c r="Z93" s="380"/>
      <c r="AA93" s="229"/>
      <c r="AB93" s="229"/>
      <c r="AC93" s="229"/>
      <c r="AD93" s="229"/>
      <c r="AE93" s="229"/>
      <c r="AF93" s="302"/>
      <c r="AG93"/>
    </row>
    <row r="94" spans="1:33" s="13" customFormat="1" ht="29.15" customHeight="1" x14ac:dyDescent="0.35">
      <c r="A94" s="591">
        <f>A82+1</f>
        <v>8</v>
      </c>
      <c r="B94" s="286">
        <f>B82+10</f>
        <v>81</v>
      </c>
      <c r="C94" s="585" t="str">
        <f>VLOOKUP(A94,INputs!$G$3:$O$22,7,FALSE)</f>
        <v>Please fill out Sensitivity Labels Tab</v>
      </c>
      <c r="D94" s="47"/>
      <c r="E94" s="47"/>
      <c r="F94" s="577" t="s">
        <v>136</v>
      </c>
      <c r="G94" s="577"/>
      <c r="H94" s="577" t="s">
        <v>136</v>
      </c>
      <c r="I94" s="577"/>
      <c r="J94" s="578" t="str">
        <f>J$10</f>
        <v>Select a check box</v>
      </c>
      <c r="K94" s="578"/>
      <c r="L94" s="578" t="s">
        <v>136</v>
      </c>
      <c r="M94" s="578"/>
      <c r="N94" s="578"/>
      <c r="O94" s="578" t="s">
        <v>136</v>
      </c>
      <c r="P94" s="578"/>
      <c r="Q94" s="578"/>
      <c r="R94" s="582" t="s">
        <v>179</v>
      </c>
      <c r="S94" s="582"/>
      <c r="T94" s="397" t="s">
        <v>135</v>
      </c>
      <c r="U94" s="583" t="s">
        <v>180</v>
      </c>
      <c r="V94" s="583"/>
      <c r="W94" s="50"/>
      <c r="X94" s="391"/>
      <c r="Y94" s="576" t="s">
        <v>136</v>
      </c>
      <c r="Z94" s="576"/>
      <c r="AA94" s="51"/>
      <c r="AB94" s="577"/>
      <c r="AC94" s="577"/>
      <c r="AD94" s="48"/>
      <c r="AE94" s="49" t="s">
        <v>181</v>
      </c>
      <c r="AF94" s="52"/>
      <c r="AG94" s="20"/>
    </row>
    <row r="95" spans="1:33" s="13" customFormat="1" x14ac:dyDescent="0.35">
      <c r="A95" s="592"/>
      <c r="B95" s="286">
        <f>B94+1</f>
        <v>82</v>
      </c>
      <c r="C95" s="586"/>
      <c r="D95" s="8"/>
      <c r="E95" s="8"/>
      <c r="F95" s="208"/>
      <c r="G95" s="208"/>
      <c r="H95" s="208"/>
      <c r="I95" s="208"/>
      <c r="J95" s="376"/>
      <c r="K95" s="376"/>
      <c r="L95" s="376"/>
      <c r="M95" s="376"/>
      <c r="N95" s="376"/>
      <c r="O95" s="376"/>
      <c r="P95" s="376"/>
      <c r="Q95" s="376"/>
      <c r="R95" s="575"/>
      <c r="S95" s="575"/>
      <c r="T95" s="575"/>
      <c r="U95" s="396"/>
      <c r="V95" s="390" t="s">
        <v>137</v>
      </c>
      <c r="W95" s="216"/>
      <c r="X95" s="393"/>
      <c r="Y95" s="395"/>
      <c r="Z95" s="395"/>
      <c r="AA95" s="20"/>
      <c r="AB95" s="208"/>
      <c r="AC95" s="530" t="s">
        <v>136</v>
      </c>
      <c r="AD95" s="208"/>
      <c r="AE95" s="573"/>
      <c r="AF95" s="54"/>
      <c r="AG95" s="20"/>
    </row>
    <row r="96" spans="1:33" s="3" customFormat="1" ht="30.5" x14ac:dyDescent="0.35">
      <c r="A96" s="592"/>
      <c r="B96" s="286">
        <f t="shared" ref="B96:B102" si="7">B95+1</f>
        <v>83</v>
      </c>
      <c r="C96" s="586"/>
      <c r="E96" s="200" t="b">
        <v>0</v>
      </c>
      <c r="F96" s="3" t="s">
        <v>182</v>
      </c>
      <c r="H96" s="200" t="b">
        <v>0</v>
      </c>
      <c r="I96" s="210" t="s">
        <v>183</v>
      </c>
      <c r="J96" s="201" t="b">
        <v>0</v>
      </c>
      <c r="K96" s="202" t="s">
        <v>184</v>
      </c>
      <c r="L96" s="203" t="b">
        <v>0</v>
      </c>
      <c r="M96" s="9" t="s">
        <v>185</v>
      </c>
      <c r="N96" s="213"/>
      <c r="O96" s="203" t="b">
        <v>0</v>
      </c>
      <c r="P96" s="9" t="s">
        <v>186</v>
      </c>
      <c r="Q96" s="9"/>
      <c r="R96" s="575"/>
      <c r="S96" s="575"/>
      <c r="T96" s="575"/>
      <c r="U96" s="575"/>
      <c r="V96" s="575"/>
      <c r="W96" s="216"/>
      <c r="X96" s="204" t="b">
        <v>0</v>
      </c>
      <c r="Y96" s="205" t="s">
        <v>187</v>
      </c>
      <c r="Z96" s="371"/>
      <c r="AA96" s="15"/>
      <c r="AB96" s="531" t="b">
        <v>0</v>
      </c>
      <c r="AC96" s="532" t="s">
        <v>188</v>
      </c>
      <c r="AD96" s="15"/>
      <c r="AE96" s="573"/>
      <c r="AF96" s="53"/>
      <c r="AG96" s="15"/>
    </row>
    <row r="97" spans="1:33" s="3" customFormat="1" ht="35.15" customHeight="1" x14ac:dyDescent="0.35">
      <c r="A97" s="592"/>
      <c r="B97" s="286">
        <f t="shared" si="7"/>
        <v>84</v>
      </c>
      <c r="C97" s="586"/>
      <c r="E97" s="200" t="b">
        <v>0</v>
      </c>
      <c r="F97" s="196" t="s">
        <v>189</v>
      </c>
      <c r="H97" s="15"/>
      <c r="I97" s="210"/>
      <c r="J97" s="204" t="b">
        <v>0</v>
      </c>
      <c r="K97" s="588" t="s">
        <v>190</v>
      </c>
      <c r="L97" s="204" t="b">
        <v>0</v>
      </c>
      <c r="M97" s="205" t="s">
        <v>191</v>
      </c>
      <c r="N97" s="387">
        <v>44197</v>
      </c>
      <c r="O97" s="204" t="b">
        <v>0</v>
      </c>
      <c r="P97" s="205" t="s">
        <v>185</v>
      </c>
      <c r="Q97" s="205"/>
      <c r="R97" s="203" t="b">
        <v>0</v>
      </c>
      <c r="S97" s="9" t="s">
        <v>192</v>
      </c>
      <c r="T97" s="9" t="s">
        <v>135</v>
      </c>
      <c r="U97" s="204" t="b">
        <v>0</v>
      </c>
      <c r="V97" s="390" t="s">
        <v>193</v>
      </c>
      <c r="W97" s="215"/>
      <c r="X97" s="204" t="b">
        <v>0</v>
      </c>
      <c r="Y97" s="205" t="s">
        <v>194</v>
      </c>
      <c r="Z97" s="371"/>
      <c r="AA97" s="15"/>
      <c r="AB97" s="217"/>
      <c r="AC97" s="208" t="s">
        <v>137</v>
      </c>
      <c r="AD97" s="209"/>
      <c r="AE97" s="376" t="s">
        <v>195</v>
      </c>
      <c r="AF97" s="54"/>
      <c r="AG97" s="15"/>
    </row>
    <row r="98" spans="1:33" s="3" customFormat="1" ht="14.5" customHeight="1" x14ac:dyDescent="0.35">
      <c r="A98" s="592"/>
      <c r="B98" s="286">
        <f t="shared" si="7"/>
        <v>85</v>
      </c>
      <c r="C98" s="586"/>
      <c r="E98" s="200" t="b">
        <v>0</v>
      </c>
      <c r="F98" s="589" t="s">
        <v>196</v>
      </c>
      <c r="H98" s="200" t="b">
        <v>0</v>
      </c>
      <c r="I98" s="210" t="s">
        <v>197</v>
      </c>
      <c r="J98" s="205"/>
      <c r="K98" s="588"/>
      <c r="L98" s="203" t="b">
        <v>0</v>
      </c>
      <c r="M98" s="44" t="s">
        <v>198</v>
      </c>
      <c r="N98" s="211">
        <v>6</v>
      </c>
      <c r="O98" s="203" t="b">
        <v>0</v>
      </c>
      <c r="P98" s="9" t="s">
        <v>198</v>
      </c>
      <c r="Q98" s="211">
        <v>7</v>
      </c>
      <c r="R98" s="575"/>
      <c r="S98" s="575"/>
      <c r="T98" s="575"/>
      <c r="U98" s="584" t="s">
        <v>136</v>
      </c>
      <c r="V98" s="584"/>
      <c r="W98" s="584"/>
      <c r="X98" s="204" t="b">
        <v>0</v>
      </c>
      <c r="Y98" s="9" t="s">
        <v>199</v>
      </c>
      <c r="Z98" s="575"/>
      <c r="AA98" s="15"/>
      <c r="AB98" s="217"/>
      <c r="AC98" s="22"/>
      <c r="AD98" s="15"/>
      <c r="AE98" s="574"/>
      <c r="AF98" s="53"/>
      <c r="AG98" s="15"/>
    </row>
    <row r="99" spans="1:33" s="3" customFormat="1" x14ac:dyDescent="0.35">
      <c r="A99" s="592"/>
      <c r="B99" s="286">
        <f t="shared" si="7"/>
        <v>86</v>
      </c>
      <c r="C99" s="586"/>
      <c r="F99" s="589"/>
      <c r="H99" s="15"/>
      <c r="I99" s="15"/>
      <c r="J99" s="205"/>
      <c r="K99" s="9"/>
      <c r="L99" s="15"/>
      <c r="M99" s="15"/>
      <c r="N99" s="218"/>
      <c r="O99" s="9"/>
      <c r="P99" s="9"/>
      <c r="Q99" s="9"/>
      <c r="R99" s="575"/>
      <c r="S99" s="575"/>
      <c r="T99" s="575"/>
      <c r="U99" s="204" t="b">
        <v>0</v>
      </c>
      <c r="V99" s="205" t="s">
        <v>200</v>
      </c>
      <c r="W99" s="216"/>
      <c r="X99" s="389"/>
      <c r="Y99" s="15"/>
      <c r="Z99" s="575"/>
      <c r="AA99" s="15"/>
      <c r="AB99" s="15"/>
      <c r="AC99" s="15"/>
      <c r="AD99" s="15"/>
      <c r="AE99" s="574"/>
      <c r="AF99" s="53"/>
      <c r="AG99" s="15"/>
    </row>
    <row r="100" spans="1:33" s="3" customFormat="1" ht="30" customHeight="1" x14ac:dyDescent="0.35">
      <c r="A100" s="592"/>
      <c r="B100" s="286">
        <f t="shared" si="7"/>
        <v>87</v>
      </c>
      <c r="C100" s="586"/>
      <c r="E100"/>
      <c r="H100" s="15"/>
      <c r="I100" s="15"/>
      <c r="J100" s="373"/>
      <c r="K100" s="213"/>
      <c r="L100" s="213"/>
      <c r="M100" s="213"/>
      <c r="N100" s="213"/>
      <c r="O100" s="9"/>
      <c r="P100" s="9"/>
      <c r="Q100" s="9"/>
      <c r="R100" s="203" t="b">
        <v>0</v>
      </c>
      <c r="S100" s="9" t="s">
        <v>201</v>
      </c>
      <c r="T100" s="9" t="s">
        <v>135</v>
      </c>
      <c r="U100" s="575"/>
      <c r="V100" s="575"/>
      <c r="X100" s="389"/>
      <c r="Y100" s="15"/>
      <c r="Z100" s="368"/>
      <c r="AA100" s="15"/>
      <c r="AB100" s="15"/>
      <c r="AC100" s="15"/>
      <c r="AD100" s="15"/>
      <c r="AE100" s="15"/>
      <c r="AF100" s="53"/>
      <c r="AG100" s="15"/>
    </row>
    <row r="101" spans="1:33" s="3" customFormat="1" x14ac:dyDescent="0.35">
      <c r="A101" s="592"/>
      <c r="B101" s="286">
        <f t="shared" si="7"/>
        <v>88</v>
      </c>
      <c r="C101" s="586"/>
      <c r="E101"/>
      <c r="H101" s="212"/>
      <c r="I101" s="15"/>
      <c r="J101" s="373"/>
      <c r="K101" s="213"/>
      <c r="L101" s="213"/>
      <c r="M101" s="213"/>
      <c r="N101" s="213"/>
      <c r="O101" s="9"/>
      <c r="P101" s="9"/>
      <c r="Q101" s="9"/>
      <c r="R101" s="575"/>
      <c r="S101" s="575"/>
      <c r="T101" s="575"/>
      <c r="U101" s="204" t="b">
        <v>0</v>
      </c>
      <c r="V101" s="9" t="s">
        <v>202</v>
      </c>
      <c r="W101" s="9"/>
      <c r="X101" s="389"/>
      <c r="Y101" s="15"/>
      <c r="Z101" s="368"/>
      <c r="AA101" s="15"/>
      <c r="AB101" s="15"/>
      <c r="AC101" s="15"/>
      <c r="AD101" s="15"/>
      <c r="AE101" s="15"/>
      <c r="AF101" s="53"/>
      <c r="AG101" s="15"/>
    </row>
    <row r="102" spans="1:33" s="3" customFormat="1" ht="30" customHeight="1" thickBot="1" x14ac:dyDescent="0.4">
      <c r="A102" s="593"/>
      <c r="B102" s="286">
        <f t="shared" si="7"/>
        <v>89</v>
      </c>
      <c r="C102" s="587"/>
      <c r="D102" s="55"/>
      <c r="E102" s="55"/>
      <c r="F102" s="55"/>
      <c r="G102" s="55"/>
      <c r="H102" s="56"/>
      <c r="I102" s="56"/>
      <c r="J102" s="374"/>
      <c r="K102" s="57"/>
      <c r="L102" s="57"/>
      <c r="M102" s="57"/>
      <c r="N102" s="57"/>
      <c r="O102" s="58"/>
      <c r="P102" s="58"/>
      <c r="Q102" s="58"/>
      <c r="R102" s="575"/>
      <c r="S102" s="575"/>
      <c r="T102" s="575"/>
      <c r="U102" s="575"/>
      <c r="V102" s="575"/>
      <c r="W102" s="58"/>
      <c r="X102" s="392"/>
      <c r="Y102" s="56"/>
      <c r="Z102" s="369"/>
      <c r="AA102" s="56"/>
      <c r="AB102" s="56"/>
      <c r="AC102" s="56"/>
      <c r="AD102" s="56"/>
      <c r="AE102" s="56"/>
      <c r="AF102" s="59"/>
      <c r="AG102" s="15"/>
    </row>
    <row r="103" spans="1:33" s="3" customFormat="1" ht="15" hidden="1" customHeight="1" thickBot="1" x14ac:dyDescent="0.4">
      <c r="A103" s="87"/>
      <c r="B103" s="232"/>
      <c r="C103" s="382"/>
      <c r="D103" s="383"/>
      <c r="E103" s="383"/>
      <c r="F103" s="383"/>
      <c r="G103" s="383"/>
      <c r="H103" s="383"/>
      <c r="I103" s="383"/>
      <c r="J103" s="384"/>
      <c r="K103" s="383"/>
      <c r="L103" s="383"/>
      <c r="M103" s="383"/>
      <c r="N103" s="383"/>
      <c r="O103" s="383"/>
      <c r="P103" s="383"/>
      <c r="Q103" s="383"/>
      <c r="R103" s="383"/>
      <c r="S103" s="383"/>
      <c r="T103" s="383"/>
      <c r="U103" s="384"/>
      <c r="V103" s="383"/>
      <c r="W103" s="383"/>
      <c r="X103" s="384"/>
      <c r="Y103" s="383"/>
      <c r="Z103" s="385"/>
      <c r="AA103" s="383"/>
      <c r="AB103" s="383"/>
      <c r="AC103" s="383"/>
      <c r="AD103" s="383"/>
      <c r="AE103" s="383"/>
      <c r="AF103" s="386"/>
      <c r="AG103" s="15"/>
    </row>
    <row r="104" spans="1:33" ht="5.15" customHeight="1" thickBot="1" x14ac:dyDescent="0.4">
      <c r="A104" s="87"/>
      <c r="B104" s="232"/>
      <c r="C104" s="381"/>
      <c r="D104" s="229"/>
      <c r="E104" s="229"/>
      <c r="F104" s="229"/>
      <c r="G104" s="229"/>
      <c r="H104" s="229"/>
      <c r="I104" s="229"/>
      <c r="J104" s="379"/>
      <c r="K104" s="229"/>
      <c r="L104" s="229"/>
      <c r="M104" s="229"/>
      <c r="N104" s="229"/>
      <c r="O104" s="229"/>
      <c r="P104" s="229"/>
      <c r="Q104" s="229"/>
      <c r="R104" s="229"/>
      <c r="S104" s="229"/>
      <c r="T104" s="229"/>
      <c r="U104" s="379"/>
      <c r="V104" s="229"/>
      <c r="W104" s="229"/>
      <c r="X104" s="379"/>
      <c r="Y104" s="229"/>
      <c r="Z104" s="380"/>
      <c r="AA104" s="229"/>
      <c r="AB104" s="229"/>
      <c r="AC104" s="229"/>
      <c r="AD104" s="229"/>
      <c r="AE104" s="229"/>
      <c r="AF104" s="302"/>
      <c r="AG104" s="87"/>
    </row>
    <row r="105" spans="1:33" ht="15" hidden="1" customHeight="1" thickBot="1" x14ac:dyDescent="0.4">
      <c r="A105" s="87"/>
      <c r="B105" s="232"/>
      <c r="C105" s="381"/>
      <c r="D105" s="229"/>
      <c r="E105" s="229"/>
      <c r="F105" s="229"/>
      <c r="G105" s="229"/>
      <c r="H105" s="229"/>
      <c r="I105" s="229"/>
      <c r="J105" s="379"/>
      <c r="K105" s="229"/>
      <c r="L105" s="229"/>
      <c r="M105" s="229"/>
      <c r="N105" s="229"/>
      <c r="O105" s="229"/>
      <c r="P105" s="229"/>
      <c r="Q105" s="229"/>
      <c r="R105" s="229"/>
      <c r="S105" s="229"/>
      <c r="T105" s="229"/>
      <c r="U105" s="379"/>
      <c r="V105" s="229"/>
      <c r="W105" s="229"/>
      <c r="X105" s="379"/>
      <c r="Y105" s="229"/>
      <c r="Z105" s="380"/>
      <c r="AA105" s="229"/>
      <c r="AB105" s="229"/>
      <c r="AC105" s="229"/>
      <c r="AD105" s="229"/>
      <c r="AE105" s="229"/>
      <c r="AF105" s="302"/>
      <c r="AG105"/>
    </row>
    <row r="106" spans="1:33" ht="29.15" customHeight="1" x14ac:dyDescent="0.35">
      <c r="A106" s="591">
        <f>A94+1</f>
        <v>9</v>
      </c>
      <c r="B106" s="286">
        <f>B94+10</f>
        <v>91</v>
      </c>
      <c r="C106" s="585" t="str">
        <f>VLOOKUP(A106,INputs!$G$3:$O$22,7,FALSE)</f>
        <v>Please fill out Sensitivity Labels Tab</v>
      </c>
      <c r="D106" s="47"/>
      <c r="E106" s="47"/>
      <c r="F106" s="577" t="s">
        <v>136</v>
      </c>
      <c r="G106" s="577"/>
      <c r="H106" s="577" t="s">
        <v>136</v>
      </c>
      <c r="I106" s="577"/>
      <c r="J106" s="578" t="str">
        <f>J$10</f>
        <v>Select a check box</v>
      </c>
      <c r="K106" s="578"/>
      <c r="L106" s="578" t="s">
        <v>136</v>
      </c>
      <c r="M106" s="578"/>
      <c r="N106" s="578"/>
      <c r="O106" s="578" t="s">
        <v>136</v>
      </c>
      <c r="P106" s="578"/>
      <c r="Q106" s="578"/>
      <c r="R106" s="582" t="s">
        <v>179</v>
      </c>
      <c r="S106" s="582"/>
      <c r="T106" s="397" t="s">
        <v>135</v>
      </c>
      <c r="U106" s="583" t="s">
        <v>180</v>
      </c>
      <c r="V106" s="583"/>
      <c r="W106" s="50"/>
      <c r="X106" s="391"/>
      <c r="Y106" s="576" t="s">
        <v>136</v>
      </c>
      <c r="Z106" s="576"/>
      <c r="AA106" s="51"/>
      <c r="AB106" s="577"/>
      <c r="AC106" s="577"/>
      <c r="AD106" s="48"/>
      <c r="AE106" s="49" t="s">
        <v>181</v>
      </c>
      <c r="AF106" s="52"/>
      <c r="AG106" s="20"/>
    </row>
    <row r="107" spans="1:33" x14ac:dyDescent="0.35">
      <c r="A107" s="592"/>
      <c r="B107" s="286">
        <f>B106+1</f>
        <v>92</v>
      </c>
      <c r="C107" s="586"/>
      <c r="D107" s="8"/>
      <c r="E107" s="8"/>
      <c r="F107" s="208"/>
      <c r="G107" s="208"/>
      <c r="H107" s="208"/>
      <c r="I107" s="208"/>
      <c r="J107" s="376"/>
      <c r="K107" s="376"/>
      <c r="L107" s="376"/>
      <c r="M107" s="376"/>
      <c r="N107" s="376"/>
      <c r="O107" s="376"/>
      <c r="P107" s="376"/>
      <c r="Q107" s="376"/>
      <c r="R107" s="575"/>
      <c r="S107" s="575"/>
      <c r="T107" s="575"/>
      <c r="U107" s="396"/>
      <c r="V107" s="390" t="s">
        <v>137</v>
      </c>
      <c r="W107" s="216"/>
      <c r="X107" s="393"/>
      <c r="Y107" s="395"/>
      <c r="Z107" s="395"/>
      <c r="AA107" s="20"/>
      <c r="AB107" s="208"/>
      <c r="AC107" s="530" t="s">
        <v>136</v>
      </c>
      <c r="AD107" s="208"/>
      <c r="AE107" s="573"/>
      <c r="AF107" s="54"/>
      <c r="AG107" s="20"/>
    </row>
    <row r="108" spans="1:33" ht="30.5" x14ac:dyDescent="0.35">
      <c r="A108" s="592"/>
      <c r="B108" s="286">
        <f t="shared" ref="B108:B114" si="8">B107+1</f>
        <v>93</v>
      </c>
      <c r="C108" s="586"/>
      <c r="E108" s="200" t="b">
        <v>0</v>
      </c>
      <c r="F108" s="3" t="s">
        <v>182</v>
      </c>
      <c r="H108" s="200" t="b">
        <v>0</v>
      </c>
      <c r="I108" s="210" t="s">
        <v>183</v>
      </c>
      <c r="J108" s="201" t="b">
        <v>0</v>
      </c>
      <c r="K108" s="202" t="s">
        <v>184</v>
      </c>
      <c r="L108" s="203" t="b">
        <v>0</v>
      </c>
      <c r="M108" s="9" t="s">
        <v>185</v>
      </c>
      <c r="N108" s="213"/>
      <c r="O108" s="203" t="b">
        <v>0</v>
      </c>
      <c r="P108" s="9" t="s">
        <v>186</v>
      </c>
      <c r="Q108" s="9"/>
      <c r="R108" s="575"/>
      <c r="S108" s="575"/>
      <c r="T108" s="575"/>
      <c r="U108" s="575"/>
      <c r="V108" s="575"/>
      <c r="W108" s="216"/>
      <c r="X108" s="204" t="b">
        <v>0</v>
      </c>
      <c r="Y108" s="205" t="s">
        <v>187</v>
      </c>
      <c r="Z108" s="371"/>
      <c r="AA108" s="15"/>
      <c r="AB108" s="529" t="b">
        <v>0</v>
      </c>
      <c r="AC108" s="389" t="s">
        <v>188</v>
      </c>
      <c r="AD108" s="15"/>
      <c r="AE108" s="573"/>
      <c r="AF108" s="53"/>
      <c r="AG108" s="15"/>
    </row>
    <row r="109" spans="1:33" ht="35.15" customHeight="1" x14ac:dyDescent="0.35">
      <c r="A109" s="592"/>
      <c r="B109" s="286">
        <f t="shared" si="8"/>
        <v>94</v>
      </c>
      <c r="C109" s="586"/>
      <c r="E109" s="200" t="b">
        <v>0</v>
      </c>
      <c r="F109" s="196" t="s">
        <v>189</v>
      </c>
      <c r="H109" s="15"/>
      <c r="I109" s="210"/>
      <c r="J109" s="204" t="b">
        <v>0</v>
      </c>
      <c r="K109" s="588" t="s">
        <v>190</v>
      </c>
      <c r="L109" s="204" t="b">
        <v>0</v>
      </c>
      <c r="M109" s="205" t="s">
        <v>191</v>
      </c>
      <c r="N109" s="387">
        <v>44197</v>
      </c>
      <c r="O109" s="204" t="b">
        <v>0</v>
      </c>
      <c r="P109" s="205" t="s">
        <v>185</v>
      </c>
      <c r="Q109" s="9"/>
      <c r="R109" s="203" t="b">
        <v>0</v>
      </c>
      <c r="S109" s="9" t="s">
        <v>192</v>
      </c>
      <c r="T109" s="9" t="s">
        <v>135</v>
      </c>
      <c r="U109" s="204" t="b">
        <v>0</v>
      </c>
      <c r="V109" s="390" t="s">
        <v>193</v>
      </c>
      <c r="W109" s="215"/>
      <c r="X109" s="204" t="b">
        <v>0</v>
      </c>
      <c r="Y109" s="205" t="s">
        <v>194</v>
      </c>
      <c r="Z109" s="371"/>
      <c r="AA109" s="15"/>
      <c r="AB109" s="217"/>
      <c r="AC109" s="208" t="s">
        <v>137</v>
      </c>
      <c r="AD109" s="209"/>
      <c r="AE109" s="376" t="s">
        <v>195</v>
      </c>
      <c r="AF109" s="54"/>
      <c r="AG109" s="15"/>
    </row>
    <row r="110" spans="1:33" ht="14.5" customHeight="1" x14ac:dyDescent="0.35">
      <c r="A110" s="592"/>
      <c r="B110" s="286">
        <f t="shared" si="8"/>
        <v>95</v>
      </c>
      <c r="C110" s="586"/>
      <c r="E110" s="200" t="b">
        <v>0</v>
      </c>
      <c r="F110" s="589" t="s">
        <v>204</v>
      </c>
      <c r="H110" s="200" t="b">
        <v>0</v>
      </c>
      <c r="I110" s="210" t="s">
        <v>197</v>
      </c>
      <c r="J110" s="205"/>
      <c r="K110" s="588"/>
      <c r="L110" s="203" t="b">
        <v>0</v>
      </c>
      <c r="M110" s="44" t="s">
        <v>198</v>
      </c>
      <c r="N110" s="211">
        <v>6</v>
      </c>
      <c r="O110" s="203" t="b">
        <v>0</v>
      </c>
      <c r="P110" s="9" t="s">
        <v>198</v>
      </c>
      <c r="Q110" s="211">
        <v>0</v>
      </c>
      <c r="R110" s="575"/>
      <c r="S110" s="575"/>
      <c r="T110" s="575"/>
      <c r="U110" s="584" t="s">
        <v>136</v>
      </c>
      <c r="V110" s="584"/>
      <c r="W110" s="584"/>
      <c r="X110" s="204" t="b">
        <v>0</v>
      </c>
      <c r="Y110" s="9" t="s">
        <v>199</v>
      </c>
      <c r="Z110" s="575"/>
      <c r="AA110" s="15"/>
      <c r="AB110" s="217"/>
      <c r="AC110" s="22"/>
      <c r="AD110" s="15"/>
      <c r="AE110" s="574"/>
      <c r="AF110" s="53"/>
      <c r="AG110" s="15"/>
    </row>
    <row r="111" spans="1:33" x14ac:dyDescent="0.35">
      <c r="A111" s="592"/>
      <c r="B111" s="286">
        <f t="shared" si="8"/>
        <v>96</v>
      </c>
      <c r="C111" s="586"/>
      <c r="F111" s="589"/>
      <c r="H111" s="15"/>
      <c r="I111" s="15"/>
      <c r="J111" s="205"/>
      <c r="K111" s="9"/>
      <c r="L111" s="15"/>
      <c r="M111" s="15"/>
      <c r="N111" s="218"/>
      <c r="O111" s="9"/>
      <c r="P111" s="9"/>
      <c r="Q111" s="9"/>
      <c r="R111" s="575"/>
      <c r="S111" s="575"/>
      <c r="T111" s="575"/>
      <c r="U111" s="204" t="b">
        <v>0</v>
      </c>
      <c r="V111" s="205" t="s">
        <v>200</v>
      </c>
      <c r="W111" s="216"/>
      <c r="Y111" s="15"/>
      <c r="Z111" s="575"/>
      <c r="AA111" s="15"/>
      <c r="AB111" s="15"/>
      <c r="AC111" s="15"/>
      <c r="AD111" s="15"/>
      <c r="AE111" s="574"/>
      <c r="AF111" s="53"/>
      <c r="AG111" s="15"/>
    </row>
    <row r="112" spans="1:33" ht="30" customHeight="1" x14ac:dyDescent="0.35">
      <c r="A112" s="592"/>
      <c r="B112" s="286">
        <f t="shared" si="8"/>
        <v>97</v>
      </c>
      <c r="C112" s="586"/>
      <c r="E112"/>
      <c r="H112" s="15"/>
      <c r="I112" s="15"/>
      <c r="J112" s="373"/>
      <c r="K112" s="213"/>
      <c r="L112" s="213"/>
      <c r="M112" s="213"/>
      <c r="N112" s="213"/>
      <c r="O112" s="9"/>
      <c r="P112" s="9"/>
      <c r="Q112" s="9"/>
      <c r="R112" s="203" t="b">
        <v>0</v>
      </c>
      <c r="S112" s="9" t="s">
        <v>201</v>
      </c>
      <c r="T112" s="9" t="s">
        <v>135</v>
      </c>
      <c r="U112" s="575"/>
      <c r="V112" s="575"/>
      <c r="Y112" s="15"/>
      <c r="Z112" s="368"/>
      <c r="AA112" s="15"/>
      <c r="AB112" s="15"/>
      <c r="AC112" s="15"/>
      <c r="AD112" s="15"/>
      <c r="AE112" s="15"/>
      <c r="AF112" s="53"/>
      <c r="AG112" s="15"/>
    </row>
    <row r="113" spans="1:33" x14ac:dyDescent="0.35">
      <c r="A113" s="592"/>
      <c r="B113" s="286">
        <f t="shared" si="8"/>
        <v>98</v>
      </c>
      <c r="C113" s="586"/>
      <c r="E113"/>
      <c r="H113" s="212"/>
      <c r="I113" s="15"/>
      <c r="J113" s="373"/>
      <c r="K113" s="213"/>
      <c r="L113" s="213"/>
      <c r="M113" s="213"/>
      <c r="N113" s="213"/>
      <c r="O113" s="9"/>
      <c r="P113" s="9"/>
      <c r="Q113" s="9"/>
      <c r="R113" s="575"/>
      <c r="S113" s="575"/>
      <c r="T113" s="575"/>
      <c r="U113" s="204" t="b">
        <v>0</v>
      </c>
      <c r="V113" s="9" t="s">
        <v>202</v>
      </c>
      <c r="W113" s="9"/>
      <c r="Y113" s="15"/>
      <c r="Z113" s="368"/>
      <c r="AA113" s="15"/>
      <c r="AB113" s="15"/>
      <c r="AC113" s="15"/>
      <c r="AD113" s="15"/>
      <c r="AE113" s="15"/>
      <c r="AF113" s="53"/>
      <c r="AG113" s="15"/>
    </row>
    <row r="114" spans="1:33" ht="30" customHeight="1" thickBot="1" x14ac:dyDescent="0.4">
      <c r="A114" s="593"/>
      <c r="B114" s="286">
        <f t="shared" si="8"/>
        <v>99</v>
      </c>
      <c r="C114" s="587"/>
      <c r="D114" s="55"/>
      <c r="E114" s="55"/>
      <c r="F114" s="55"/>
      <c r="G114" s="55"/>
      <c r="H114" s="56"/>
      <c r="I114" s="56"/>
      <c r="J114" s="374"/>
      <c r="K114" s="57"/>
      <c r="L114" s="57"/>
      <c r="M114" s="57"/>
      <c r="N114" s="57"/>
      <c r="O114" s="58"/>
      <c r="P114" s="58"/>
      <c r="Q114" s="58"/>
      <c r="R114" s="575"/>
      <c r="S114" s="575"/>
      <c r="T114" s="575"/>
      <c r="U114" s="575"/>
      <c r="V114" s="575"/>
      <c r="W114" s="58"/>
      <c r="X114" s="392"/>
      <c r="Y114" s="56"/>
      <c r="Z114" s="369"/>
      <c r="AA114" s="56"/>
      <c r="AB114" s="56"/>
      <c r="AC114" s="56"/>
      <c r="AD114" s="56"/>
      <c r="AE114" s="56"/>
      <c r="AF114" s="59"/>
      <c r="AG114" s="15"/>
    </row>
    <row r="115" spans="1:33" ht="15" hidden="1" customHeight="1" thickBot="1" x14ac:dyDescent="0.4">
      <c r="A115" s="87"/>
      <c r="B115" s="232"/>
      <c r="C115" s="382"/>
      <c r="D115" s="383"/>
      <c r="E115" s="383"/>
      <c r="F115" s="383"/>
      <c r="G115" s="383"/>
      <c r="H115" s="383"/>
      <c r="I115" s="383"/>
      <c r="J115" s="384"/>
      <c r="K115" s="383"/>
      <c r="L115" s="383"/>
      <c r="M115" s="383"/>
      <c r="N115" s="383"/>
      <c r="O115" s="383"/>
      <c r="P115" s="383"/>
      <c r="Q115" s="383"/>
      <c r="R115" s="383"/>
      <c r="S115" s="383"/>
      <c r="T115" s="383"/>
      <c r="U115" s="384"/>
      <c r="V115" s="383"/>
      <c r="W115" s="383"/>
      <c r="X115" s="384"/>
      <c r="Y115" s="383"/>
      <c r="Z115" s="385"/>
      <c r="AA115" s="383"/>
      <c r="AB115" s="383"/>
      <c r="AC115" s="383"/>
      <c r="AD115" s="383"/>
      <c r="AE115" s="383"/>
      <c r="AF115" s="386"/>
      <c r="AG115" s="15"/>
    </row>
    <row r="116" spans="1:33" ht="5.15" customHeight="1" thickBot="1" x14ac:dyDescent="0.4">
      <c r="A116" s="87"/>
      <c r="B116" s="232"/>
      <c r="C116" s="381"/>
      <c r="D116" s="229"/>
      <c r="E116" s="229"/>
      <c r="F116" s="229"/>
      <c r="G116" s="229"/>
      <c r="H116" s="229"/>
      <c r="I116" s="229"/>
      <c r="J116" s="379"/>
      <c r="K116" s="229"/>
      <c r="L116" s="229"/>
      <c r="M116" s="229"/>
      <c r="N116" s="229"/>
      <c r="O116" s="229"/>
      <c r="P116" s="229"/>
      <c r="Q116" s="229"/>
      <c r="R116" s="229"/>
      <c r="S116" s="229"/>
      <c r="T116" s="229"/>
      <c r="U116" s="379"/>
      <c r="V116" s="229"/>
      <c r="W116" s="229"/>
      <c r="X116" s="379"/>
      <c r="Y116" s="229"/>
      <c r="Z116" s="380"/>
      <c r="AA116" s="229"/>
      <c r="AB116" s="229"/>
      <c r="AC116" s="229"/>
      <c r="AD116" s="229"/>
      <c r="AE116" s="229"/>
      <c r="AF116" s="302"/>
      <c r="AG116" s="87"/>
    </row>
    <row r="117" spans="1:33" ht="15" hidden="1" customHeight="1" thickBot="1" x14ac:dyDescent="0.4">
      <c r="A117" s="87"/>
      <c r="B117" s="232"/>
      <c r="C117" s="381"/>
      <c r="D117" s="229"/>
      <c r="E117" s="229"/>
      <c r="F117" s="229"/>
      <c r="G117" s="229"/>
      <c r="H117" s="229"/>
      <c r="I117" s="229"/>
      <c r="J117" s="379"/>
      <c r="K117" s="229"/>
      <c r="L117" s="229"/>
      <c r="M117" s="229"/>
      <c r="N117" s="229"/>
      <c r="O117" s="229"/>
      <c r="P117" s="229"/>
      <c r="Q117" s="229"/>
      <c r="R117" s="229"/>
      <c r="S117" s="229"/>
      <c r="T117" s="229"/>
      <c r="U117" s="379"/>
      <c r="V117" s="229"/>
      <c r="W117" s="229"/>
      <c r="X117" s="379"/>
      <c r="Y117" s="229"/>
      <c r="Z117" s="380"/>
      <c r="AA117" s="229"/>
      <c r="AB117" s="229"/>
      <c r="AC117" s="229"/>
      <c r="AD117" s="229"/>
      <c r="AE117" s="229"/>
      <c r="AF117" s="302"/>
      <c r="AG117"/>
    </row>
    <row r="118" spans="1:33" ht="29.15" customHeight="1" x14ac:dyDescent="0.35">
      <c r="A118" s="591">
        <f>A106+1</f>
        <v>10</v>
      </c>
      <c r="B118" s="286">
        <f>B106+10</f>
        <v>101</v>
      </c>
      <c r="C118" s="585" t="str">
        <f>VLOOKUP(A118,INputs!$G$3:$O$22,7,FALSE)</f>
        <v>Please fill out Sensitivity Labels Tab</v>
      </c>
      <c r="D118" s="47"/>
      <c r="E118" s="47"/>
      <c r="F118" s="577" t="s">
        <v>136</v>
      </c>
      <c r="G118" s="577"/>
      <c r="H118" s="577" t="s">
        <v>136</v>
      </c>
      <c r="I118" s="577"/>
      <c r="J118" s="578" t="str">
        <f>J$10</f>
        <v>Select a check box</v>
      </c>
      <c r="K118" s="578"/>
      <c r="L118" s="578" t="s">
        <v>136</v>
      </c>
      <c r="M118" s="578"/>
      <c r="N118" s="578"/>
      <c r="O118" s="578" t="s">
        <v>136</v>
      </c>
      <c r="P118" s="578"/>
      <c r="Q118" s="578"/>
      <c r="R118" s="582" t="s">
        <v>179</v>
      </c>
      <c r="S118" s="582"/>
      <c r="T118" s="397" t="s">
        <v>135</v>
      </c>
      <c r="U118" s="583" t="s">
        <v>180</v>
      </c>
      <c r="V118" s="583"/>
      <c r="W118" s="50"/>
      <c r="X118" s="391"/>
      <c r="Y118" s="576" t="s">
        <v>136</v>
      </c>
      <c r="Z118" s="576"/>
      <c r="AA118" s="51"/>
      <c r="AB118" s="577"/>
      <c r="AC118" s="577"/>
      <c r="AD118" s="48"/>
      <c r="AE118" s="49" t="s">
        <v>181</v>
      </c>
      <c r="AF118" s="52"/>
      <c r="AG118" s="20"/>
    </row>
    <row r="119" spans="1:33" x14ac:dyDescent="0.35">
      <c r="A119" s="592"/>
      <c r="B119" s="286">
        <f>B118+1</f>
        <v>102</v>
      </c>
      <c r="C119" s="586"/>
      <c r="D119" s="8"/>
      <c r="E119" s="8"/>
      <c r="F119" s="208"/>
      <c r="G119" s="208"/>
      <c r="H119" s="208"/>
      <c r="I119" s="208"/>
      <c r="J119" s="376"/>
      <c r="K119" s="376"/>
      <c r="L119" s="376"/>
      <c r="M119" s="376"/>
      <c r="N119" s="376"/>
      <c r="O119" s="376"/>
      <c r="P119" s="376"/>
      <c r="Q119" s="376"/>
      <c r="R119" s="575"/>
      <c r="S119" s="575"/>
      <c r="T119" s="575"/>
      <c r="U119" s="396"/>
      <c r="V119" s="390" t="s">
        <v>137</v>
      </c>
      <c r="W119" s="216"/>
      <c r="X119" s="393"/>
      <c r="Y119" s="395"/>
      <c r="Z119" s="395"/>
      <c r="AA119" s="20"/>
      <c r="AB119" s="208"/>
      <c r="AC119" s="530" t="s">
        <v>136</v>
      </c>
      <c r="AD119" s="208"/>
      <c r="AE119" s="573"/>
      <c r="AF119" s="54"/>
      <c r="AG119" s="20"/>
    </row>
    <row r="120" spans="1:33" ht="30.5" x14ac:dyDescent="0.35">
      <c r="A120" s="592"/>
      <c r="B120" s="286">
        <f t="shared" ref="B120:B126" si="9">B119+1</f>
        <v>103</v>
      </c>
      <c r="C120" s="586"/>
      <c r="E120" s="200" t="b">
        <v>0</v>
      </c>
      <c r="F120" s="3" t="s">
        <v>182</v>
      </c>
      <c r="H120" s="200" t="b">
        <v>0</v>
      </c>
      <c r="I120" s="210" t="s">
        <v>183</v>
      </c>
      <c r="J120" s="201" t="b">
        <v>0</v>
      </c>
      <c r="K120" s="202" t="s">
        <v>184</v>
      </c>
      <c r="L120" s="203" t="b">
        <v>0</v>
      </c>
      <c r="M120" s="9" t="s">
        <v>185</v>
      </c>
      <c r="N120" s="213"/>
      <c r="O120" s="203" t="b">
        <v>0</v>
      </c>
      <c r="P120" s="9" t="s">
        <v>186</v>
      </c>
      <c r="Q120" s="9"/>
      <c r="R120" s="575"/>
      <c r="S120" s="575"/>
      <c r="T120" s="575"/>
      <c r="U120" s="575"/>
      <c r="V120" s="575"/>
      <c r="W120" s="216"/>
      <c r="X120" s="204" t="b">
        <v>0</v>
      </c>
      <c r="Y120" s="205" t="s">
        <v>187</v>
      </c>
      <c r="Z120" s="371"/>
      <c r="AA120" s="15"/>
      <c r="AB120" s="206" t="b">
        <v>0</v>
      </c>
      <c r="AC120" s="15" t="s">
        <v>188</v>
      </c>
      <c r="AD120" s="15"/>
      <c r="AE120" s="573"/>
      <c r="AF120" s="53"/>
      <c r="AG120" s="15"/>
    </row>
    <row r="121" spans="1:33" ht="35.15" customHeight="1" x14ac:dyDescent="0.35">
      <c r="A121" s="592"/>
      <c r="B121" s="286">
        <f t="shared" si="9"/>
        <v>104</v>
      </c>
      <c r="C121" s="586"/>
      <c r="E121" s="200" t="b">
        <v>0</v>
      </c>
      <c r="F121" s="196" t="s">
        <v>189</v>
      </c>
      <c r="H121" s="15"/>
      <c r="I121" s="210"/>
      <c r="J121" s="204" t="b">
        <v>0</v>
      </c>
      <c r="K121" s="588" t="s">
        <v>190</v>
      </c>
      <c r="L121" s="204" t="b">
        <v>0</v>
      </c>
      <c r="M121" s="205" t="s">
        <v>191</v>
      </c>
      <c r="N121" s="387">
        <v>44197</v>
      </c>
      <c r="O121" s="204" t="b">
        <v>0</v>
      </c>
      <c r="P121" s="205" t="s">
        <v>185</v>
      </c>
      <c r="Q121" s="9"/>
      <c r="R121" s="203" t="b">
        <v>0</v>
      </c>
      <c r="S121" s="9" t="s">
        <v>192</v>
      </c>
      <c r="T121" s="9" t="s">
        <v>135</v>
      </c>
      <c r="U121" s="204" t="b">
        <v>0</v>
      </c>
      <c r="V121" s="390" t="s">
        <v>193</v>
      </c>
      <c r="W121" s="215"/>
      <c r="X121" s="204" t="b">
        <v>0</v>
      </c>
      <c r="Y121" s="205" t="s">
        <v>194</v>
      </c>
      <c r="Z121" s="371"/>
      <c r="AA121" s="15"/>
      <c r="AB121" s="217"/>
      <c r="AC121" s="208" t="s">
        <v>137</v>
      </c>
      <c r="AD121" s="209"/>
      <c r="AE121" s="376" t="s">
        <v>195</v>
      </c>
      <c r="AF121" s="54"/>
      <c r="AG121" s="15"/>
    </row>
    <row r="122" spans="1:33" ht="14.5" customHeight="1" x14ac:dyDescent="0.35">
      <c r="A122" s="592"/>
      <c r="B122" s="286">
        <f t="shared" si="9"/>
        <v>105</v>
      </c>
      <c r="C122" s="586"/>
      <c r="E122" s="200" t="b">
        <v>0</v>
      </c>
      <c r="F122" s="589" t="s">
        <v>204</v>
      </c>
      <c r="H122" s="200" t="b">
        <v>0</v>
      </c>
      <c r="I122" s="210" t="s">
        <v>197</v>
      </c>
      <c r="J122" s="205"/>
      <c r="K122" s="588"/>
      <c r="L122" s="203" t="b">
        <v>0</v>
      </c>
      <c r="M122" s="44" t="s">
        <v>198</v>
      </c>
      <c r="N122" s="211">
        <v>6</v>
      </c>
      <c r="O122" s="203" t="b">
        <v>0</v>
      </c>
      <c r="P122" s="9" t="s">
        <v>198</v>
      </c>
      <c r="Q122" s="211">
        <v>0</v>
      </c>
      <c r="R122" s="575"/>
      <c r="S122" s="575"/>
      <c r="T122" s="575"/>
      <c r="U122" s="584" t="s">
        <v>136</v>
      </c>
      <c r="V122" s="584"/>
      <c r="W122" s="584"/>
      <c r="X122" s="204" t="b">
        <v>0</v>
      </c>
      <c r="Y122" s="9" t="s">
        <v>199</v>
      </c>
      <c r="Z122" s="575"/>
      <c r="AA122" s="15"/>
      <c r="AB122" s="217"/>
      <c r="AC122" s="22"/>
      <c r="AD122" s="15"/>
      <c r="AE122" s="574"/>
      <c r="AF122" s="53"/>
      <c r="AG122" s="15"/>
    </row>
    <row r="123" spans="1:33" x14ac:dyDescent="0.35">
      <c r="A123" s="592"/>
      <c r="B123" s="286">
        <f t="shared" si="9"/>
        <v>106</v>
      </c>
      <c r="C123" s="586"/>
      <c r="F123" s="589"/>
      <c r="H123" s="15"/>
      <c r="I123" s="15"/>
      <c r="J123" s="205"/>
      <c r="K123" s="9"/>
      <c r="L123" s="15"/>
      <c r="M123" s="15"/>
      <c r="N123" s="218"/>
      <c r="O123" s="9"/>
      <c r="P123" s="9"/>
      <c r="Q123" s="9"/>
      <c r="R123" s="575"/>
      <c r="S123" s="575"/>
      <c r="T123" s="575"/>
      <c r="U123" s="204" t="b">
        <v>0</v>
      </c>
      <c r="V123" s="205" t="s">
        <v>200</v>
      </c>
      <c r="W123" s="216"/>
      <c r="Y123" s="15"/>
      <c r="Z123" s="575"/>
      <c r="AA123" s="15"/>
      <c r="AB123" s="15"/>
      <c r="AC123" s="15"/>
      <c r="AD123" s="15"/>
      <c r="AE123" s="574"/>
      <c r="AF123" s="53"/>
      <c r="AG123" s="15"/>
    </row>
    <row r="124" spans="1:33" ht="30" customHeight="1" x14ac:dyDescent="0.35">
      <c r="A124" s="592"/>
      <c r="B124" s="286">
        <f t="shared" si="9"/>
        <v>107</v>
      </c>
      <c r="C124" s="586"/>
      <c r="E124"/>
      <c r="H124" s="15"/>
      <c r="I124" s="15"/>
      <c r="J124" s="373"/>
      <c r="K124" s="213"/>
      <c r="L124" s="213"/>
      <c r="M124" s="213"/>
      <c r="N124" s="213"/>
      <c r="O124" s="9"/>
      <c r="P124" s="9"/>
      <c r="Q124" s="9"/>
      <c r="R124" s="203" t="b">
        <v>0</v>
      </c>
      <c r="S124" s="9" t="s">
        <v>201</v>
      </c>
      <c r="T124" s="9" t="s">
        <v>135</v>
      </c>
      <c r="U124" s="575"/>
      <c r="V124" s="575"/>
      <c r="Y124" s="15"/>
      <c r="Z124" s="368"/>
      <c r="AA124" s="15"/>
      <c r="AB124" s="15"/>
      <c r="AC124" s="15"/>
      <c r="AD124" s="15"/>
      <c r="AE124" s="15"/>
      <c r="AF124" s="53"/>
      <c r="AG124" s="15"/>
    </row>
    <row r="125" spans="1:33" x14ac:dyDescent="0.35">
      <c r="A125" s="592"/>
      <c r="B125" s="286">
        <f t="shared" si="9"/>
        <v>108</v>
      </c>
      <c r="C125" s="586"/>
      <c r="E125"/>
      <c r="H125" s="212"/>
      <c r="I125" s="15"/>
      <c r="J125" s="373"/>
      <c r="K125" s="213"/>
      <c r="L125" s="213"/>
      <c r="M125" s="213"/>
      <c r="N125" s="213"/>
      <c r="O125" s="9"/>
      <c r="P125" s="9"/>
      <c r="Q125" s="9"/>
      <c r="R125" s="575"/>
      <c r="S125" s="575"/>
      <c r="T125" s="575"/>
      <c r="U125" s="204" t="b">
        <v>0</v>
      </c>
      <c r="V125" s="9" t="s">
        <v>202</v>
      </c>
      <c r="W125" s="9"/>
      <c r="Y125" s="15"/>
      <c r="Z125" s="368"/>
      <c r="AA125" s="15"/>
      <c r="AB125" s="15"/>
      <c r="AC125" s="15"/>
      <c r="AD125" s="15"/>
      <c r="AE125" s="15"/>
      <c r="AF125" s="53"/>
      <c r="AG125" s="15"/>
    </row>
    <row r="126" spans="1:33" ht="30" customHeight="1" thickBot="1" x14ac:dyDescent="0.4">
      <c r="A126" s="593"/>
      <c r="B126" s="286">
        <f t="shared" si="9"/>
        <v>109</v>
      </c>
      <c r="C126" s="587"/>
      <c r="D126" s="55"/>
      <c r="E126" s="55"/>
      <c r="F126" s="55"/>
      <c r="G126" s="55"/>
      <c r="H126" s="56"/>
      <c r="I126" s="56"/>
      <c r="J126" s="374"/>
      <c r="K126" s="57"/>
      <c r="L126" s="57"/>
      <c r="M126" s="57"/>
      <c r="N126" s="57"/>
      <c r="O126" s="58"/>
      <c r="P126" s="58"/>
      <c r="Q126" s="58"/>
      <c r="R126" s="575"/>
      <c r="S126" s="575"/>
      <c r="T126" s="575"/>
      <c r="U126" s="575"/>
      <c r="V126" s="575"/>
      <c r="W126" s="58"/>
      <c r="X126" s="392"/>
      <c r="Y126" s="56"/>
      <c r="Z126" s="369"/>
      <c r="AA126" s="56"/>
      <c r="AB126" s="56"/>
      <c r="AC126" s="56"/>
      <c r="AD126" s="56"/>
      <c r="AE126" s="56"/>
      <c r="AF126" s="59"/>
      <c r="AG126" s="15"/>
    </row>
    <row r="127" spans="1:33" ht="15" hidden="1" customHeight="1" thickBot="1" x14ac:dyDescent="0.4">
      <c r="A127" s="87"/>
      <c r="B127" s="232"/>
      <c r="C127" s="382"/>
      <c r="D127" s="383"/>
      <c r="E127" s="383"/>
      <c r="F127" s="383"/>
      <c r="G127" s="383"/>
      <c r="H127" s="383"/>
      <c r="I127" s="383"/>
      <c r="J127" s="384"/>
      <c r="K127" s="383"/>
      <c r="L127" s="383"/>
      <c r="M127" s="383"/>
      <c r="N127" s="383"/>
      <c r="O127" s="383"/>
      <c r="P127" s="383"/>
      <c r="Q127" s="383"/>
      <c r="R127" s="383"/>
      <c r="S127" s="383"/>
      <c r="T127" s="383"/>
      <c r="U127" s="384"/>
      <c r="V127" s="383"/>
      <c r="W127" s="383"/>
      <c r="X127" s="384"/>
      <c r="Y127" s="383"/>
      <c r="Z127" s="385"/>
      <c r="AA127" s="383"/>
      <c r="AB127" s="383"/>
      <c r="AC127" s="383"/>
      <c r="AD127" s="383"/>
      <c r="AE127" s="383"/>
      <c r="AF127" s="386"/>
      <c r="AG127" s="15"/>
    </row>
    <row r="128" spans="1:33" ht="5.15" customHeight="1" thickBot="1" x14ac:dyDescent="0.4">
      <c r="A128" s="87"/>
      <c r="B128" s="232"/>
      <c r="C128" s="381"/>
      <c r="D128" s="229"/>
      <c r="E128" s="229"/>
      <c r="F128" s="229"/>
      <c r="G128" s="229"/>
      <c r="H128" s="229"/>
      <c r="I128" s="229"/>
      <c r="J128" s="379"/>
      <c r="K128" s="229"/>
      <c r="L128" s="229"/>
      <c r="M128" s="229"/>
      <c r="N128" s="229"/>
      <c r="O128" s="229"/>
      <c r="P128" s="229"/>
      <c r="Q128" s="229"/>
      <c r="R128" s="229"/>
      <c r="S128" s="229"/>
      <c r="T128" s="229"/>
      <c r="U128" s="379"/>
      <c r="V128" s="229"/>
      <c r="W128" s="229"/>
      <c r="X128" s="379"/>
      <c r="Y128" s="229"/>
      <c r="Z128" s="380"/>
      <c r="AA128" s="229"/>
      <c r="AB128" s="229"/>
      <c r="AC128" s="229"/>
      <c r="AD128" s="229"/>
      <c r="AE128" s="229"/>
      <c r="AF128" s="302"/>
      <c r="AG128" s="87"/>
    </row>
    <row r="129" spans="1:33" ht="15" hidden="1" customHeight="1" thickBot="1" x14ac:dyDescent="0.4">
      <c r="A129" s="87"/>
      <c r="B129" s="232"/>
      <c r="C129" s="381"/>
      <c r="D129" s="229"/>
      <c r="E129" s="229"/>
      <c r="F129" s="229"/>
      <c r="G129" s="229"/>
      <c r="H129" s="229"/>
      <c r="I129" s="229"/>
      <c r="J129" s="379"/>
      <c r="K129" s="229"/>
      <c r="L129" s="229"/>
      <c r="M129" s="229"/>
      <c r="N129" s="229"/>
      <c r="O129" s="229"/>
      <c r="P129" s="229"/>
      <c r="Q129" s="229"/>
      <c r="R129" s="229"/>
      <c r="S129" s="229"/>
      <c r="T129" s="229"/>
      <c r="U129" s="379"/>
      <c r="V129" s="229"/>
      <c r="W129" s="229"/>
      <c r="X129" s="379"/>
      <c r="Y129" s="229"/>
      <c r="Z129" s="380"/>
      <c r="AA129" s="229"/>
      <c r="AB129" s="229"/>
      <c r="AC129" s="229"/>
      <c r="AD129" s="229"/>
      <c r="AE129" s="229"/>
      <c r="AF129" s="302"/>
      <c r="AG129"/>
    </row>
    <row r="130" spans="1:33" ht="29.15" customHeight="1" x14ac:dyDescent="0.35">
      <c r="A130" s="591">
        <f>A118+1</f>
        <v>11</v>
      </c>
      <c r="B130" s="286">
        <f>B118+10</f>
        <v>111</v>
      </c>
      <c r="C130" s="585" t="str">
        <f>VLOOKUP(A130,INputs!$G$3:$O$22,7,FALSE)</f>
        <v>Please fill out Sensitivity Labels Tab</v>
      </c>
      <c r="D130" s="47"/>
      <c r="E130" s="47"/>
      <c r="F130" s="577" t="s">
        <v>136</v>
      </c>
      <c r="G130" s="577"/>
      <c r="H130" s="577" t="s">
        <v>136</v>
      </c>
      <c r="I130" s="577"/>
      <c r="J130" s="578" t="str">
        <f>J$10</f>
        <v>Select a check box</v>
      </c>
      <c r="K130" s="578"/>
      <c r="L130" s="578" t="s">
        <v>136</v>
      </c>
      <c r="M130" s="578"/>
      <c r="N130" s="578"/>
      <c r="O130" s="578" t="s">
        <v>136</v>
      </c>
      <c r="P130" s="578"/>
      <c r="Q130" s="578"/>
      <c r="R130" s="582" t="s">
        <v>179</v>
      </c>
      <c r="S130" s="582"/>
      <c r="T130" s="397" t="s">
        <v>135</v>
      </c>
      <c r="U130" s="583" t="s">
        <v>180</v>
      </c>
      <c r="V130" s="583"/>
      <c r="W130" s="50"/>
      <c r="X130" s="391"/>
      <c r="Y130" s="576" t="s">
        <v>136</v>
      </c>
      <c r="Z130" s="576"/>
      <c r="AA130" s="51"/>
      <c r="AB130" s="577"/>
      <c r="AC130" s="577"/>
      <c r="AD130" s="48"/>
      <c r="AE130" s="49" t="s">
        <v>181</v>
      </c>
      <c r="AF130" s="52"/>
      <c r="AG130" s="20"/>
    </row>
    <row r="131" spans="1:33" x14ac:dyDescent="0.35">
      <c r="A131" s="592"/>
      <c r="B131" s="286">
        <f>B130+1</f>
        <v>112</v>
      </c>
      <c r="C131" s="586"/>
      <c r="D131" s="8"/>
      <c r="E131" s="8"/>
      <c r="F131" s="208"/>
      <c r="G131" s="208"/>
      <c r="H131" s="208"/>
      <c r="I131" s="208"/>
      <c r="J131" s="376"/>
      <c r="K131" s="376"/>
      <c r="L131" s="376"/>
      <c r="M131" s="376"/>
      <c r="N131" s="376"/>
      <c r="O131" s="376"/>
      <c r="P131" s="376"/>
      <c r="Q131" s="376"/>
      <c r="R131" s="575"/>
      <c r="S131" s="575"/>
      <c r="T131" s="575"/>
      <c r="U131" s="396"/>
      <c r="V131" s="390" t="s">
        <v>137</v>
      </c>
      <c r="W131" s="216"/>
      <c r="X131" s="393"/>
      <c r="Y131" s="395"/>
      <c r="Z131" s="395"/>
      <c r="AA131" s="20"/>
      <c r="AB131" s="208"/>
      <c r="AC131" s="530" t="s">
        <v>136</v>
      </c>
      <c r="AD131" s="208"/>
      <c r="AE131" s="573"/>
      <c r="AF131" s="54"/>
      <c r="AG131" s="20"/>
    </row>
    <row r="132" spans="1:33" ht="30.5" x14ac:dyDescent="0.35">
      <c r="A132" s="592"/>
      <c r="B132" s="286">
        <f t="shared" ref="B132:B138" si="10">B131+1</f>
        <v>113</v>
      </c>
      <c r="C132" s="586"/>
      <c r="E132" s="200" t="b">
        <v>0</v>
      </c>
      <c r="F132" s="3" t="s">
        <v>182</v>
      </c>
      <c r="H132" s="200" t="b">
        <v>0</v>
      </c>
      <c r="I132" s="210" t="s">
        <v>183</v>
      </c>
      <c r="J132" s="201" t="b">
        <v>0</v>
      </c>
      <c r="K132" s="202" t="s">
        <v>184</v>
      </c>
      <c r="L132" s="203" t="b">
        <v>0</v>
      </c>
      <c r="M132" s="9" t="s">
        <v>185</v>
      </c>
      <c r="N132" s="213"/>
      <c r="O132" s="203" t="b">
        <v>0</v>
      </c>
      <c r="P132" s="9" t="s">
        <v>186</v>
      </c>
      <c r="Q132" s="9"/>
      <c r="R132" s="575"/>
      <c r="S132" s="575"/>
      <c r="T132" s="575"/>
      <c r="U132" s="575"/>
      <c r="V132" s="575"/>
      <c r="W132" s="216"/>
      <c r="X132" s="204" t="b">
        <v>0</v>
      </c>
      <c r="Y132" s="205" t="s">
        <v>187</v>
      </c>
      <c r="Z132" s="371"/>
      <c r="AA132" s="15"/>
      <c r="AB132" s="529" t="b">
        <v>0</v>
      </c>
      <c r="AC132" s="389" t="s">
        <v>188</v>
      </c>
      <c r="AD132" s="15"/>
      <c r="AE132" s="573"/>
      <c r="AF132" s="53"/>
      <c r="AG132" s="15"/>
    </row>
    <row r="133" spans="1:33" ht="35.15" customHeight="1" x14ac:dyDescent="0.35">
      <c r="A133" s="592"/>
      <c r="B133" s="286">
        <f t="shared" si="10"/>
        <v>114</v>
      </c>
      <c r="C133" s="586"/>
      <c r="E133" s="200" t="b">
        <v>0</v>
      </c>
      <c r="F133" s="196" t="s">
        <v>189</v>
      </c>
      <c r="H133" s="15"/>
      <c r="I133" s="210"/>
      <c r="J133" s="204" t="b">
        <v>0</v>
      </c>
      <c r="K133" s="588" t="s">
        <v>190</v>
      </c>
      <c r="L133" s="204" t="b">
        <v>0</v>
      </c>
      <c r="M133" s="205" t="s">
        <v>191</v>
      </c>
      <c r="N133" s="387">
        <v>44197</v>
      </c>
      <c r="O133" s="204" t="b">
        <v>0</v>
      </c>
      <c r="P133" s="205" t="s">
        <v>185</v>
      </c>
      <c r="Q133" s="9"/>
      <c r="R133" s="203" t="b">
        <v>0</v>
      </c>
      <c r="S133" s="9" t="s">
        <v>192</v>
      </c>
      <c r="T133" s="9" t="s">
        <v>135</v>
      </c>
      <c r="U133" s="204" t="b">
        <v>0</v>
      </c>
      <c r="V133" s="390" t="s">
        <v>193</v>
      </c>
      <c r="W133" s="215"/>
      <c r="X133" s="204" t="b">
        <v>0</v>
      </c>
      <c r="Y133" s="205" t="s">
        <v>194</v>
      </c>
      <c r="Z133" s="371"/>
      <c r="AA133" s="15"/>
      <c r="AB133" s="217"/>
      <c r="AC133" s="208" t="s">
        <v>137</v>
      </c>
      <c r="AD133" s="209"/>
      <c r="AE133" s="376" t="s">
        <v>195</v>
      </c>
      <c r="AF133" s="54"/>
      <c r="AG133" s="15"/>
    </row>
    <row r="134" spans="1:33" ht="14.5" customHeight="1" x14ac:dyDescent="0.35">
      <c r="A134" s="592"/>
      <c r="B134" s="286">
        <f t="shared" si="10"/>
        <v>115</v>
      </c>
      <c r="C134" s="586"/>
      <c r="E134" s="200" t="b">
        <v>0</v>
      </c>
      <c r="F134" s="589" t="s">
        <v>204</v>
      </c>
      <c r="H134" s="200" t="b">
        <v>0</v>
      </c>
      <c r="I134" s="210" t="s">
        <v>197</v>
      </c>
      <c r="J134" s="205"/>
      <c r="K134" s="588"/>
      <c r="L134" s="203" t="b">
        <v>0</v>
      </c>
      <c r="M134" s="44" t="s">
        <v>198</v>
      </c>
      <c r="N134" s="211">
        <v>6</v>
      </c>
      <c r="O134" s="203" t="b">
        <v>0</v>
      </c>
      <c r="P134" s="9" t="s">
        <v>198</v>
      </c>
      <c r="Q134" s="211">
        <v>0</v>
      </c>
      <c r="R134" s="575"/>
      <c r="S134" s="575"/>
      <c r="T134" s="575"/>
      <c r="U134" s="584" t="s">
        <v>136</v>
      </c>
      <c r="V134" s="584"/>
      <c r="W134" s="584"/>
      <c r="X134" s="204" t="b">
        <v>0</v>
      </c>
      <c r="Y134" s="9" t="s">
        <v>199</v>
      </c>
      <c r="Z134" s="575"/>
      <c r="AA134" s="15"/>
      <c r="AB134" s="217"/>
      <c r="AC134" s="22"/>
      <c r="AD134" s="15"/>
      <c r="AE134" s="574"/>
      <c r="AF134" s="53"/>
      <c r="AG134" s="15"/>
    </row>
    <row r="135" spans="1:33" x14ac:dyDescent="0.35">
      <c r="A135" s="592"/>
      <c r="B135" s="286">
        <f t="shared" si="10"/>
        <v>116</v>
      </c>
      <c r="C135" s="586"/>
      <c r="F135" s="589"/>
      <c r="H135" s="15"/>
      <c r="I135" s="15"/>
      <c r="J135" s="205"/>
      <c r="K135" s="9"/>
      <c r="L135" s="15"/>
      <c r="M135" s="15"/>
      <c r="N135" s="218"/>
      <c r="O135" s="9"/>
      <c r="P135" s="9"/>
      <c r="Q135" s="9"/>
      <c r="R135" s="575"/>
      <c r="S135" s="575"/>
      <c r="T135" s="575"/>
      <c r="U135" s="204" t="b">
        <v>0</v>
      </c>
      <c r="V135" s="205" t="s">
        <v>200</v>
      </c>
      <c r="W135" s="216"/>
      <c r="Y135" s="15"/>
      <c r="Z135" s="575"/>
      <c r="AA135" s="15"/>
      <c r="AB135" s="15"/>
      <c r="AC135" s="15"/>
      <c r="AD135" s="15"/>
      <c r="AE135" s="574"/>
      <c r="AF135" s="53"/>
      <c r="AG135" s="15"/>
    </row>
    <row r="136" spans="1:33" ht="30" customHeight="1" x14ac:dyDescent="0.35">
      <c r="A136" s="592"/>
      <c r="B136" s="286">
        <f t="shared" si="10"/>
        <v>117</v>
      </c>
      <c r="C136" s="586"/>
      <c r="E136"/>
      <c r="H136" s="15"/>
      <c r="I136" s="15"/>
      <c r="J136" s="373"/>
      <c r="K136" s="213"/>
      <c r="L136" s="213"/>
      <c r="M136" s="213"/>
      <c r="N136" s="213"/>
      <c r="O136" s="9"/>
      <c r="P136" s="9"/>
      <c r="Q136" s="9"/>
      <c r="R136" s="203" t="b">
        <v>0</v>
      </c>
      <c r="S136" s="9" t="s">
        <v>201</v>
      </c>
      <c r="T136" s="9" t="s">
        <v>135</v>
      </c>
      <c r="U136" s="575"/>
      <c r="V136" s="575"/>
      <c r="Y136" s="15"/>
      <c r="Z136" s="368"/>
      <c r="AA136" s="15"/>
      <c r="AB136" s="15"/>
      <c r="AC136" s="15"/>
      <c r="AD136" s="15"/>
      <c r="AE136" s="15"/>
      <c r="AF136" s="53"/>
      <c r="AG136" s="15"/>
    </row>
    <row r="137" spans="1:33" x14ac:dyDescent="0.35">
      <c r="A137" s="592"/>
      <c r="B137" s="286">
        <f t="shared" si="10"/>
        <v>118</v>
      </c>
      <c r="C137" s="586"/>
      <c r="E137"/>
      <c r="H137" s="212"/>
      <c r="I137" s="15"/>
      <c r="J137" s="373"/>
      <c r="K137" s="213"/>
      <c r="L137" s="213"/>
      <c r="M137" s="213"/>
      <c r="N137" s="213"/>
      <c r="O137" s="9"/>
      <c r="P137" s="9"/>
      <c r="Q137" s="9"/>
      <c r="R137" s="575"/>
      <c r="S137" s="575"/>
      <c r="T137" s="575"/>
      <c r="U137" s="204" t="b">
        <v>0</v>
      </c>
      <c r="V137" s="9" t="s">
        <v>202</v>
      </c>
      <c r="W137" s="9"/>
      <c r="Y137" s="15"/>
      <c r="Z137" s="368"/>
      <c r="AA137" s="15"/>
      <c r="AB137" s="15"/>
      <c r="AC137" s="15"/>
      <c r="AD137" s="15"/>
      <c r="AE137" s="15"/>
      <c r="AF137" s="53"/>
      <c r="AG137" s="15"/>
    </row>
    <row r="138" spans="1:33" ht="30" customHeight="1" thickBot="1" x14ac:dyDescent="0.4">
      <c r="A138" s="593"/>
      <c r="B138" s="286">
        <f t="shared" si="10"/>
        <v>119</v>
      </c>
      <c r="C138" s="587"/>
      <c r="D138" s="55"/>
      <c r="E138" s="55"/>
      <c r="F138" s="55"/>
      <c r="G138" s="55"/>
      <c r="H138" s="56"/>
      <c r="I138" s="56"/>
      <c r="J138" s="374"/>
      <c r="K138" s="57"/>
      <c r="L138" s="57"/>
      <c r="M138" s="57"/>
      <c r="N138" s="57"/>
      <c r="O138" s="58"/>
      <c r="P138" s="58"/>
      <c r="Q138" s="58"/>
      <c r="R138" s="575"/>
      <c r="S138" s="575"/>
      <c r="T138" s="575"/>
      <c r="U138" s="575"/>
      <c r="V138" s="575"/>
      <c r="W138" s="58"/>
      <c r="X138" s="392"/>
      <c r="Y138" s="56"/>
      <c r="Z138" s="369"/>
      <c r="AA138" s="56"/>
      <c r="AB138" s="56"/>
      <c r="AC138" s="56"/>
      <c r="AD138" s="56"/>
      <c r="AE138" s="56"/>
      <c r="AF138" s="59"/>
      <c r="AG138" s="15"/>
    </row>
    <row r="139" spans="1:33" ht="15" hidden="1" customHeight="1" thickBot="1" x14ac:dyDescent="0.4">
      <c r="A139" s="87"/>
      <c r="B139" s="232"/>
      <c r="C139" s="381"/>
      <c r="D139" s="229"/>
      <c r="E139" s="229"/>
      <c r="F139" s="229"/>
      <c r="G139" s="229"/>
      <c r="H139" s="229"/>
      <c r="I139" s="229"/>
      <c r="J139" s="379"/>
      <c r="K139" s="229"/>
      <c r="L139" s="229"/>
      <c r="M139" s="229"/>
      <c r="N139" s="229"/>
      <c r="O139" s="229"/>
      <c r="P139" s="229"/>
      <c r="Q139" s="229"/>
      <c r="R139" s="229"/>
      <c r="S139" s="229"/>
      <c r="T139" s="229"/>
      <c r="U139" s="379"/>
      <c r="V139" s="229"/>
      <c r="W139" s="229"/>
      <c r="X139" s="379"/>
      <c r="Y139" s="229"/>
      <c r="Z139" s="380"/>
      <c r="AA139" s="229"/>
      <c r="AB139" s="229"/>
      <c r="AC139" s="229"/>
      <c r="AD139" s="229"/>
      <c r="AE139" s="302"/>
      <c r="AF139" s="386"/>
      <c r="AG139" s="15"/>
    </row>
    <row r="140" spans="1:33" ht="5.15" customHeight="1" thickBot="1" x14ac:dyDescent="0.4">
      <c r="A140" s="87"/>
      <c r="B140" s="232"/>
      <c r="C140" s="381"/>
      <c r="D140" s="229"/>
      <c r="E140" s="229"/>
      <c r="F140" s="229"/>
      <c r="G140" s="229"/>
      <c r="H140" s="229"/>
      <c r="I140" s="229"/>
      <c r="J140" s="379"/>
      <c r="K140" s="229"/>
      <c r="L140" s="229"/>
      <c r="M140" s="229"/>
      <c r="N140" s="229"/>
      <c r="O140" s="229"/>
      <c r="P140" s="229"/>
      <c r="Q140" s="229"/>
      <c r="R140" s="229"/>
      <c r="S140" s="229"/>
      <c r="T140" s="229"/>
      <c r="U140" s="379"/>
      <c r="V140" s="229"/>
      <c r="W140" s="229"/>
      <c r="X140" s="379"/>
      <c r="Y140" s="229"/>
      <c r="Z140" s="380"/>
      <c r="AA140" s="229"/>
      <c r="AB140" s="229"/>
      <c r="AC140" s="229"/>
      <c r="AD140" s="229"/>
      <c r="AE140" s="229"/>
      <c r="AF140" s="302"/>
      <c r="AG140" s="87"/>
    </row>
    <row r="141" spans="1:33" ht="15" hidden="1" customHeight="1" thickBot="1" x14ac:dyDescent="0.4">
      <c r="A141" s="87"/>
      <c r="B141" s="232"/>
      <c r="C141" s="381"/>
      <c r="D141" s="229"/>
      <c r="E141" s="229"/>
      <c r="F141" s="229"/>
      <c r="G141" s="229"/>
      <c r="H141" s="229"/>
      <c r="I141" s="229"/>
      <c r="J141" s="379"/>
      <c r="K141" s="229"/>
      <c r="L141" s="229"/>
      <c r="M141" s="229"/>
      <c r="N141" s="229"/>
      <c r="O141" s="229"/>
      <c r="P141" s="229"/>
      <c r="Q141" s="229"/>
      <c r="R141" s="229"/>
      <c r="S141" s="229"/>
      <c r="T141" s="229"/>
      <c r="U141" s="379"/>
      <c r="V141" s="229"/>
      <c r="W141" s="229"/>
      <c r="X141" s="379"/>
      <c r="Y141" s="229"/>
      <c r="Z141" s="380"/>
      <c r="AA141" s="229"/>
      <c r="AB141" s="229"/>
      <c r="AC141" s="229"/>
      <c r="AD141" s="229"/>
      <c r="AE141" s="229"/>
      <c r="AF141" s="302"/>
      <c r="AG141"/>
    </row>
    <row r="142" spans="1:33" ht="29.15" customHeight="1" x14ac:dyDescent="0.35">
      <c r="A142" s="591">
        <f>A130+1</f>
        <v>12</v>
      </c>
      <c r="B142" s="286">
        <f>B130+10</f>
        <v>121</v>
      </c>
      <c r="C142" s="585" t="str">
        <f>VLOOKUP(A142,INputs!$G$3:$O$22,7,FALSE)</f>
        <v>Please fill out Sensitivity Labels Tab</v>
      </c>
      <c r="D142" s="8"/>
      <c r="E142" s="8"/>
      <c r="F142" s="581" t="s">
        <v>136</v>
      </c>
      <c r="G142" s="581"/>
      <c r="H142" s="581" t="s">
        <v>136</v>
      </c>
      <c r="I142" s="581"/>
      <c r="J142" s="573" t="str">
        <f>J$10</f>
        <v>Select a check box</v>
      </c>
      <c r="K142" s="573"/>
      <c r="L142" s="573" t="s">
        <v>136</v>
      </c>
      <c r="M142" s="573"/>
      <c r="N142" s="573"/>
      <c r="O142" s="573" t="s">
        <v>136</v>
      </c>
      <c r="P142" s="573"/>
      <c r="Q142" s="573"/>
      <c r="R142" s="582" t="s">
        <v>179</v>
      </c>
      <c r="S142" s="582"/>
      <c r="T142" s="397" t="s">
        <v>135</v>
      </c>
      <c r="U142" s="583" t="s">
        <v>180</v>
      </c>
      <c r="V142" s="583"/>
      <c r="W142" s="50"/>
      <c r="X142" s="393"/>
      <c r="Y142" s="580" t="s">
        <v>136</v>
      </c>
      <c r="Z142" s="580"/>
      <c r="AA142" s="20"/>
      <c r="AB142" s="577"/>
      <c r="AC142" s="577"/>
      <c r="AD142" s="208"/>
      <c r="AE142" s="376" t="s">
        <v>181</v>
      </c>
      <c r="AF142" s="54"/>
      <c r="AG142" s="20"/>
    </row>
    <row r="143" spans="1:33" x14ac:dyDescent="0.35">
      <c r="A143" s="592"/>
      <c r="B143" s="286">
        <f>B142+1</f>
        <v>122</v>
      </c>
      <c r="C143" s="586"/>
      <c r="D143" s="8"/>
      <c r="E143" s="8"/>
      <c r="F143" s="208"/>
      <c r="G143" s="208"/>
      <c r="H143" s="208"/>
      <c r="I143" s="208"/>
      <c r="J143" s="376"/>
      <c r="K143" s="376"/>
      <c r="L143" s="376"/>
      <c r="M143" s="376"/>
      <c r="N143" s="376"/>
      <c r="O143" s="376"/>
      <c r="P143" s="376"/>
      <c r="Q143" s="376"/>
      <c r="R143" s="575"/>
      <c r="S143" s="575"/>
      <c r="T143" s="575"/>
      <c r="U143" s="396"/>
      <c r="V143" s="390" t="s">
        <v>137</v>
      </c>
      <c r="W143" s="216"/>
      <c r="X143" s="393"/>
      <c r="Y143" s="395"/>
      <c r="Z143" s="395"/>
      <c r="AA143" s="20"/>
      <c r="AB143" s="208"/>
      <c r="AC143" s="530" t="s">
        <v>136</v>
      </c>
      <c r="AD143" s="208"/>
      <c r="AE143" s="573"/>
      <c r="AF143" s="54"/>
      <c r="AG143" s="20"/>
    </row>
    <row r="144" spans="1:33" ht="30.5" x14ac:dyDescent="0.35">
      <c r="A144" s="592"/>
      <c r="B144" s="286">
        <f t="shared" ref="B144:B150" si="11">B143+1</f>
        <v>123</v>
      </c>
      <c r="C144" s="586"/>
      <c r="E144" s="200" t="b">
        <v>0</v>
      </c>
      <c r="F144" s="3" t="s">
        <v>182</v>
      </c>
      <c r="H144" s="200" t="b">
        <v>0</v>
      </c>
      <c r="I144" s="210" t="s">
        <v>183</v>
      </c>
      <c r="J144" s="398" t="b">
        <v>0</v>
      </c>
      <c r="K144" s="196" t="s">
        <v>184</v>
      </c>
      <c r="L144" s="203" t="b">
        <v>0</v>
      </c>
      <c r="M144" s="9" t="s">
        <v>185</v>
      </c>
      <c r="N144" s="213"/>
      <c r="O144" s="203" t="b">
        <v>0</v>
      </c>
      <c r="P144" s="9" t="s">
        <v>186</v>
      </c>
      <c r="Q144" s="9"/>
      <c r="R144" s="575"/>
      <c r="S144" s="575"/>
      <c r="T144" s="575"/>
      <c r="U144" s="575"/>
      <c r="V144" s="575"/>
      <c r="W144" s="216"/>
      <c r="X144" s="204" t="b">
        <v>0</v>
      </c>
      <c r="Y144" s="205" t="s">
        <v>187</v>
      </c>
      <c r="Z144" s="371"/>
      <c r="AA144" s="15"/>
      <c r="AB144" s="529" t="b">
        <v>0</v>
      </c>
      <c r="AC144" s="389" t="s">
        <v>188</v>
      </c>
      <c r="AD144" s="15"/>
      <c r="AE144" s="573"/>
      <c r="AF144" s="53"/>
      <c r="AG144" s="15"/>
    </row>
    <row r="145" spans="1:33" ht="35.15" customHeight="1" x14ac:dyDescent="0.35">
      <c r="A145" s="592"/>
      <c r="B145" s="286">
        <f t="shared" si="11"/>
        <v>124</v>
      </c>
      <c r="C145" s="586"/>
      <c r="E145" s="200" t="b">
        <v>0</v>
      </c>
      <c r="F145" s="196" t="s">
        <v>189</v>
      </c>
      <c r="H145" s="15"/>
      <c r="I145" s="210"/>
      <c r="J145" s="204" t="b">
        <v>0</v>
      </c>
      <c r="K145" s="588" t="s">
        <v>190</v>
      </c>
      <c r="L145" s="204" t="b">
        <v>0</v>
      </c>
      <c r="M145" s="205" t="s">
        <v>191</v>
      </c>
      <c r="N145" s="207">
        <v>44197</v>
      </c>
      <c r="O145" s="204" t="b">
        <v>0</v>
      </c>
      <c r="P145" s="205" t="s">
        <v>185</v>
      </c>
      <c r="Q145" s="9"/>
      <c r="R145" s="203" t="b">
        <v>0</v>
      </c>
      <c r="S145" s="9" t="s">
        <v>192</v>
      </c>
      <c r="T145" s="9" t="s">
        <v>135</v>
      </c>
      <c r="U145" s="204" t="b">
        <v>0</v>
      </c>
      <c r="V145" s="390" t="s">
        <v>193</v>
      </c>
      <c r="W145" s="215"/>
      <c r="X145" s="204" t="b">
        <v>0</v>
      </c>
      <c r="Y145" s="205" t="s">
        <v>194</v>
      </c>
      <c r="Z145" s="371"/>
      <c r="AA145" s="15"/>
      <c r="AB145" s="217"/>
      <c r="AC145" s="208" t="s">
        <v>137</v>
      </c>
      <c r="AD145" s="209"/>
      <c r="AE145" s="376" t="s">
        <v>195</v>
      </c>
      <c r="AF145" s="54"/>
      <c r="AG145" s="15"/>
    </row>
    <row r="146" spans="1:33" ht="14.5" customHeight="1" x14ac:dyDescent="0.35">
      <c r="A146" s="592"/>
      <c r="B146" s="286">
        <f t="shared" si="11"/>
        <v>125</v>
      </c>
      <c r="C146" s="586"/>
      <c r="E146" s="200" t="b">
        <v>0</v>
      </c>
      <c r="F146" s="589" t="s">
        <v>204</v>
      </c>
      <c r="H146" s="200" t="b">
        <v>0</v>
      </c>
      <c r="I146" s="210" t="s">
        <v>197</v>
      </c>
      <c r="J146" s="205"/>
      <c r="K146" s="588"/>
      <c r="L146" s="203" t="b">
        <v>0</v>
      </c>
      <c r="M146" s="44" t="s">
        <v>198</v>
      </c>
      <c r="N146" s="211">
        <v>6</v>
      </c>
      <c r="O146" s="203" t="b">
        <v>0</v>
      </c>
      <c r="P146" s="9" t="s">
        <v>198</v>
      </c>
      <c r="Q146" s="211">
        <v>0</v>
      </c>
      <c r="R146" s="575"/>
      <c r="S146" s="575"/>
      <c r="T146" s="575"/>
      <c r="U146" s="584" t="s">
        <v>136</v>
      </c>
      <c r="V146" s="584"/>
      <c r="W146" s="584"/>
      <c r="X146" s="204" t="b">
        <v>0</v>
      </c>
      <c r="Y146" s="9" t="s">
        <v>199</v>
      </c>
      <c r="Z146" s="575"/>
      <c r="AA146" s="15"/>
      <c r="AB146" s="217"/>
      <c r="AC146" s="22"/>
      <c r="AD146" s="15"/>
      <c r="AE146" s="574"/>
      <c r="AF146" s="53"/>
      <c r="AG146" s="15"/>
    </row>
    <row r="147" spans="1:33" x14ac:dyDescent="0.35">
      <c r="A147" s="592"/>
      <c r="B147" s="286">
        <f t="shared" si="11"/>
        <v>126</v>
      </c>
      <c r="C147" s="586"/>
      <c r="F147" s="589"/>
      <c r="H147" s="15"/>
      <c r="I147" s="15"/>
      <c r="J147" s="205"/>
      <c r="K147" s="9"/>
      <c r="L147" s="15"/>
      <c r="M147" s="15"/>
      <c r="N147" s="218"/>
      <c r="O147" s="9"/>
      <c r="P147" s="9"/>
      <c r="Q147" s="9"/>
      <c r="R147" s="575"/>
      <c r="S147" s="575"/>
      <c r="T147" s="575"/>
      <c r="U147" s="204" t="b">
        <v>0</v>
      </c>
      <c r="V147" s="205" t="s">
        <v>200</v>
      </c>
      <c r="W147" s="216"/>
      <c r="Y147" s="15"/>
      <c r="Z147" s="575"/>
      <c r="AA147" s="15"/>
      <c r="AB147" s="15"/>
      <c r="AC147" s="15"/>
      <c r="AD147" s="15"/>
      <c r="AE147" s="574"/>
      <c r="AF147" s="53"/>
      <c r="AG147" s="15"/>
    </row>
    <row r="148" spans="1:33" ht="30" customHeight="1" x14ac:dyDescent="0.35">
      <c r="A148" s="592"/>
      <c r="B148" s="286">
        <f t="shared" si="11"/>
        <v>127</v>
      </c>
      <c r="C148" s="586"/>
      <c r="E148"/>
      <c r="H148" s="15"/>
      <c r="I148" s="15"/>
      <c r="J148" s="373"/>
      <c r="K148" s="213"/>
      <c r="L148" s="213"/>
      <c r="M148" s="213"/>
      <c r="N148" s="213"/>
      <c r="O148" s="9"/>
      <c r="P148" s="9"/>
      <c r="Q148" s="9"/>
      <c r="R148" s="203" t="b">
        <v>0</v>
      </c>
      <c r="S148" s="9" t="s">
        <v>201</v>
      </c>
      <c r="T148" s="9" t="s">
        <v>135</v>
      </c>
      <c r="U148" s="575"/>
      <c r="V148" s="575"/>
      <c r="Y148" s="15"/>
      <c r="Z148" s="368"/>
      <c r="AA148" s="15"/>
      <c r="AB148" s="15"/>
      <c r="AC148" s="15"/>
      <c r="AD148" s="15"/>
      <c r="AE148" s="15"/>
      <c r="AF148" s="53"/>
      <c r="AG148" s="15"/>
    </row>
    <row r="149" spans="1:33" x14ac:dyDescent="0.35">
      <c r="A149" s="592"/>
      <c r="B149" s="286">
        <f t="shared" si="11"/>
        <v>128</v>
      </c>
      <c r="C149" s="586"/>
      <c r="E149"/>
      <c r="H149" s="212"/>
      <c r="I149" s="15"/>
      <c r="J149" s="373"/>
      <c r="K149" s="213"/>
      <c r="L149" s="213"/>
      <c r="M149" s="213"/>
      <c r="N149" s="213"/>
      <c r="O149" s="9"/>
      <c r="P149" s="9"/>
      <c r="Q149" s="9"/>
      <c r="R149" s="575"/>
      <c r="S149" s="575"/>
      <c r="T149" s="575"/>
      <c r="U149" s="204" t="b">
        <v>0</v>
      </c>
      <c r="V149" s="9" t="s">
        <v>202</v>
      </c>
      <c r="W149" s="9"/>
      <c r="Y149" s="15"/>
      <c r="Z149" s="368"/>
      <c r="AA149" s="15"/>
      <c r="AB149" s="15"/>
      <c r="AC149" s="15"/>
      <c r="AD149" s="15"/>
      <c r="AE149" s="15"/>
      <c r="AF149" s="53"/>
      <c r="AG149" s="15"/>
    </row>
    <row r="150" spans="1:33" ht="30" customHeight="1" thickBot="1" x14ac:dyDescent="0.4">
      <c r="A150" s="593"/>
      <c r="B150" s="286">
        <f t="shared" si="11"/>
        <v>129</v>
      </c>
      <c r="C150" s="587"/>
      <c r="D150" s="55"/>
      <c r="E150" s="55"/>
      <c r="F150" s="55"/>
      <c r="G150" s="55"/>
      <c r="H150" s="56"/>
      <c r="I150" s="56"/>
      <c r="J150" s="374"/>
      <c r="K150" s="57"/>
      <c r="L150" s="57"/>
      <c r="M150" s="57"/>
      <c r="N150" s="57"/>
      <c r="O150" s="58"/>
      <c r="P150" s="58"/>
      <c r="Q150" s="58"/>
      <c r="R150" s="575"/>
      <c r="S150" s="575"/>
      <c r="T150" s="575"/>
      <c r="U150" s="575"/>
      <c r="V150" s="575"/>
      <c r="W150" s="58"/>
      <c r="X150" s="392"/>
      <c r="Y150" s="56"/>
      <c r="Z150" s="369"/>
      <c r="AA150" s="56"/>
      <c r="AB150" s="56"/>
      <c r="AC150" s="56"/>
      <c r="AD150" s="56"/>
      <c r="AE150" s="56"/>
      <c r="AF150" s="59"/>
      <c r="AG150" s="15"/>
    </row>
    <row r="151" spans="1:33" ht="15" hidden="1" customHeight="1" thickBot="1" x14ac:dyDescent="0.4">
      <c r="A151" s="87"/>
      <c r="B151" s="232"/>
      <c r="C151" s="382"/>
      <c r="D151" s="383"/>
      <c r="E151" s="383"/>
      <c r="F151" s="383"/>
      <c r="G151" s="383"/>
      <c r="H151" s="383"/>
      <c r="I151" s="383"/>
      <c r="J151" s="384"/>
      <c r="K151" s="383"/>
      <c r="L151" s="383"/>
      <c r="M151" s="383"/>
      <c r="N151" s="383"/>
      <c r="O151" s="383"/>
      <c r="P151" s="383"/>
      <c r="Q151" s="383"/>
      <c r="R151" s="383"/>
      <c r="S151" s="383"/>
      <c r="T151" s="383"/>
      <c r="U151" s="384"/>
      <c r="V151" s="383"/>
      <c r="W151" s="383"/>
      <c r="X151" s="384"/>
      <c r="Y151" s="383"/>
      <c r="Z151" s="385"/>
      <c r="AA151" s="383"/>
      <c r="AB151" s="383"/>
      <c r="AC151" s="383"/>
      <c r="AD151" s="383"/>
      <c r="AE151" s="383"/>
      <c r="AF151" s="386"/>
      <c r="AG151" s="87"/>
    </row>
    <row r="152" spans="1:33" ht="5.15" customHeight="1" thickBot="1" x14ac:dyDescent="0.4">
      <c r="A152" s="87"/>
      <c r="B152" s="232"/>
      <c r="C152" s="381"/>
      <c r="D152" s="229"/>
      <c r="E152" s="229"/>
      <c r="F152" s="229"/>
      <c r="G152" s="229"/>
      <c r="H152" s="229"/>
      <c r="I152" s="229"/>
      <c r="J152" s="379"/>
      <c r="K152" s="229"/>
      <c r="L152" s="229"/>
      <c r="M152" s="229"/>
      <c r="N152" s="229"/>
      <c r="O152" s="229"/>
      <c r="P152" s="229"/>
      <c r="Q152" s="229"/>
      <c r="R152" s="229"/>
      <c r="S152" s="229"/>
      <c r="T152" s="229"/>
      <c r="U152" s="379"/>
      <c r="V152" s="229"/>
      <c r="W152" s="229"/>
      <c r="X152" s="379"/>
      <c r="Y152" s="229"/>
      <c r="Z152" s="380"/>
      <c r="AA152" s="229"/>
      <c r="AB152" s="229"/>
      <c r="AC152" s="229"/>
      <c r="AD152" s="229"/>
      <c r="AE152" s="229"/>
      <c r="AF152" s="302"/>
      <c r="AG152" s="87"/>
    </row>
    <row r="153" spans="1:33" ht="15" hidden="1" customHeight="1" thickBot="1" x14ac:dyDescent="0.4">
      <c r="A153" s="87"/>
      <c r="B153" s="232"/>
      <c r="C153" s="219"/>
      <c r="D153" s="220"/>
      <c r="E153" s="220"/>
      <c r="F153" s="220"/>
      <c r="G153" s="220"/>
      <c r="H153" s="220"/>
      <c r="I153" s="220"/>
      <c r="J153" s="372"/>
      <c r="K153" s="220"/>
      <c r="L153" s="220"/>
      <c r="M153" s="220"/>
      <c r="N153" s="220"/>
      <c r="O153" s="220"/>
      <c r="P153" s="220"/>
      <c r="Q153" s="220"/>
      <c r="R153" s="220"/>
      <c r="S153" s="220"/>
      <c r="T153" s="220"/>
      <c r="U153" s="372"/>
      <c r="V153" s="220"/>
      <c r="W153" s="220"/>
      <c r="X153" s="372"/>
      <c r="Y153" s="220"/>
      <c r="Z153" s="370"/>
      <c r="AA153" s="220"/>
      <c r="AB153" s="220"/>
      <c r="AC153" s="220"/>
      <c r="AD153" s="220"/>
      <c r="AE153" s="220"/>
      <c r="AF153" s="221"/>
      <c r="AG153" s="87"/>
    </row>
    <row r="154" spans="1:33" ht="29.15" customHeight="1" x14ac:dyDescent="0.35">
      <c r="A154" s="591">
        <f>A142+1</f>
        <v>13</v>
      </c>
      <c r="B154" s="286">
        <f>B142+10</f>
        <v>131</v>
      </c>
      <c r="C154" s="585" t="str">
        <f>VLOOKUP(A154,INputs!$G$3:$O$22,7,FALSE)</f>
        <v>Please fill out Sensitivity Labels Tab</v>
      </c>
      <c r="D154" s="47"/>
      <c r="E154" s="47"/>
      <c r="F154" s="577" t="s">
        <v>136</v>
      </c>
      <c r="G154" s="577"/>
      <c r="H154" s="577" t="s">
        <v>136</v>
      </c>
      <c r="I154" s="577"/>
      <c r="J154" s="578" t="str">
        <f>J$10</f>
        <v>Select a check box</v>
      </c>
      <c r="K154" s="578"/>
      <c r="L154" s="578" t="s">
        <v>136</v>
      </c>
      <c r="M154" s="578"/>
      <c r="N154" s="578"/>
      <c r="O154" s="578" t="s">
        <v>136</v>
      </c>
      <c r="P154" s="578"/>
      <c r="Q154" s="578"/>
      <c r="R154" s="582" t="s">
        <v>179</v>
      </c>
      <c r="S154" s="582"/>
      <c r="T154" s="397" t="s">
        <v>135</v>
      </c>
      <c r="U154" s="583" t="s">
        <v>180</v>
      </c>
      <c r="V154" s="583"/>
      <c r="W154" s="50"/>
      <c r="X154" s="391"/>
      <c r="Y154" s="576" t="s">
        <v>136</v>
      </c>
      <c r="Z154" s="576"/>
      <c r="AA154" s="51"/>
      <c r="AB154" s="577"/>
      <c r="AC154" s="577"/>
      <c r="AD154" s="48"/>
      <c r="AE154" s="49" t="s">
        <v>181</v>
      </c>
      <c r="AF154" s="52"/>
      <c r="AG154" s="20"/>
    </row>
    <row r="155" spans="1:33" x14ac:dyDescent="0.35">
      <c r="A155" s="592"/>
      <c r="B155" s="286">
        <f>B154+1</f>
        <v>132</v>
      </c>
      <c r="C155" s="586"/>
      <c r="D155" s="8"/>
      <c r="E155" s="8"/>
      <c r="F155" s="208"/>
      <c r="G155" s="208"/>
      <c r="H155" s="208"/>
      <c r="I155" s="208"/>
      <c r="J155" s="376"/>
      <c r="K155" s="376"/>
      <c r="L155" s="376"/>
      <c r="M155" s="376"/>
      <c r="N155" s="376"/>
      <c r="O155" s="376"/>
      <c r="P155" s="376"/>
      <c r="Q155" s="376"/>
      <c r="R155" s="575"/>
      <c r="S155" s="575"/>
      <c r="T155" s="575"/>
      <c r="U155" s="396"/>
      <c r="V155" s="390" t="s">
        <v>137</v>
      </c>
      <c r="W155" s="216"/>
      <c r="X155" s="393"/>
      <c r="Y155" s="395"/>
      <c r="Z155" s="395"/>
      <c r="AA155" s="20"/>
      <c r="AB155" s="208"/>
      <c r="AC155" s="530" t="s">
        <v>136</v>
      </c>
      <c r="AD155" s="208"/>
      <c r="AE155" s="573"/>
      <c r="AF155" s="54"/>
      <c r="AG155" s="20"/>
    </row>
    <row r="156" spans="1:33" ht="30.5" x14ac:dyDescent="0.35">
      <c r="A156" s="592"/>
      <c r="B156" s="286">
        <f t="shared" ref="B156:B162" si="12">B155+1</f>
        <v>133</v>
      </c>
      <c r="C156" s="586"/>
      <c r="E156" s="200" t="b">
        <v>0</v>
      </c>
      <c r="F156" s="3" t="s">
        <v>182</v>
      </c>
      <c r="H156" s="200" t="b">
        <v>0</v>
      </c>
      <c r="I156" s="210" t="s">
        <v>183</v>
      </c>
      <c r="J156" s="201" t="b">
        <v>0</v>
      </c>
      <c r="K156" s="202" t="s">
        <v>184</v>
      </c>
      <c r="L156" s="203" t="b">
        <v>0</v>
      </c>
      <c r="M156" s="9" t="s">
        <v>185</v>
      </c>
      <c r="N156" s="213"/>
      <c r="O156" s="203" t="b">
        <v>0</v>
      </c>
      <c r="P156" s="9" t="s">
        <v>186</v>
      </c>
      <c r="Q156" s="9"/>
      <c r="R156" s="575"/>
      <c r="S156" s="575"/>
      <c r="T156" s="575"/>
      <c r="U156" s="575"/>
      <c r="V156" s="575"/>
      <c r="W156" s="216"/>
      <c r="X156" s="204" t="b">
        <v>0</v>
      </c>
      <c r="Y156" s="205" t="s">
        <v>187</v>
      </c>
      <c r="Z156" s="371"/>
      <c r="AA156" s="15"/>
      <c r="AB156" s="529" t="b">
        <v>0</v>
      </c>
      <c r="AC156" s="389" t="s">
        <v>188</v>
      </c>
      <c r="AD156" s="15"/>
      <c r="AE156" s="573"/>
      <c r="AF156" s="53"/>
      <c r="AG156" s="15"/>
    </row>
    <row r="157" spans="1:33" ht="35.15" customHeight="1" x14ac:dyDescent="0.35">
      <c r="A157" s="592"/>
      <c r="B157" s="286">
        <f t="shared" si="12"/>
        <v>134</v>
      </c>
      <c r="C157" s="586"/>
      <c r="E157" s="200" t="b">
        <v>0</v>
      </c>
      <c r="F157" s="196" t="s">
        <v>189</v>
      </c>
      <c r="H157" s="15"/>
      <c r="I157" s="210"/>
      <c r="J157" s="204" t="b">
        <v>0</v>
      </c>
      <c r="K157" s="588" t="s">
        <v>190</v>
      </c>
      <c r="L157" s="204" t="b">
        <v>0</v>
      </c>
      <c r="M157" s="205" t="s">
        <v>191</v>
      </c>
      <c r="N157" s="387">
        <v>44197</v>
      </c>
      <c r="O157" s="204" t="b">
        <v>0</v>
      </c>
      <c r="P157" s="205" t="s">
        <v>185</v>
      </c>
      <c r="Q157" s="205"/>
      <c r="R157" s="203" t="b">
        <v>0</v>
      </c>
      <c r="S157" s="9" t="s">
        <v>192</v>
      </c>
      <c r="T157" s="9" t="s">
        <v>135</v>
      </c>
      <c r="U157" s="204" t="b">
        <v>0</v>
      </c>
      <c r="V157" s="390" t="s">
        <v>193</v>
      </c>
      <c r="W157" s="215"/>
      <c r="X157" s="204" t="b">
        <v>0</v>
      </c>
      <c r="Y157" s="205" t="s">
        <v>194</v>
      </c>
      <c r="Z157" s="371"/>
      <c r="AA157" s="15"/>
      <c r="AB157" s="217"/>
      <c r="AC157" s="208" t="s">
        <v>137</v>
      </c>
      <c r="AD157" s="209"/>
      <c r="AE157" s="376" t="s">
        <v>195</v>
      </c>
      <c r="AF157" s="54"/>
      <c r="AG157" s="15"/>
    </row>
    <row r="158" spans="1:33" ht="14.5" customHeight="1" x14ac:dyDescent="0.35">
      <c r="A158" s="592"/>
      <c r="B158" s="286">
        <f t="shared" si="12"/>
        <v>135</v>
      </c>
      <c r="C158" s="586"/>
      <c r="E158" s="200" t="b">
        <v>0</v>
      </c>
      <c r="F158" s="589" t="s">
        <v>204</v>
      </c>
      <c r="H158" s="200" t="b">
        <v>0</v>
      </c>
      <c r="I158" s="210" t="s">
        <v>197</v>
      </c>
      <c r="J158" s="205"/>
      <c r="K158" s="588"/>
      <c r="L158" s="203" t="b">
        <v>0</v>
      </c>
      <c r="M158" s="44" t="s">
        <v>198</v>
      </c>
      <c r="N158" s="211">
        <v>6</v>
      </c>
      <c r="O158" s="203" t="b">
        <v>0</v>
      </c>
      <c r="P158" s="9" t="s">
        <v>198</v>
      </c>
      <c r="Q158" s="211">
        <v>0</v>
      </c>
      <c r="R158" s="575"/>
      <c r="S158" s="575"/>
      <c r="T158" s="575"/>
      <c r="U158" s="584" t="s">
        <v>136</v>
      </c>
      <c r="V158" s="584"/>
      <c r="W158" s="584"/>
      <c r="X158" s="204" t="b">
        <v>0</v>
      </c>
      <c r="Y158" s="9" t="s">
        <v>199</v>
      </c>
      <c r="Z158" s="575"/>
      <c r="AA158" s="15"/>
      <c r="AB158" s="217"/>
      <c r="AC158" s="22"/>
      <c r="AD158" s="15"/>
      <c r="AE158" s="574"/>
      <c r="AF158" s="53"/>
      <c r="AG158" s="15"/>
    </row>
    <row r="159" spans="1:33" x14ac:dyDescent="0.35">
      <c r="A159" s="592"/>
      <c r="B159" s="286">
        <f t="shared" si="12"/>
        <v>136</v>
      </c>
      <c r="C159" s="586"/>
      <c r="F159" s="589"/>
      <c r="H159" s="15"/>
      <c r="I159" s="15"/>
      <c r="J159" s="205"/>
      <c r="K159" s="9"/>
      <c r="L159" s="15"/>
      <c r="M159" s="15"/>
      <c r="N159" s="218"/>
      <c r="O159" s="9"/>
      <c r="P159" s="9"/>
      <c r="Q159" s="9"/>
      <c r="R159" s="575"/>
      <c r="S159" s="575"/>
      <c r="T159" s="575"/>
      <c r="U159" s="204" t="b">
        <v>0</v>
      </c>
      <c r="V159" s="205" t="s">
        <v>200</v>
      </c>
      <c r="W159" s="216"/>
      <c r="Y159" s="15"/>
      <c r="Z159" s="575"/>
      <c r="AA159" s="15"/>
      <c r="AB159" s="15"/>
      <c r="AC159" s="15"/>
      <c r="AD159" s="15"/>
      <c r="AE159" s="574"/>
      <c r="AF159" s="53"/>
      <c r="AG159" s="15"/>
    </row>
    <row r="160" spans="1:33" ht="30" customHeight="1" x14ac:dyDescent="0.35">
      <c r="A160" s="592"/>
      <c r="B160" s="286">
        <f t="shared" si="12"/>
        <v>137</v>
      </c>
      <c r="C160" s="586"/>
      <c r="E160"/>
      <c r="H160" s="15"/>
      <c r="I160" s="15"/>
      <c r="J160" s="373"/>
      <c r="K160" s="213"/>
      <c r="L160" s="213"/>
      <c r="M160" s="213"/>
      <c r="N160" s="213"/>
      <c r="O160" s="9"/>
      <c r="P160" s="9"/>
      <c r="Q160" s="9"/>
      <c r="R160" s="203" t="b">
        <v>0</v>
      </c>
      <c r="S160" s="9" t="s">
        <v>201</v>
      </c>
      <c r="T160" s="9" t="s">
        <v>135</v>
      </c>
      <c r="U160" s="575"/>
      <c r="V160" s="575"/>
      <c r="Y160" s="15"/>
      <c r="Z160" s="368"/>
      <c r="AA160" s="15"/>
      <c r="AB160" s="15"/>
      <c r="AC160" s="15"/>
      <c r="AD160" s="15"/>
      <c r="AE160" s="15"/>
      <c r="AF160" s="53"/>
      <c r="AG160" s="15"/>
    </row>
    <row r="161" spans="1:33" x14ac:dyDescent="0.35">
      <c r="A161" s="592"/>
      <c r="B161" s="286">
        <f t="shared" si="12"/>
        <v>138</v>
      </c>
      <c r="C161" s="586"/>
      <c r="E161"/>
      <c r="H161" s="212"/>
      <c r="I161" s="15"/>
      <c r="J161" s="373"/>
      <c r="K161" s="213"/>
      <c r="L161" s="213"/>
      <c r="M161" s="213"/>
      <c r="N161" s="213"/>
      <c r="O161" s="9"/>
      <c r="P161" s="9"/>
      <c r="Q161" s="9"/>
      <c r="R161" s="575"/>
      <c r="S161" s="575"/>
      <c r="T161" s="575"/>
      <c r="U161" s="204" t="b">
        <v>0</v>
      </c>
      <c r="V161" s="9" t="s">
        <v>202</v>
      </c>
      <c r="W161" s="9"/>
      <c r="Y161" s="15"/>
      <c r="Z161" s="368"/>
      <c r="AA161" s="15"/>
      <c r="AB161" s="15"/>
      <c r="AC161" s="15"/>
      <c r="AD161" s="15"/>
      <c r="AE161" s="15"/>
      <c r="AF161" s="53"/>
      <c r="AG161" s="15"/>
    </row>
    <row r="162" spans="1:33" ht="30" customHeight="1" thickBot="1" x14ac:dyDescent="0.4">
      <c r="A162" s="593"/>
      <c r="B162" s="286">
        <f t="shared" si="12"/>
        <v>139</v>
      </c>
      <c r="C162" s="587"/>
      <c r="D162" s="55"/>
      <c r="E162" s="55"/>
      <c r="F162" s="55"/>
      <c r="G162" s="55"/>
      <c r="H162" s="56"/>
      <c r="I162" s="56"/>
      <c r="J162" s="374"/>
      <c r="K162" s="57"/>
      <c r="L162" s="57"/>
      <c r="M162" s="57"/>
      <c r="N162" s="57"/>
      <c r="O162" s="58"/>
      <c r="P162" s="58"/>
      <c r="Q162" s="58"/>
      <c r="R162" s="575"/>
      <c r="S162" s="575"/>
      <c r="T162" s="575"/>
      <c r="U162" s="575"/>
      <c r="V162" s="575"/>
      <c r="W162" s="58"/>
      <c r="X162" s="392"/>
      <c r="Y162" s="56"/>
      <c r="Z162" s="369"/>
      <c r="AA162" s="56"/>
      <c r="AB162" s="56"/>
      <c r="AC162" s="56"/>
      <c r="AD162" s="56"/>
      <c r="AE162" s="56"/>
      <c r="AF162" s="59"/>
      <c r="AG162" s="15"/>
    </row>
    <row r="163" spans="1:33" ht="15" hidden="1" customHeight="1" thickBot="1" x14ac:dyDescent="0.4">
      <c r="A163" s="87"/>
      <c r="B163" s="232"/>
      <c r="C163" s="382"/>
      <c r="D163" s="383"/>
      <c r="E163" s="383"/>
      <c r="F163" s="383"/>
      <c r="G163" s="383"/>
      <c r="H163" s="383"/>
      <c r="I163" s="383"/>
      <c r="J163" s="384"/>
      <c r="K163" s="383"/>
      <c r="L163" s="383"/>
      <c r="M163" s="383"/>
      <c r="N163" s="383"/>
      <c r="O163" s="383"/>
      <c r="P163" s="383"/>
      <c r="Q163" s="383"/>
      <c r="R163" s="383"/>
      <c r="S163" s="383"/>
      <c r="T163" s="383"/>
      <c r="U163" s="384"/>
      <c r="V163" s="383"/>
      <c r="W163" s="383"/>
      <c r="X163" s="384"/>
      <c r="Y163" s="383"/>
      <c r="Z163" s="385"/>
      <c r="AA163" s="383"/>
      <c r="AB163" s="383"/>
      <c r="AC163" s="383"/>
      <c r="AD163" s="383"/>
      <c r="AE163" s="383"/>
      <c r="AF163" s="386"/>
      <c r="AG163" s="87"/>
    </row>
    <row r="164" spans="1:33" ht="5.15" customHeight="1" thickBot="1" x14ac:dyDescent="0.4">
      <c r="A164" s="87"/>
      <c r="B164" s="232"/>
      <c r="C164" s="381"/>
      <c r="D164" s="229"/>
      <c r="E164" s="229"/>
      <c r="F164" s="229"/>
      <c r="G164" s="229"/>
      <c r="H164" s="229"/>
      <c r="I164" s="229"/>
      <c r="J164" s="379"/>
      <c r="K164" s="229"/>
      <c r="L164" s="229"/>
      <c r="M164" s="229"/>
      <c r="N164" s="229"/>
      <c r="O164" s="229"/>
      <c r="P164" s="229"/>
      <c r="Q164" s="229"/>
      <c r="R164" s="229"/>
      <c r="S164" s="229"/>
      <c r="T164" s="229"/>
      <c r="U164" s="379"/>
      <c r="V164" s="229"/>
      <c r="W164" s="229"/>
      <c r="X164" s="379"/>
      <c r="Y164" s="229"/>
      <c r="Z164" s="380"/>
      <c r="AA164" s="229"/>
      <c r="AB164" s="229"/>
      <c r="AC164" s="229"/>
      <c r="AD164" s="229"/>
      <c r="AE164" s="229"/>
      <c r="AF164" s="302"/>
      <c r="AG164" s="87"/>
    </row>
    <row r="165" spans="1:33" ht="15" hidden="1" customHeight="1" thickBot="1" x14ac:dyDescent="0.4">
      <c r="A165" s="87"/>
      <c r="B165" s="232"/>
      <c r="C165" s="219"/>
      <c r="D165" s="220"/>
      <c r="E165" s="220"/>
      <c r="F165" s="220"/>
      <c r="G165" s="220"/>
      <c r="H165" s="220"/>
      <c r="I165" s="220"/>
      <c r="J165" s="372"/>
      <c r="K165" s="220"/>
      <c r="L165" s="220"/>
      <c r="M165" s="220"/>
      <c r="N165" s="220"/>
      <c r="O165" s="220"/>
      <c r="P165" s="220"/>
      <c r="Q165" s="220"/>
      <c r="R165" s="220"/>
      <c r="S165" s="220"/>
      <c r="T165" s="220"/>
      <c r="U165" s="372"/>
      <c r="V165" s="220"/>
      <c r="W165" s="220"/>
      <c r="X165" s="372"/>
      <c r="Y165" s="220"/>
      <c r="Z165" s="370"/>
      <c r="AA165" s="220"/>
      <c r="AB165" s="220"/>
      <c r="AC165" s="220"/>
      <c r="AD165" s="220"/>
      <c r="AE165" s="220"/>
      <c r="AF165" s="221"/>
      <c r="AG165" s="87"/>
    </row>
    <row r="166" spans="1:33" ht="29.15" customHeight="1" x14ac:dyDescent="0.35">
      <c r="A166" s="591">
        <f>A154+1</f>
        <v>14</v>
      </c>
      <c r="B166" s="286">
        <f>B154+10</f>
        <v>141</v>
      </c>
      <c r="C166" s="585" t="str">
        <f>VLOOKUP(A166,INputs!$G$3:$O$22,7,FALSE)</f>
        <v>Please fill out Sensitivity Labels Tab</v>
      </c>
      <c r="D166" s="47"/>
      <c r="E166" s="47"/>
      <c r="F166" s="577" t="s">
        <v>136</v>
      </c>
      <c r="G166" s="577"/>
      <c r="H166" s="577" t="s">
        <v>136</v>
      </c>
      <c r="I166" s="577"/>
      <c r="J166" s="578" t="str">
        <f>J$10</f>
        <v>Select a check box</v>
      </c>
      <c r="K166" s="578"/>
      <c r="L166" s="578" t="s">
        <v>136</v>
      </c>
      <c r="M166" s="578"/>
      <c r="N166" s="578"/>
      <c r="O166" s="578" t="s">
        <v>136</v>
      </c>
      <c r="P166" s="578"/>
      <c r="Q166" s="578"/>
      <c r="R166" s="582" t="s">
        <v>179</v>
      </c>
      <c r="S166" s="582"/>
      <c r="T166" s="397" t="s">
        <v>135</v>
      </c>
      <c r="U166" s="583" t="s">
        <v>180</v>
      </c>
      <c r="V166" s="583"/>
      <c r="W166" s="50"/>
      <c r="X166" s="391"/>
      <c r="Y166" s="576" t="s">
        <v>136</v>
      </c>
      <c r="Z166" s="576"/>
      <c r="AA166" s="51"/>
      <c r="AB166" s="577"/>
      <c r="AC166" s="577"/>
      <c r="AD166" s="48"/>
      <c r="AE166" s="49" t="s">
        <v>181</v>
      </c>
      <c r="AF166" s="52"/>
      <c r="AG166" s="20"/>
    </row>
    <row r="167" spans="1:33" x14ac:dyDescent="0.35">
      <c r="A167" s="592"/>
      <c r="B167" s="286">
        <f>B166+1</f>
        <v>142</v>
      </c>
      <c r="C167" s="586"/>
      <c r="D167" s="8"/>
      <c r="E167" s="8"/>
      <c r="F167" s="208"/>
      <c r="G167" s="208"/>
      <c r="H167" s="208"/>
      <c r="I167" s="208"/>
      <c r="J167" s="376"/>
      <c r="K167" s="376"/>
      <c r="L167" s="376"/>
      <c r="M167" s="376"/>
      <c r="N167" s="376"/>
      <c r="O167" s="376"/>
      <c r="P167" s="376"/>
      <c r="Q167" s="376"/>
      <c r="R167" s="575"/>
      <c r="S167" s="575"/>
      <c r="T167" s="575"/>
      <c r="U167" s="396"/>
      <c r="V167" s="390" t="s">
        <v>137</v>
      </c>
      <c r="W167" s="216"/>
      <c r="X167" s="393"/>
      <c r="Y167" s="395"/>
      <c r="Z167" s="395"/>
      <c r="AA167" s="20"/>
      <c r="AB167" s="208"/>
      <c r="AC167" s="530" t="s">
        <v>136</v>
      </c>
      <c r="AD167" s="208"/>
      <c r="AE167" s="573"/>
      <c r="AF167" s="54"/>
      <c r="AG167" s="20"/>
    </row>
    <row r="168" spans="1:33" ht="30.5" x14ac:dyDescent="0.35">
      <c r="A168" s="592"/>
      <c r="B168" s="286">
        <f t="shared" ref="B168:B174" si="13">B167+1</f>
        <v>143</v>
      </c>
      <c r="C168" s="586"/>
      <c r="E168" s="200" t="b">
        <v>0</v>
      </c>
      <c r="F168" s="3" t="s">
        <v>182</v>
      </c>
      <c r="H168" s="200" t="b">
        <v>0</v>
      </c>
      <c r="I168" s="210" t="s">
        <v>183</v>
      </c>
      <c r="J168" s="201" t="b">
        <v>0</v>
      </c>
      <c r="K168" s="202" t="s">
        <v>184</v>
      </c>
      <c r="L168" s="203" t="b">
        <v>0</v>
      </c>
      <c r="M168" s="9" t="s">
        <v>185</v>
      </c>
      <c r="N168" s="213"/>
      <c r="O168" s="203" t="b">
        <v>0</v>
      </c>
      <c r="P168" s="9" t="s">
        <v>186</v>
      </c>
      <c r="Q168" s="9"/>
      <c r="R168" s="575"/>
      <c r="S168" s="575"/>
      <c r="T168" s="575"/>
      <c r="U168" s="575"/>
      <c r="V168" s="575"/>
      <c r="W168" s="216"/>
      <c r="X168" s="204" t="b">
        <v>0</v>
      </c>
      <c r="Y168" s="205" t="s">
        <v>187</v>
      </c>
      <c r="Z168" s="371"/>
      <c r="AA168" s="15"/>
      <c r="AB168" s="529" t="b">
        <v>0</v>
      </c>
      <c r="AC168" s="389" t="s">
        <v>188</v>
      </c>
      <c r="AD168" s="15"/>
      <c r="AE168" s="573"/>
      <c r="AF168" s="53"/>
      <c r="AG168" s="15"/>
    </row>
    <row r="169" spans="1:33" ht="35.15" customHeight="1" x14ac:dyDescent="0.35">
      <c r="A169" s="592"/>
      <c r="B169" s="286">
        <f t="shared" si="13"/>
        <v>144</v>
      </c>
      <c r="C169" s="586"/>
      <c r="E169" s="200" t="b">
        <v>0</v>
      </c>
      <c r="F169" s="196" t="s">
        <v>189</v>
      </c>
      <c r="H169" s="15"/>
      <c r="I169" s="210"/>
      <c r="J169" s="204" t="b">
        <v>0</v>
      </c>
      <c r="K169" s="588" t="s">
        <v>190</v>
      </c>
      <c r="L169" s="204" t="b">
        <v>0</v>
      </c>
      <c r="M169" s="205" t="s">
        <v>191</v>
      </c>
      <c r="N169" s="387">
        <v>44197</v>
      </c>
      <c r="O169" s="204" t="b">
        <v>0</v>
      </c>
      <c r="P169" s="205" t="s">
        <v>185</v>
      </c>
      <c r="Q169" s="205"/>
      <c r="R169" s="203" t="b">
        <v>0</v>
      </c>
      <c r="S169" s="9" t="s">
        <v>192</v>
      </c>
      <c r="T169" s="9" t="s">
        <v>135</v>
      </c>
      <c r="U169" s="204" t="b">
        <v>0</v>
      </c>
      <c r="V169" s="390" t="s">
        <v>193</v>
      </c>
      <c r="W169" s="215"/>
      <c r="X169" s="204" t="b">
        <v>0</v>
      </c>
      <c r="Y169" s="205" t="s">
        <v>194</v>
      </c>
      <c r="Z169" s="371"/>
      <c r="AA169" s="15"/>
      <c r="AB169" s="217"/>
      <c r="AC169" s="208" t="s">
        <v>137</v>
      </c>
      <c r="AD169" s="209"/>
      <c r="AE169" s="376" t="s">
        <v>195</v>
      </c>
      <c r="AF169" s="54"/>
      <c r="AG169" s="15"/>
    </row>
    <row r="170" spans="1:33" ht="14.5" customHeight="1" x14ac:dyDescent="0.35">
      <c r="A170" s="592"/>
      <c r="B170" s="286">
        <f t="shared" si="13"/>
        <v>145</v>
      </c>
      <c r="C170" s="586"/>
      <c r="E170" s="200" t="b">
        <v>0</v>
      </c>
      <c r="F170" s="589" t="s">
        <v>204</v>
      </c>
      <c r="H170" s="200" t="b">
        <v>0</v>
      </c>
      <c r="I170" s="210" t="s">
        <v>197</v>
      </c>
      <c r="J170" s="205"/>
      <c r="K170" s="588"/>
      <c r="L170" s="203" t="b">
        <v>0</v>
      </c>
      <c r="M170" s="44" t="s">
        <v>198</v>
      </c>
      <c r="N170" s="211">
        <v>6</v>
      </c>
      <c r="O170" s="203" t="b">
        <v>0</v>
      </c>
      <c r="P170" s="9" t="s">
        <v>198</v>
      </c>
      <c r="Q170" s="211">
        <v>0</v>
      </c>
      <c r="R170" s="575"/>
      <c r="S170" s="575"/>
      <c r="T170" s="575"/>
      <c r="U170" s="584" t="s">
        <v>136</v>
      </c>
      <c r="V170" s="584"/>
      <c r="W170" s="584"/>
      <c r="X170" s="204" t="b">
        <v>0</v>
      </c>
      <c r="Y170" s="9" t="s">
        <v>199</v>
      </c>
      <c r="Z170" s="575"/>
      <c r="AA170" s="15"/>
      <c r="AB170" s="217"/>
      <c r="AC170" s="22"/>
      <c r="AD170" s="15"/>
      <c r="AE170" s="574"/>
      <c r="AF170" s="53"/>
      <c r="AG170" s="15"/>
    </row>
    <row r="171" spans="1:33" x14ac:dyDescent="0.35">
      <c r="A171" s="592"/>
      <c r="B171" s="286">
        <f t="shared" si="13"/>
        <v>146</v>
      </c>
      <c r="C171" s="586"/>
      <c r="F171" s="589"/>
      <c r="H171" s="15"/>
      <c r="I171" s="15"/>
      <c r="J171" s="205"/>
      <c r="K171" s="9"/>
      <c r="L171" s="15"/>
      <c r="M171" s="15"/>
      <c r="N171" s="218"/>
      <c r="O171" s="9"/>
      <c r="P171" s="9"/>
      <c r="Q171" s="9"/>
      <c r="R171" s="575"/>
      <c r="S171" s="575"/>
      <c r="T171" s="575"/>
      <c r="U171" s="204" t="b">
        <v>0</v>
      </c>
      <c r="V171" s="205" t="s">
        <v>200</v>
      </c>
      <c r="W171" s="216"/>
      <c r="Y171" s="15"/>
      <c r="Z171" s="575"/>
      <c r="AA171" s="15"/>
      <c r="AB171" s="15"/>
      <c r="AC171" s="15"/>
      <c r="AD171" s="15"/>
      <c r="AE171" s="574"/>
      <c r="AF171" s="53"/>
      <c r="AG171" s="15"/>
    </row>
    <row r="172" spans="1:33" ht="30" customHeight="1" x14ac:dyDescent="0.35">
      <c r="A172" s="592"/>
      <c r="B172" s="286">
        <f t="shared" si="13"/>
        <v>147</v>
      </c>
      <c r="C172" s="586"/>
      <c r="E172"/>
      <c r="H172" s="15"/>
      <c r="I172" s="15"/>
      <c r="J172" s="373"/>
      <c r="K172" s="213"/>
      <c r="L172" s="213"/>
      <c r="M172" s="213"/>
      <c r="N172" s="213"/>
      <c r="O172" s="9"/>
      <c r="P172" s="9"/>
      <c r="Q172" s="9"/>
      <c r="R172" s="203" t="b">
        <v>0</v>
      </c>
      <c r="S172" s="9" t="s">
        <v>201</v>
      </c>
      <c r="T172" s="9" t="s">
        <v>135</v>
      </c>
      <c r="U172" s="575"/>
      <c r="V172" s="575"/>
      <c r="Y172" s="15"/>
      <c r="Z172" s="368"/>
      <c r="AA172" s="15"/>
      <c r="AB172" s="15"/>
      <c r="AC172" s="15"/>
      <c r="AD172" s="15"/>
      <c r="AE172" s="15"/>
      <c r="AF172" s="53"/>
      <c r="AG172" s="15"/>
    </row>
    <row r="173" spans="1:33" x14ac:dyDescent="0.35">
      <c r="A173" s="592"/>
      <c r="B173" s="286">
        <f t="shared" si="13"/>
        <v>148</v>
      </c>
      <c r="C173" s="586"/>
      <c r="E173"/>
      <c r="H173" s="212"/>
      <c r="I173" s="15"/>
      <c r="J173" s="373"/>
      <c r="K173" s="213"/>
      <c r="L173" s="213"/>
      <c r="M173" s="213"/>
      <c r="N173" s="213"/>
      <c r="O173" s="9"/>
      <c r="P173" s="9"/>
      <c r="Q173" s="9"/>
      <c r="R173" s="575"/>
      <c r="S173" s="575"/>
      <c r="T173" s="575"/>
      <c r="U173" s="204" t="b">
        <v>0</v>
      </c>
      <c r="V173" s="9" t="s">
        <v>202</v>
      </c>
      <c r="W173" s="9"/>
      <c r="Y173" s="15"/>
      <c r="Z173" s="368"/>
      <c r="AA173" s="15"/>
      <c r="AB173" s="15"/>
      <c r="AC173" s="15"/>
      <c r="AD173" s="15"/>
      <c r="AE173" s="15"/>
      <c r="AF173" s="53"/>
      <c r="AG173" s="15"/>
    </row>
    <row r="174" spans="1:33" ht="30" customHeight="1" thickBot="1" x14ac:dyDescent="0.4">
      <c r="A174" s="593"/>
      <c r="B174" s="286">
        <f t="shared" si="13"/>
        <v>149</v>
      </c>
      <c r="C174" s="587"/>
      <c r="D174" s="55"/>
      <c r="E174" s="55"/>
      <c r="F174" s="55"/>
      <c r="G174" s="55"/>
      <c r="H174" s="56"/>
      <c r="I174" s="56"/>
      <c r="J174" s="374"/>
      <c r="K174" s="57"/>
      <c r="L174" s="57"/>
      <c r="M174" s="57"/>
      <c r="N174" s="57"/>
      <c r="O174" s="58"/>
      <c r="P174" s="58"/>
      <c r="Q174" s="58"/>
      <c r="R174" s="575"/>
      <c r="S174" s="575"/>
      <c r="T174" s="575"/>
      <c r="U174" s="575"/>
      <c r="V174" s="575"/>
      <c r="W174" s="58"/>
      <c r="X174" s="392"/>
      <c r="Y174" s="56"/>
      <c r="Z174" s="369"/>
      <c r="AA174" s="56"/>
      <c r="AB174" s="56"/>
      <c r="AC174" s="56"/>
      <c r="AD174" s="56"/>
      <c r="AE174" s="56"/>
      <c r="AF174" s="59"/>
      <c r="AG174" s="15"/>
    </row>
    <row r="175" spans="1:33" ht="15" hidden="1" customHeight="1" thickBot="1" x14ac:dyDescent="0.4">
      <c r="A175" s="87"/>
      <c r="B175" s="232"/>
      <c r="C175" s="382"/>
      <c r="D175" s="383"/>
      <c r="E175" s="383"/>
      <c r="F175" s="383"/>
      <c r="G175" s="383"/>
      <c r="H175" s="383"/>
      <c r="I175" s="383"/>
      <c r="J175" s="384"/>
      <c r="K175" s="383"/>
      <c r="L175" s="383"/>
      <c r="M175" s="383"/>
      <c r="N175" s="383"/>
      <c r="O175" s="383"/>
      <c r="P175" s="383"/>
      <c r="Q175" s="383"/>
      <c r="R175" s="383"/>
      <c r="S175" s="383"/>
      <c r="T175" s="383"/>
      <c r="U175" s="384"/>
      <c r="V175" s="383"/>
      <c r="W175" s="383"/>
      <c r="X175" s="384"/>
      <c r="Y175" s="383"/>
      <c r="Z175" s="385"/>
      <c r="AA175" s="383"/>
      <c r="AB175" s="383"/>
      <c r="AC175" s="383"/>
      <c r="AD175" s="383"/>
      <c r="AE175" s="383"/>
      <c r="AF175" s="386"/>
      <c r="AG175" s="87"/>
    </row>
    <row r="176" spans="1:33" ht="5.15" customHeight="1" thickBot="1" x14ac:dyDescent="0.4">
      <c r="A176" s="87"/>
      <c r="B176" s="232"/>
      <c r="C176" s="381"/>
      <c r="D176" s="229"/>
      <c r="E176" s="229"/>
      <c r="F176" s="229"/>
      <c r="G176" s="229"/>
      <c r="H176" s="229"/>
      <c r="I176" s="229"/>
      <c r="J176" s="379"/>
      <c r="K176" s="229"/>
      <c r="L176" s="229"/>
      <c r="M176" s="229"/>
      <c r="N176" s="229"/>
      <c r="O176" s="229"/>
      <c r="P176" s="229"/>
      <c r="Q176" s="229"/>
      <c r="R176" s="229"/>
      <c r="S176" s="229"/>
      <c r="T176" s="229"/>
      <c r="U176" s="379"/>
      <c r="V176" s="229"/>
      <c r="W176" s="229"/>
      <c r="X176" s="379"/>
      <c r="Y176" s="229"/>
      <c r="Z176" s="380"/>
      <c r="AA176" s="229"/>
      <c r="AB176" s="229"/>
      <c r="AC176" s="229"/>
      <c r="AD176" s="229"/>
      <c r="AE176" s="229"/>
      <c r="AF176" s="302"/>
      <c r="AG176" s="87"/>
    </row>
    <row r="177" spans="1:33" ht="15" hidden="1" customHeight="1" thickBot="1" x14ac:dyDescent="0.4">
      <c r="A177" s="87"/>
      <c r="B177" s="232"/>
      <c r="C177" s="219"/>
      <c r="D177" s="220"/>
      <c r="E177" s="220"/>
      <c r="F177" s="220"/>
      <c r="G177" s="220"/>
      <c r="H177" s="220"/>
      <c r="I177" s="220"/>
      <c r="J177" s="372"/>
      <c r="K177" s="220"/>
      <c r="L177" s="220"/>
      <c r="M177" s="220"/>
      <c r="N177" s="220"/>
      <c r="O177" s="220"/>
      <c r="P177" s="220"/>
      <c r="Q177" s="220"/>
      <c r="R177" s="220"/>
      <c r="S177" s="220"/>
      <c r="T177" s="220"/>
      <c r="U177" s="372"/>
      <c r="V177" s="220"/>
      <c r="W177" s="220"/>
      <c r="X177" s="372"/>
      <c r="Y177" s="220"/>
      <c r="Z177" s="370"/>
      <c r="AA177" s="220"/>
      <c r="AB177" s="220"/>
      <c r="AC177" s="220"/>
      <c r="AD177" s="220"/>
      <c r="AE177" s="220"/>
      <c r="AF177" s="221"/>
      <c r="AG177" s="87"/>
    </row>
    <row r="178" spans="1:33" ht="29.15" customHeight="1" x14ac:dyDescent="0.35">
      <c r="A178" s="591">
        <f>A166+1</f>
        <v>15</v>
      </c>
      <c r="B178" s="286">
        <f>B166+10</f>
        <v>151</v>
      </c>
      <c r="C178" s="585" t="str">
        <f>VLOOKUP(A178,INputs!$G$3:$O$22,7,FALSE)</f>
        <v>Please fill out Sensitivity Labels Tab</v>
      </c>
      <c r="D178" s="47"/>
      <c r="E178" s="47"/>
      <c r="F178" s="577" t="s">
        <v>136</v>
      </c>
      <c r="G178" s="577"/>
      <c r="H178" s="577" t="s">
        <v>136</v>
      </c>
      <c r="I178" s="577"/>
      <c r="J178" s="578" t="str">
        <f>J$10</f>
        <v>Select a check box</v>
      </c>
      <c r="K178" s="578"/>
      <c r="L178" s="578" t="s">
        <v>136</v>
      </c>
      <c r="M178" s="578"/>
      <c r="N178" s="578"/>
      <c r="O178" s="578" t="s">
        <v>136</v>
      </c>
      <c r="P178" s="578"/>
      <c r="Q178" s="578"/>
      <c r="R178" s="582" t="s">
        <v>179</v>
      </c>
      <c r="S178" s="582"/>
      <c r="T178" s="397" t="s">
        <v>135</v>
      </c>
      <c r="U178" s="583" t="s">
        <v>180</v>
      </c>
      <c r="V178" s="583"/>
      <c r="W178" s="50"/>
      <c r="X178" s="391"/>
      <c r="Y178" s="576" t="s">
        <v>136</v>
      </c>
      <c r="Z178" s="576"/>
      <c r="AA178" s="51"/>
      <c r="AB178" s="577"/>
      <c r="AC178" s="577"/>
      <c r="AD178" s="48"/>
      <c r="AE178" s="49" t="s">
        <v>181</v>
      </c>
      <c r="AF178" s="52"/>
      <c r="AG178" s="20"/>
    </row>
    <row r="179" spans="1:33" x14ac:dyDescent="0.35">
      <c r="A179" s="592"/>
      <c r="B179" s="286">
        <f>B178+1</f>
        <v>152</v>
      </c>
      <c r="C179" s="586"/>
      <c r="D179" s="8"/>
      <c r="E179" s="8"/>
      <c r="F179" s="208"/>
      <c r="G179" s="208"/>
      <c r="H179" s="208"/>
      <c r="I179" s="208"/>
      <c r="J179" s="376"/>
      <c r="K179" s="376"/>
      <c r="L179" s="376"/>
      <c r="M179" s="376"/>
      <c r="N179" s="376"/>
      <c r="O179" s="376"/>
      <c r="P179" s="376"/>
      <c r="Q179" s="376"/>
      <c r="R179" s="575"/>
      <c r="S179" s="575"/>
      <c r="T179" s="575"/>
      <c r="U179" s="396"/>
      <c r="V179" s="390" t="s">
        <v>137</v>
      </c>
      <c r="W179" s="216"/>
      <c r="X179" s="393"/>
      <c r="Y179" s="395"/>
      <c r="Z179" s="395"/>
      <c r="AA179" s="20"/>
      <c r="AB179" s="208"/>
      <c r="AC179" s="530" t="s">
        <v>136</v>
      </c>
      <c r="AD179" s="208"/>
      <c r="AE179" s="573"/>
      <c r="AF179" s="54"/>
      <c r="AG179" s="20"/>
    </row>
    <row r="180" spans="1:33" ht="30.5" x14ac:dyDescent="0.35">
      <c r="A180" s="592"/>
      <c r="B180" s="286">
        <f t="shared" ref="B180:B186" si="14">B179+1</f>
        <v>153</v>
      </c>
      <c r="C180" s="586"/>
      <c r="E180" s="200" t="b">
        <v>0</v>
      </c>
      <c r="F180" s="3" t="s">
        <v>182</v>
      </c>
      <c r="H180" s="200" t="b">
        <v>0</v>
      </c>
      <c r="I180" s="210" t="s">
        <v>183</v>
      </c>
      <c r="J180" s="201" t="b">
        <v>0</v>
      </c>
      <c r="K180" s="202" t="s">
        <v>184</v>
      </c>
      <c r="L180" s="203" t="b">
        <v>0</v>
      </c>
      <c r="M180" s="9" t="s">
        <v>185</v>
      </c>
      <c r="N180" s="213"/>
      <c r="O180" s="203" t="b">
        <v>0</v>
      </c>
      <c r="P180" s="9" t="s">
        <v>186</v>
      </c>
      <c r="Q180" s="9"/>
      <c r="R180" s="575"/>
      <c r="S180" s="575"/>
      <c r="T180" s="575"/>
      <c r="U180" s="575"/>
      <c r="V180" s="575"/>
      <c r="W180" s="216"/>
      <c r="X180" s="204" t="b">
        <v>0</v>
      </c>
      <c r="Y180" s="205" t="s">
        <v>187</v>
      </c>
      <c r="Z180" s="371"/>
      <c r="AA180" s="15"/>
      <c r="AB180" s="529" t="b">
        <v>0</v>
      </c>
      <c r="AC180" s="389" t="s">
        <v>188</v>
      </c>
      <c r="AD180" s="15"/>
      <c r="AE180" s="573"/>
      <c r="AF180" s="53"/>
      <c r="AG180" s="15"/>
    </row>
    <row r="181" spans="1:33" ht="35.15" customHeight="1" x14ac:dyDescent="0.35">
      <c r="A181" s="592"/>
      <c r="B181" s="286">
        <f t="shared" si="14"/>
        <v>154</v>
      </c>
      <c r="C181" s="586"/>
      <c r="E181" s="200" t="b">
        <v>0</v>
      </c>
      <c r="F181" s="196" t="s">
        <v>189</v>
      </c>
      <c r="H181" s="15"/>
      <c r="I181" s="210"/>
      <c r="J181" s="204" t="b">
        <v>0</v>
      </c>
      <c r="K181" s="588" t="s">
        <v>190</v>
      </c>
      <c r="L181" s="204" t="b">
        <v>0</v>
      </c>
      <c r="M181" s="205" t="s">
        <v>191</v>
      </c>
      <c r="N181" s="387">
        <v>44197</v>
      </c>
      <c r="O181" s="204" t="b">
        <v>0</v>
      </c>
      <c r="P181" s="205" t="s">
        <v>185</v>
      </c>
      <c r="Q181" s="205"/>
      <c r="R181" s="203" t="b">
        <v>0</v>
      </c>
      <c r="S181" s="9" t="s">
        <v>192</v>
      </c>
      <c r="T181" s="9" t="s">
        <v>135</v>
      </c>
      <c r="U181" s="204" t="b">
        <v>0</v>
      </c>
      <c r="V181" s="390" t="s">
        <v>193</v>
      </c>
      <c r="W181" s="215"/>
      <c r="X181" s="204" t="b">
        <v>0</v>
      </c>
      <c r="Y181" s="205" t="s">
        <v>194</v>
      </c>
      <c r="Z181" s="371"/>
      <c r="AA181" s="15"/>
      <c r="AB181" s="217"/>
      <c r="AC181" s="208" t="s">
        <v>137</v>
      </c>
      <c r="AD181" s="209"/>
      <c r="AE181" s="376" t="s">
        <v>195</v>
      </c>
      <c r="AF181" s="54"/>
      <c r="AG181" s="15"/>
    </row>
    <row r="182" spans="1:33" ht="14.5" customHeight="1" x14ac:dyDescent="0.35">
      <c r="A182" s="592"/>
      <c r="B182" s="286">
        <f t="shared" si="14"/>
        <v>155</v>
      </c>
      <c r="C182" s="586"/>
      <c r="E182" s="200" t="b">
        <v>0</v>
      </c>
      <c r="F182" s="589" t="s">
        <v>204</v>
      </c>
      <c r="H182" s="200" t="b">
        <v>0</v>
      </c>
      <c r="I182" s="210" t="s">
        <v>197</v>
      </c>
      <c r="J182" s="205"/>
      <c r="K182" s="588"/>
      <c r="L182" s="203" t="b">
        <v>0</v>
      </c>
      <c r="M182" s="44" t="s">
        <v>198</v>
      </c>
      <c r="N182" s="211">
        <v>6</v>
      </c>
      <c r="O182" s="203" t="b">
        <v>0</v>
      </c>
      <c r="P182" s="9" t="s">
        <v>198</v>
      </c>
      <c r="Q182" s="211">
        <v>0</v>
      </c>
      <c r="R182" s="575"/>
      <c r="S182" s="575"/>
      <c r="T182" s="575"/>
      <c r="U182" s="584" t="s">
        <v>136</v>
      </c>
      <c r="V182" s="584"/>
      <c r="W182" s="584"/>
      <c r="X182" s="204" t="b">
        <v>0</v>
      </c>
      <c r="Y182" s="9" t="s">
        <v>199</v>
      </c>
      <c r="Z182" s="575"/>
      <c r="AA182" s="15"/>
      <c r="AB182" s="217"/>
      <c r="AC182" s="22"/>
      <c r="AD182" s="15"/>
      <c r="AE182" s="574"/>
      <c r="AF182" s="53"/>
      <c r="AG182" s="15"/>
    </row>
    <row r="183" spans="1:33" x14ac:dyDescent="0.35">
      <c r="A183" s="592"/>
      <c r="B183" s="286">
        <f t="shared" si="14"/>
        <v>156</v>
      </c>
      <c r="C183" s="586"/>
      <c r="F183" s="589"/>
      <c r="H183" s="15"/>
      <c r="I183" s="15"/>
      <c r="J183" s="205"/>
      <c r="K183" s="9"/>
      <c r="L183" s="15"/>
      <c r="M183" s="15"/>
      <c r="N183" s="218"/>
      <c r="O183" s="9"/>
      <c r="P183" s="9"/>
      <c r="Q183" s="9"/>
      <c r="R183" s="575"/>
      <c r="S183" s="575"/>
      <c r="T183" s="575"/>
      <c r="U183" s="204" t="b">
        <v>0</v>
      </c>
      <c r="V183" s="205" t="s">
        <v>200</v>
      </c>
      <c r="W183" s="216"/>
      <c r="Y183" s="15"/>
      <c r="Z183" s="575"/>
      <c r="AA183" s="15"/>
      <c r="AB183" s="15"/>
      <c r="AC183" s="15"/>
      <c r="AD183" s="15"/>
      <c r="AE183" s="574"/>
      <c r="AF183" s="53"/>
      <c r="AG183" s="15"/>
    </row>
    <row r="184" spans="1:33" ht="30" customHeight="1" x14ac:dyDescent="0.35">
      <c r="A184" s="592"/>
      <c r="B184" s="286">
        <f t="shared" si="14"/>
        <v>157</v>
      </c>
      <c r="C184" s="586"/>
      <c r="E184"/>
      <c r="H184" s="15"/>
      <c r="I184" s="15"/>
      <c r="J184" s="373"/>
      <c r="K184" s="213"/>
      <c r="L184" s="213"/>
      <c r="M184" s="213"/>
      <c r="N184" s="213"/>
      <c r="O184" s="9"/>
      <c r="P184" s="9"/>
      <c r="Q184" s="9"/>
      <c r="R184" s="203" t="b">
        <v>0</v>
      </c>
      <c r="S184" s="9" t="s">
        <v>201</v>
      </c>
      <c r="T184" s="9" t="s">
        <v>135</v>
      </c>
      <c r="U184" s="575"/>
      <c r="V184" s="575"/>
      <c r="Y184" s="15"/>
      <c r="Z184" s="368"/>
      <c r="AA184" s="15"/>
      <c r="AB184" s="15"/>
      <c r="AC184" s="15"/>
      <c r="AD184" s="15"/>
      <c r="AE184" s="15"/>
      <c r="AF184" s="53"/>
      <c r="AG184" s="15"/>
    </row>
    <row r="185" spans="1:33" x14ac:dyDescent="0.35">
      <c r="A185" s="592"/>
      <c r="B185" s="286">
        <f t="shared" si="14"/>
        <v>158</v>
      </c>
      <c r="C185" s="586"/>
      <c r="E185"/>
      <c r="H185" s="212"/>
      <c r="I185" s="15"/>
      <c r="J185" s="373"/>
      <c r="K185" s="213"/>
      <c r="L185" s="213"/>
      <c r="M185" s="213"/>
      <c r="N185" s="213"/>
      <c r="O185" s="9"/>
      <c r="P185" s="9"/>
      <c r="Q185" s="9"/>
      <c r="R185" s="575"/>
      <c r="S185" s="575"/>
      <c r="T185" s="575"/>
      <c r="U185" s="204" t="b">
        <v>0</v>
      </c>
      <c r="V185" s="9" t="s">
        <v>202</v>
      </c>
      <c r="W185" s="9"/>
      <c r="Y185" s="15"/>
      <c r="Z185" s="368"/>
      <c r="AA185" s="15"/>
      <c r="AB185" s="15"/>
      <c r="AC185" s="15"/>
      <c r="AD185" s="15"/>
      <c r="AE185" s="15"/>
      <c r="AF185" s="53"/>
      <c r="AG185" s="15"/>
    </row>
    <row r="186" spans="1:33" ht="30" customHeight="1" thickBot="1" x14ac:dyDescent="0.4">
      <c r="A186" s="593"/>
      <c r="B186" s="286">
        <f t="shared" si="14"/>
        <v>159</v>
      </c>
      <c r="C186" s="587"/>
      <c r="D186" s="55"/>
      <c r="E186" s="55"/>
      <c r="F186" s="55"/>
      <c r="G186" s="55"/>
      <c r="H186" s="56"/>
      <c r="I186" s="56"/>
      <c r="J186" s="374"/>
      <c r="K186" s="57"/>
      <c r="L186" s="57"/>
      <c r="M186" s="57"/>
      <c r="N186" s="57"/>
      <c r="O186" s="58"/>
      <c r="P186" s="58"/>
      <c r="Q186" s="58"/>
      <c r="R186" s="575"/>
      <c r="S186" s="575"/>
      <c r="T186" s="575"/>
      <c r="U186" s="575"/>
      <c r="V186" s="575"/>
      <c r="W186" s="58"/>
      <c r="X186" s="392"/>
      <c r="Y186" s="56"/>
      <c r="Z186" s="369"/>
      <c r="AA186" s="56"/>
      <c r="AB186" s="56"/>
      <c r="AC186" s="56"/>
      <c r="AD186" s="56"/>
      <c r="AE186" s="56"/>
      <c r="AF186" s="59"/>
      <c r="AG186" s="15"/>
    </row>
    <row r="187" spans="1:33" ht="15" hidden="1" customHeight="1" thickBot="1" x14ac:dyDescent="0.4">
      <c r="A187" s="87"/>
      <c r="B187" s="232"/>
      <c r="C187" s="382"/>
      <c r="D187" s="383"/>
      <c r="E187" s="383"/>
      <c r="F187" s="383"/>
      <c r="G187" s="383"/>
      <c r="H187" s="383"/>
      <c r="I187" s="383"/>
      <c r="J187" s="384"/>
      <c r="K187" s="383"/>
      <c r="L187" s="383"/>
      <c r="M187" s="383"/>
      <c r="N187" s="383"/>
      <c r="O187" s="383"/>
      <c r="P187" s="383"/>
      <c r="Q187" s="383"/>
      <c r="R187" s="383"/>
      <c r="S187" s="383"/>
      <c r="T187" s="383"/>
      <c r="U187" s="384"/>
      <c r="V187" s="383"/>
      <c r="W187" s="383"/>
      <c r="X187" s="384"/>
      <c r="Y187" s="383"/>
      <c r="Z187" s="385"/>
      <c r="AA187" s="383"/>
      <c r="AB187" s="383"/>
      <c r="AC187" s="383"/>
      <c r="AD187" s="383"/>
      <c r="AE187" s="383"/>
      <c r="AF187" s="386"/>
      <c r="AG187" s="87"/>
    </row>
    <row r="188" spans="1:33" ht="5.15" customHeight="1" thickBot="1" x14ac:dyDescent="0.4">
      <c r="A188" s="87"/>
      <c r="B188" s="232"/>
      <c r="C188" s="381"/>
      <c r="D188" s="229"/>
      <c r="E188" s="229"/>
      <c r="F188" s="229"/>
      <c r="G188" s="229"/>
      <c r="H188" s="229"/>
      <c r="I188" s="229"/>
      <c r="J188" s="379"/>
      <c r="K188" s="229"/>
      <c r="L188" s="229"/>
      <c r="M188" s="229"/>
      <c r="N188" s="229"/>
      <c r="O188" s="229"/>
      <c r="P188" s="229"/>
      <c r="Q188" s="229"/>
      <c r="R188" s="229"/>
      <c r="S188" s="229"/>
      <c r="T188" s="229"/>
      <c r="U188" s="379"/>
      <c r="V188" s="229"/>
      <c r="W188" s="229"/>
      <c r="X188" s="379"/>
      <c r="Y188" s="229"/>
      <c r="Z188" s="380"/>
      <c r="AA188" s="229"/>
      <c r="AB188" s="229"/>
      <c r="AC188" s="229"/>
      <c r="AD188" s="229"/>
      <c r="AE188" s="229"/>
      <c r="AF188" s="302"/>
      <c r="AG188" s="87"/>
    </row>
    <row r="189" spans="1:33" ht="15" hidden="1" customHeight="1" thickBot="1" x14ac:dyDescent="0.4">
      <c r="A189" s="87"/>
      <c r="B189" s="232"/>
      <c r="C189" s="219"/>
      <c r="D189" s="220"/>
      <c r="E189" s="220"/>
      <c r="F189" s="220"/>
      <c r="G189" s="220"/>
      <c r="H189" s="220"/>
      <c r="I189" s="220"/>
      <c r="J189" s="372"/>
      <c r="K189" s="220"/>
      <c r="L189" s="220"/>
      <c r="M189" s="220"/>
      <c r="N189" s="220"/>
      <c r="O189" s="220"/>
      <c r="P189" s="220"/>
      <c r="Q189" s="220"/>
      <c r="R189" s="220"/>
      <c r="S189" s="220"/>
      <c r="T189" s="220"/>
      <c r="U189" s="372"/>
      <c r="V189" s="220"/>
      <c r="W189" s="220"/>
      <c r="X189" s="372"/>
      <c r="Y189" s="220"/>
      <c r="Z189" s="370"/>
      <c r="AA189" s="220"/>
      <c r="AB189" s="220"/>
      <c r="AC189" s="220"/>
      <c r="AD189" s="220"/>
      <c r="AE189" s="220"/>
      <c r="AF189" s="221"/>
      <c r="AG189" s="87"/>
    </row>
    <row r="190" spans="1:33" ht="29.15" customHeight="1" x14ac:dyDescent="0.35">
      <c r="A190" s="591">
        <f>A178+1</f>
        <v>16</v>
      </c>
      <c r="B190" s="286">
        <f>B178+10</f>
        <v>161</v>
      </c>
      <c r="C190" s="585" t="str">
        <f>VLOOKUP(A190,INputs!$G$3:$O$22,7,FALSE)</f>
        <v>Please fill out Sensitivity Labels Tab</v>
      </c>
      <c r="D190" s="47"/>
      <c r="E190" s="47"/>
      <c r="F190" s="577" t="s">
        <v>136</v>
      </c>
      <c r="G190" s="577"/>
      <c r="H190" s="577" t="s">
        <v>136</v>
      </c>
      <c r="I190" s="577"/>
      <c r="J190" s="578" t="str">
        <f>J$10</f>
        <v>Select a check box</v>
      </c>
      <c r="K190" s="578"/>
      <c r="L190" s="578" t="s">
        <v>136</v>
      </c>
      <c r="M190" s="578"/>
      <c r="N190" s="578"/>
      <c r="O190" s="578" t="s">
        <v>136</v>
      </c>
      <c r="P190" s="578"/>
      <c r="Q190" s="578"/>
      <c r="R190" s="582" t="s">
        <v>179</v>
      </c>
      <c r="S190" s="582"/>
      <c r="T190" s="397" t="s">
        <v>135</v>
      </c>
      <c r="U190" s="583" t="s">
        <v>180</v>
      </c>
      <c r="V190" s="583"/>
      <c r="W190" s="50"/>
      <c r="X190" s="391"/>
      <c r="Y190" s="576" t="s">
        <v>136</v>
      </c>
      <c r="Z190" s="576"/>
      <c r="AA190" s="51"/>
      <c r="AB190" s="577"/>
      <c r="AC190" s="577"/>
      <c r="AD190" s="48"/>
      <c r="AE190" s="49" t="s">
        <v>181</v>
      </c>
      <c r="AF190" s="52"/>
      <c r="AG190" s="20"/>
    </row>
    <row r="191" spans="1:33" x14ac:dyDescent="0.35">
      <c r="A191" s="592"/>
      <c r="B191" s="286">
        <f>B190+1</f>
        <v>162</v>
      </c>
      <c r="C191" s="586"/>
      <c r="D191" s="8"/>
      <c r="E191" s="8"/>
      <c r="F191" s="208"/>
      <c r="G191" s="208"/>
      <c r="H191" s="208"/>
      <c r="I191" s="208"/>
      <c r="J191" s="376"/>
      <c r="K191" s="376"/>
      <c r="L191" s="376"/>
      <c r="M191" s="376"/>
      <c r="N191" s="376"/>
      <c r="O191" s="376"/>
      <c r="P191" s="376"/>
      <c r="Q191" s="376"/>
      <c r="R191" s="575"/>
      <c r="S191" s="575"/>
      <c r="T191" s="575"/>
      <c r="U191" s="396"/>
      <c r="V191" s="390" t="s">
        <v>137</v>
      </c>
      <c r="W191" s="216"/>
      <c r="X191" s="393"/>
      <c r="Y191" s="395"/>
      <c r="Z191" s="395"/>
      <c r="AA191" s="20"/>
      <c r="AB191" s="208"/>
      <c r="AC191" s="530" t="s">
        <v>136</v>
      </c>
      <c r="AD191" s="208"/>
      <c r="AE191" s="573"/>
      <c r="AF191" s="54"/>
      <c r="AG191" s="20"/>
    </row>
    <row r="192" spans="1:33" ht="30.5" x14ac:dyDescent="0.35">
      <c r="A192" s="592"/>
      <c r="B192" s="286">
        <f t="shared" ref="B192:B198" si="15">B191+1</f>
        <v>163</v>
      </c>
      <c r="C192" s="586"/>
      <c r="E192" s="200" t="b">
        <v>0</v>
      </c>
      <c r="F192" s="3" t="s">
        <v>182</v>
      </c>
      <c r="H192" s="200" t="b">
        <v>0</v>
      </c>
      <c r="I192" s="210" t="s">
        <v>183</v>
      </c>
      <c r="J192" s="201" t="b">
        <v>0</v>
      </c>
      <c r="K192" s="202" t="s">
        <v>184</v>
      </c>
      <c r="L192" s="203" t="b">
        <v>0</v>
      </c>
      <c r="M192" s="9" t="s">
        <v>185</v>
      </c>
      <c r="N192" s="213"/>
      <c r="O192" s="203" t="b">
        <v>0</v>
      </c>
      <c r="P192" s="9" t="s">
        <v>186</v>
      </c>
      <c r="Q192" s="9"/>
      <c r="R192" s="575"/>
      <c r="S192" s="575"/>
      <c r="T192" s="575"/>
      <c r="U192" s="575"/>
      <c r="V192" s="575"/>
      <c r="W192" s="216"/>
      <c r="X192" s="204" t="b">
        <v>0</v>
      </c>
      <c r="Y192" s="205" t="s">
        <v>187</v>
      </c>
      <c r="Z192" s="371"/>
      <c r="AA192" s="15"/>
      <c r="AB192" s="529" t="b">
        <v>0</v>
      </c>
      <c r="AC192" s="389" t="s">
        <v>188</v>
      </c>
      <c r="AD192" s="15"/>
      <c r="AE192" s="573"/>
      <c r="AF192" s="53"/>
      <c r="AG192" s="15"/>
    </row>
    <row r="193" spans="1:33" ht="35.15" customHeight="1" x14ac:dyDescent="0.35">
      <c r="A193" s="592"/>
      <c r="B193" s="286">
        <f t="shared" si="15"/>
        <v>164</v>
      </c>
      <c r="C193" s="586"/>
      <c r="E193" s="200" t="b">
        <v>0</v>
      </c>
      <c r="F193" s="196" t="s">
        <v>189</v>
      </c>
      <c r="H193" s="15"/>
      <c r="I193" s="210"/>
      <c r="J193" s="204" t="b">
        <v>0</v>
      </c>
      <c r="K193" s="588" t="s">
        <v>190</v>
      </c>
      <c r="L193" s="204" t="b">
        <v>0</v>
      </c>
      <c r="M193" s="205" t="s">
        <v>191</v>
      </c>
      <c r="N193" s="387">
        <v>44197</v>
      </c>
      <c r="O193" s="204" t="b">
        <v>0</v>
      </c>
      <c r="P193" s="205" t="s">
        <v>185</v>
      </c>
      <c r="Q193" s="205"/>
      <c r="R193" s="203" t="b">
        <v>0</v>
      </c>
      <c r="S193" s="9" t="s">
        <v>192</v>
      </c>
      <c r="T193" s="9" t="s">
        <v>135</v>
      </c>
      <c r="U193" s="204" t="b">
        <v>0</v>
      </c>
      <c r="V193" s="390" t="s">
        <v>193</v>
      </c>
      <c r="W193" s="215"/>
      <c r="X193" s="204" t="b">
        <v>0</v>
      </c>
      <c r="Y193" s="205" t="s">
        <v>194</v>
      </c>
      <c r="Z193" s="371"/>
      <c r="AA193" s="15"/>
      <c r="AB193" s="217"/>
      <c r="AC193" s="208" t="s">
        <v>137</v>
      </c>
      <c r="AD193" s="209"/>
      <c r="AE193" s="376" t="s">
        <v>195</v>
      </c>
      <c r="AF193" s="54"/>
      <c r="AG193" s="15"/>
    </row>
    <row r="194" spans="1:33" ht="14.5" customHeight="1" x14ac:dyDescent="0.35">
      <c r="A194" s="592"/>
      <c r="B194" s="286">
        <f t="shared" si="15"/>
        <v>165</v>
      </c>
      <c r="C194" s="586"/>
      <c r="E194" s="200" t="b">
        <v>0</v>
      </c>
      <c r="F194" s="589" t="s">
        <v>204</v>
      </c>
      <c r="H194" s="200" t="b">
        <v>0</v>
      </c>
      <c r="I194" s="210" t="s">
        <v>197</v>
      </c>
      <c r="J194" s="205"/>
      <c r="K194" s="588"/>
      <c r="L194" s="203" t="b">
        <v>0</v>
      </c>
      <c r="M194" s="44" t="s">
        <v>198</v>
      </c>
      <c r="N194" s="211">
        <v>6</v>
      </c>
      <c r="O194" s="203" t="b">
        <v>0</v>
      </c>
      <c r="P194" s="9" t="s">
        <v>198</v>
      </c>
      <c r="Q194" s="211">
        <v>0</v>
      </c>
      <c r="R194" s="575"/>
      <c r="S194" s="575"/>
      <c r="T194" s="575"/>
      <c r="U194" s="584" t="s">
        <v>136</v>
      </c>
      <c r="V194" s="584"/>
      <c r="W194" s="584"/>
      <c r="X194" s="204" t="b">
        <v>0</v>
      </c>
      <c r="Y194" s="9" t="s">
        <v>199</v>
      </c>
      <c r="Z194" s="575"/>
      <c r="AA194" s="15"/>
      <c r="AB194" s="217"/>
      <c r="AC194" s="22"/>
      <c r="AD194" s="15"/>
      <c r="AE194" s="574"/>
      <c r="AF194" s="53"/>
      <c r="AG194" s="15"/>
    </row>
    <row r="195" spans="1:33" x14ac:dyDescent="0.35">
      <c r="A195" s="592"/>
      <c r="B195" s="286">
        <f t="shared" si="15"/>
        <v>166</v>
      </c>
      <c r="C195" s="586"/>
      <c r="F195" s="589"/>
      <c r="H195" s="15"/>
      <c r="I195" s="15"/>
      <c r="J195" s="205"/>
      <c r="K195" s="9"/>
      <c r="L195" s="15"/>
      <c r="M195" s="15"/>
      <c r="N195" s="218"/>
      <c r="O195" s="9"/>
      <c r="P195" s="9"/>
      <c r="Q195" s="9"/>
      <c r="R195" s="575"/>
      <c r="S195" s="575"/>
      <c r="T195" s="575"/>
      <c r="U195" s="204" t="b">
        <v>0</v>
      </c>
      <c r="V195" s="205" t="s">
        <v>200</v>
      </c>
      <c r="W195" s="216"/>
      <c r="Y195" s="15"/>
      <c r="Z195" s="575"/>
      <c r="AA195" s="15"/>
      <c r="AB195" s="15"/>
      <c r="AC195" s="15"/>
      <c r="AD195" s="15"/>
      <c r="AE195" s="574"/>
      <c r="AF195" s="53"/>
      <c r="AG195" s="15"/>
    </row>
    <row r="196" spans="1:33" ht="30" customHeight="1" x14ac:dyDescent="0.35">
      <c r="A196" s="592"/>
      <c r="B196" s="286">
        <f t="shared" si="15"/>
        <v>167</v>
      </c>
      <c r="C196" s="586"/>
      <c r="E196"/>
      <c r="H196" s="15"/>
      <c r="I196" s="15"/>
      <c r="J196" s="373"/>
      <c r="K196" s="213"/>
      <c r="L196" s="213"/>
      <c r="M196" s="213"/>
      <c r="N196" s="213"/>
      <c r="O196" s="9"/>
      <c r="P196" s="9"/>
      <c r="Q196" s="9"/>
      <c r="R196" s="203" t="b">
        <v>0</v>
      </c>
      <c r="S196" s="9" t="s">
        <v>201</v>
      </c>
      <c r="T196" s="9" t="s">
        <v>135</v>
      </c>
      <c r="U196" s="575"/>
      <c r="V196" s="575"/>
      <c r="Y196" s="15"/>
      <c r="Z196" s="368"/>
      <c r="AA196" s="15"/>
      <c r="AB196" s="15"/>
      <c r="AC196" s="15"/>
      <c r="AD196" s="15"/>
      <c r="AE196" s="15"/>
      <c r="AF196" s="53"/>
      <c r="AG196" s="15"/>
    </row>
    <row r="197" spans="1:33" x14ac:dyDescent="0.35">
      <c r="A197" s="592"/>
      <c r="B197" s="286">
        <f t="shared" si="15"/>
        <v>168</v>
      </c>
      <c r="C197" s="586"/>
      <c r="E197"/>
      <c r="H197" s="212"/>
      <c r="I197" s="15"/>
      <c r="J197" s="373"/>
      <c r="K197" s="213"/>
      <c r="L197" s="213"/>
      <c r="M197" s="213"/>
      <c r="N197" s="213"/>
      <c r="O197" s="9"/>
      <c r="P197" s="9"/>
      <c r="Q197" s="9"/>
      <c r="R197" s="575"/>
      <c r="S197" s="575"/>
      <c r="T197" s="575"/>
      <c r="U197" s="204" t="b">
        <v>0</v>
      </c>
      <c r="V197" s="9" t="s">
        <v>202</v>
      </c>
      <c r="W197" s="9"/>
      <c r="Y197" s="15"/>
      <c r="Z197" s="368"/>
      <c r="AA197" s="15"/>
      <c r="AB197" s="15"/>
      <c r="AC197" s="15"/>
      <c r="AD197" s="15"/>
      <c r="AE197" s="15"/>
      <c r="AF197" s="53"/>
      <c r="AG197" s="15"/>
    </row>
    <row r="198" spans="1:33" ht="30" customHeight="1" thickBot="1" x14ac:dyDescent="0.4">
      <c r="A198" s="593"/>
      <c r="B198" s="286">
        <f t="shared" si="15"/>
        <v>169</v>
      </c>
      <c r="C198" s="587"/>
      <c r="D198" s="55"/>
      <c r="E198" s="55"/>
      <c r="F198" s="55"/>
      <c r="G198" s="55"/>
      <c r="H198" s="56"/>
      <c r="I198" s="56"/>
      <c r="J198" s="374"/>
      <c r="K198" s="57"/>
      <c r="L198" s="57"/>
      <c r="M198" s="57"/>
      <c r="N198" s="57"/>
      <c r="O198" s="58"/>
      <c r="P198" s="58"/>
      <c r="Q198" s="58"/>
      <c r="R198" s="575"/>
      <c r="S198" s="575"/>
      <c r="T198" s="575"/>
      <c r="U198" s="575"/>
      <c r="V198" s="575"/>
      <c r="W198" s="58"/>
      <c r="X198" s="392"/>
      <c r="Y198" s="56"/>
      <c r="Z198" s="369"/>
      <c r="AA198" s="56"/>
      <c r="AB198" s="56"/>
      <c r="AC198" s="56"/>
      <c r="AD198" s="56"/>
      <c r="AE198" s="56"/>
      <c r="AF198" s="59"/>
      <c r="AG198" s="15"/>
    </row>
    <row r="199" spans="1:33" ht="15" hidden="1" customHeight="1" thickBot="1" x14ac:dyDescent="0.4">
      <c r="A199" s="87"/>
      <c r="B199" s="232"/>
      <c r="C199" s="382"/>
      <c r="D199" s="383"/>
      <c r="E199" s="383"/>
      <c r="F199" s="383"/>
      <c r="G199" s="383"/>
      <c r="H199" s="383"/>
      <c r="I199" s="383"/>
      <c r="J199" s="384"/>
      <c r="K199" s="383"/>
      <c r="L199" s="383"/>
      <c r="M199" s="383"/>
      <c r="N199" s="383"/>
      <c r="O199" s="383"/>
      <c r="P199" s="383"/>
      <c r="Q199" s="383"/>
      <c r="R199" s="383"/>
      <c r="S199" s="383"/>
      <c r="T199" s="383"/>
      <c r="U199" s="384"/>
      <c r="V199" s="383"/>
      <c r="W199" s="383"/>
      <c r="X199" s="384"/>
      <c r="Y199" s="383"/>
      <c r="Z199" s="385"/>
      <c r="AA199" s="383"/>
      <c r="AB199" s="383"/>
      <c r="AC199" s="383"/>
      <c r="AD199" s="383"/>
      <c r="AE199" s="383"/>
      <c r="AF199" s="386"/>
      <c r="AG199" s="87"/>
    </row>
    <row r="200" spans="1:33" ht="5.15" customHeight="1" thickBot="1" x14ac:dyDescent="0.4">
      <c r="A200" s="87"/>
      <c r="B200" s="232"/>
      <c r="C200" s="381"/>
      <c r="D200" s="229"/>
      <c r="E200" s="229"/>
      <c r="F200" s="229"/>
      <c r="G200" s="229"/>
      <c r="H200" s="229"/>
      <c r="I200" s="229"/>
      <c r="J200" s="379"/>
      <c r="K200" s="229"/>
      <c r="L200" s="229"/>
      <c r="M200" s="229"/>
      <c r="N200" s="229"/>
      <c r="O200" s="229"/>
      <c r="P200" s="229"/>
      <c r="Q200" s="229"/>
      <c r="R200" s="229"/>
      <c r="S200" s="229"/>
      <c r="T200" s="229"/>
      <c r="U200" s="379"/>
      <c r="V200" s="229"/>
      <c r="W200" s="229"/>
      <c r="X200" s="379"/>
      <c r="Y200" s="229"/>
      <c r="Z200" s="380"/>
      <c r="AA200" s="229"/>
      <c r="AB200" s="229"/>
      <c r="AC200" s="229"/>
      <c r="AD200" s="229"/>
      <c r="AE200" s="229"/>
      <c r="AF200" s="302"/>
      <c r="AG200" s="87"/>
    </row>
    <row r="201" spans="1:33" ht="15" hidden="1" customHeight="1" thickBot="1" x14ac:dyDescent="0.4">
      <c r="A201" s="87"/>
      <c r="B201" s="232"/>
      <c r="C201" s="219"/>
      <c r="D201" s="220"/>
      <c r="E201" s="220"/>
      <c r="F201" s="220"/>
      <c r="G201" s="220"/>
      <c r="H201" s="220"/>
      <c r="I201" s="220"/>
      <c r="J201" s="372"/>
      <c r="K201" s="220"/>
      <c r="L201" s="220"/>
      <c r="M201" s="220"/>
      <c r="N201" s="220"/>
      <c r="O201" s="220"/>
      <c r="P201" s="220"/>
      <c r="Q201" s="220"/>
      <c r="R201" s="220"/>
      <c r="S201" s="220"/>
      <c r="T201" s="220"/>
      <c r="U201" s="372"/>
      <c r="V201" s="220"/>
      <c r="W201" s="220"/>
      <c r="X201" s="372"/>
      <c r="Y201" s="220"/>
      <c r="Z201" s="370"/>
      <c r="AA201" s="220"/>
      <c r="AB201" s="220"/>
      <c r="AC201" s="220"/>
      <c r="AD201" s="220"/>
      <c r="AE201" s="220"/>
      <c r="AF201" s="221"/>
      <c r="AG201" s="87"/>
    </row>
    <row r="202" spans="1:33" ht="29.15" customHeight="1" x14ac:dyDescent="0.35">
      <c r="A202" s="591">
        <f>A190+1</f>
        <v>17</v>
      </c>
      <c r="B202" s="286">
        <f>B190+10</f>
        <v>171</v>
      </c>
      <c r="C202" s="585" t="str">
        <f>VLOOKUP(A202,INputs!$G$3:$O$22,7,FALSE)</f>
        <v>Please fill out Sensitivity Labels Tab</v>
      </c>
      <c r="D202" s="47"/>
      <c r="E202" s="47"/>
      <c r="F202" s="577" t="s">
        <v>136</v>
      </c>
      <c r="G202" s="577"/>
      <c r="H202" s="577" t="s">
        <v>136</v>
      </c>
      <c r="I202" s="577"/>
      <c r="J202" s="578" t="str">
        <f>J$10</f>
        <v>Select a check box</v>
      </c>
      <c r="K202" s="578"/>
      <c r="L202" s="578" t="s">
        <v>136</v>
      </c>
      <c r="M202" s="578"/>
      <c r="N202" s="578"/>
      <c r="O202" s="578" t="s">
        <v>136</v>
      </c>
      <c r="P202" s="578"/>
      <c r="Q202" s="578"/>
      <c r="R202" s="582" t="s">
        <v>179</v>
      </c>
      <c r="S202" s="582"/>
      <c r="T202" s="397" t="s">
        <v>135</v>
      </c>
      <c r="U202" s="583" t="s">
        <v>180</v>
      </c>
      <c r="V202" s="583"/>
      <c r="W202" s="50"/>
      <c r="X202" s="391"/>
      <c r="Y202" s="576" t="s">
        <v>136</v>
      </c>
      <c r="Z202" s="576"/>
      <c r="AA202" s="51"/>
      <c r="AB202" s="577"/>
      <c r="AC202" s="577"/>
      <c r="AD202" s="48"/>
      <c r="AE202" s="49" t="s">
        <v>181</v>
      </c>
      <c r="AF202" s="52"/>
      <c r="AG202" s="20"/>
    </row>
    <row r="203" spans="1:33" x14ac:dyDescent="0.35">
      <c r="A203" s="592"/>
      <c r="B203" s="286">
        <f>B202+1</f>
        <v>172</v>
      </c>
      <c r="C203" s="586"/>
      <c r="D203" s="8"/>
      <c r="E203" s="8"/>
      <c r="F203" s="208"/>
      <c r="G203" s="208"/>
      <c r="H203" s="208"/>
      <c r="I203" s="208"/>
      <c r="J203" s="376"/>
      <c r="K203" s="376"/>
      <c r="L203" s="376"/>
      <c r="M203" s="376"/>
      <c r="N203" s="376"/>
      <c r="O203" s="376"/>
      <c r="P203" s="376"/>
      <c r="Q203" s="376"/>
      <c r="R203" s="575"/>
      <c r="S203" s="575"/>
      <c r="T203" s="575"/>
      <c r="U203" s="396"/>
      <c r="V203" s="390" t="s">
        <v>137</v>
      </c>
      <c r="W203" s="216"/>
      <c r="X203" s="393"/>
      <c r="Y203" s="395"/>
      <c r="Z203" s="395"/>
      <c r="AA203" s="20"/>
      <c r="AB203" s="208"/>
      <c r="AC203" s="530" t="s">
        <v>136</v>
      </c>
      <c r="AD203" s="208"/>
      <c r="AE203" s="573"/>
      <c r="AF203" s="54"/>
      <c r="AG203" s="20"/>
    </row>
    <row r="204" spans="1:33" ht="30.5" x14ac:dyDescent="0.35">
      <c r="A204" s="592"/>
      <c r="B204" s="286">
        <f t="shared" ref="B204:B210" si="16">B203+1</f>
        <v>173</v>
      </c>
      <c r="C204" s="586"/>
      <c r="E204" s="200" t="b">
        <v>0</v>
      </c>
      <c r="F204" s="3" t="s">
        <v>182</v>
      </c>
      <c r="H204" s="200" t="b">
        <v>0</v>
      </c>
      <c r="I204" s="210" t="s">
        <v>183</v>
      </c>
      <c r="J204" s="201" t="b">
        <v>0</v>
      </c>
      <c r="K204" s="202" t="s">
        <v>184</v>
      </c>
      <c r="L204" s="203" t="b">
        <v>0</v>
      </c>
      <c r="M204" s="9" t="s">
        <v>185</v>
      </c>
      <c r="N204" s="213"/>
      <c r="O204" s="203" t="b">
        <v>0</v>
      </c>
      <c r="P204" s="9" t="s">
        <v>186</v>
      </c>
      <c r="Q204" s="9"/>
      <c r="R204" s="575"/>
      <c r="S204" s="575"/>
      <c r="T204" s="575"/>
      <c r="U204" s="575"/>
      <c r="V204" s="575"/>
      <c r="W204" s="216"/>
      <c r="X204" s="204" t="b">
        <v>0</v>
      </c>
      <c r="Y204" s="205" t="s">
        <v>187</v>
      </c>
      <c r="Z204" s="371"/>
      <c r="AA204" s="15"/>
      <c r="AB204" s="529" t="b">
        <v>0</v>
      </c>
      <c r="AC204" s="389" t="s">
        <v>188</v>
      </c>
      <c r="AD204" s="15"/>
      <c r="AE204" s="573"/>
      <c r="AF204" s="53"/>
      <c r="AG204" s="15"/>
    </row>
    <row r="205" spans="1:33" ht="35.15" customHeight="1" x14ac:dyDescent="0.35">
      <c r="A205" s="592"/>
      <c r="B205" s="286">
        <f t="shared" si="16"/>
        <v>174</v>
      </c>
      <c r="C205" s="586"/>
      <c r="E205" s="200" t="b">
        <v>0</v>
      </c>
      <c r="F205" s="196" t="s">
        <v>189</v>
      </c>
      <c r="H205" s="15"/>
      <c r="I205" s="210"/>
      <c r="J205" s="204" t="b">
        <v>0</v>
      </c>
      <c r="K205" s="588" t="s">
        <v>190</v>
      </c>
      <c r="L205" s="204" t="b">
        <v>0</v>
      </c>
      <c r="M205" s="205" t="s">
        <v>191</v>
      </c>
      <c r="N205" s="387">
        <v>44197</v>
      </c>
      <c r="O205" s="204" t="b">
        <v>0</v>
      </c>
      <c r="P205" s="205" t="s">
        <v>185</v>
      </c>
      <c r="Q205" s="205"/>
      <c r="R205" s="203" t="b">
        <v>0</v>
      </c>
      <c r="S205" s="9" t="s">
        <v>192</v>
      </c>
      <c r="T205" s="9" t="s">
        <v>135</v>
      </c>
      <c r="U205" s="204" t="b">
        <v>0</v>
      </c>
      <c r="V205" s="390" t="s">
        <v>193</v>
      </c>
      <c r="W205" s="215"/>
      <c r="X205" s="204" t="b">
        <v>0</v>
      </c>
      <c r="Y205" s="205" t="s">
        <v>194</v>
      </c>
      <c r="Z205" s="371"/>
      <c r="AA205" s="15"/>
      <c r="AB205" s="217"/>
      <c r="AC205" s="208" t="s">
        <v>137</v>
      </c>
      <c r="AD205" s="209"/>
      <c r="AE205" s="376" t="s">
        <v>195</v>
      </c>
      <c r="AF205" s="54"/>
      <c r="AG205" s="15"/>
    </row>
    <row r="206" spans="1:33" ht="14.5" customHeight="1" x14ac:dyDescent="0.35">
      <c r="A206" s="592"/>
      <c r="B206" s="286">
        <f t="shared" si="16"/>
        <v>175</v>
      </c>
      <c r="C206" s="586"/>
      <c r="E206" s="200" t="b">
        <v>0</v>
      </c>
      <c r="F206" s="589" t="s">
        <v>204</v>
      </c>
      <c r="H206" s="200" t="b">
        <v>0</v>
      </c>
      <c r="I206" s="210" t="s">
        <v>197</v>
      </c>
      <c r="J206" s="205"/>
      <c r="K206" s="588"/>
      <c r="L206" s="203" t="b">
        <v>0</v>
      </c>
      <c r="M206" s="44" t="s">
        <v>198</v>
      </c>
      <c r="N206" s="211">
        <v>6</v>
      </c>
      <c r="O206" s="203" t="b">
        <v>0</v>
      </c>
      <c r="P206" s="9" t="s">
        <v>198</v>
      </c>
      <c r="Q206" s="211">
        <v>0</v>
      </c>
      <c r="R206" s="575"/>
      <c r="S206" s="575"/>
      <c r="T206" s="575"/>
      <c r="U206" s="584" t="s">
        <v>136</v>
      </c>
      <c r="V206" s="584"/>
      <c r="W206" s="584"/>
      <c r="X206" s="204" t="b">
        <v>0</v>
      </c>
      <c r="Y206" s="9" t="s">
        <v>199</v>
      </c>
      <c r="Z206" s="575"/>
      <c r="AA206" s="15"/>
      <c r="AB206" s="217"/>
      <c r="AC206" s="22"/>
      <c r="AD206" s="15"/>
      <c r="AE206" s="574"/>
      <c r="AF206" s="53"/>
      <c r="AG206" s="15"/>
    </row>
    <row r="207" spans="1:33" x14ac:dyDescent="0.35">
      <c r="A207" s="592"/>
      <c r="B207" s="286">
        <f t="shared" si="16"/>
        <v>176</v>
      </c>
      <c r="C207" s="586"/>
      <c r="F207" s="589"/>
      <c r="H207" s="15"/>
      <c r="I207" s="15"/>
      <c r="J207" s="205"/>
      <c r="K207" s="9"/>
      <c r="L207" s="15"/>
      <c r="M207" s="15"/>
      <c r="N207" s="218"/>
      <c r="O207" s="9"/>
      <c r="P207" s="9"/>
      <c r="Q207" s="9"/>
      <c r="R207" s="575"/>
      <c r="S207" s="575"/>
      <c r="T207" s="575"/>
      <c r="U207" s="204" t="b">
        <v>0</v>
      </c>
      <c r="V207" s="205" t="s">
        <v>200</v>
      </c>
      <c r="W207" s="216"/>
      <c r="Y207" s="15"/>
      <c r="Z207" s="575"/>
      <c r="AA207" s="15"/>
      <c r="AB207" s="15"/>
      <c r="AC207" s="15"/>
      <c r="AD207" s="15"/>
      <c r="AE207" s="574"/>
      <c r="AF207" s="53"/>
      <c r="AG207" s="15"/>
    </row>
    <row r="208" spans="1:33" ht="30" customHeight="1" x14ac:dyDescent="0.35">
      <c r="A208" s="592"/>
      <c r="B208" s="286">
        <f t="shared" si="16"/>
        <v>177</v>
      </c>
      <c r="C208" s="586"/>
      <c r="E208"/>
      <c r="H208" s="15"/>
      <c r="I208" s="15"/>
      <c r="J208" s="373"/>
      <c r="K208" s="213"/>
      <c r="L208" s="213"/>
      <c r="M208" s="213"/>
      <c r="N208" s="213"/>
      <c r="O208" s="9"/>
      <c r="P208" s="9"/>
      <c r="Q208" s="9"/>
      <c r="R208" s="203" t="b">
        <v>0</v>
      </c>
      <c r="S208" s="9" t="s">
        <v>201</v>
      </c>
      <c r="T208" s="9" t="s">
        <v>135</v>
      </c>
      <c r="U208" s="575"/>
      <c r="V208" s="575"/>
      <c r="Y208" s="15"/>
      <c r="Z208" s="368"/>
      <c r="AA208" s="15"/>
      <c r="AB208" s="15"/>
      <c r="AC208" s="15"/>
      <c r="AD208" s="15"/>
      <c r="AE208" s="15"/>
      <c r="AF208" s="53"/>
      <c r="AG208" s="15"/>
    </row>
    <row r="209" spans="1:33" x14ac:dyDescent="0.35">
      <c r="A209" s="592"/>
      <c r="B209" s="286">
        <f t="shared" si="16"/>
        <v>178</v>
      </c>
      <c r="C209" s="586"/>
      <c r="E209"/>
      <c r="H209" s="212"/>
      <c r="I209" s="15"/>
      <c r="J209" s="373"/>
      <c r="K209" s="213"/>
      <c r="L209" s="213"/>
      <c r="M209" s="213"/>
      <c r="N209" s="213"/>
      <c r="O209" s="9"/>
      <c r="P209" s="9"/>
      <c r="Q209" s="9"/>
      <c r="R209" s="575"/>
      <c r="S209" s="575"/>
      <c r="T209" s="575"/>
      <c r="U209" s="204" t="b">
        <v>0</v>
      </c>
      <c r="V209" s="9" t="s">
        <v>202</v>
      </c>
      <c r="W209" s="9"/>
      <c r="Y209" s="15"/>
      <c r="Z209" s="368"/>
      <c r="AA209" s="15"/>
      <c r="AB209" s="15"/>
      <c r="AC209" s="15"/>
      <c r="AD209" s="15"/>
      <c r="AE209" s="15"/>
      <c r="AF209" s="53"/>
      <c r="AG209" s="15"/>
    </row>
    <row r="210" spans="1:33" ht="30" customHeight="1" thickBot="1" x14ac:dyDescent="0.4">
      <c r="A210" s="593"/>
      <c r="B210" s="286">
        <f t="shared" si="16"/>
        <v>179</v>
      </c>
      <c r="C210" s="587"/>
      <c r="D210" s="55"/>
      <c r="E210" s="55"/>
      <c r="F210" s="55"/>
      <c r="G210" s="55"/>
      <c r="H210" s="56"/>
      <c r="I210" s="56"/>
      <c r="J210" s="374"/>
      <c r="K210" s="57"/>
      <c r="L210" s="57"/>
      <c r="M210" s="57"/>
      <c r="N210" s="57"/>
      <c r="O210" s="58"/>
      <c r="P210" s="58"/>
      <c r="Q210" s="58"/>
      <c r="R210" s="575"/>
      <c r="S210" s="575"/>
      <c r="T210" s="575"/>
      <c r="U210" s="575"/>
      <c r="V210" s="575"/>
      <c r="W210" s="58"/>
      <c r="X210" s="392"/>
      <c r="Y210" s="56"/>
      <c r="Z210" s="369"/>
      <c r="AA210" s="56"/>
      <c r="AB210" s="56"/>
      <c r="AC210" s="56"/>
      <c r="AD210" s="56"/>
      <c r="AE210" s="56"/>
      <c r="AF210" s="59"/>
      <c r="AG210" s="15"/>
    </row>
    <row r="211" spans="1:33" ht="15" hidden="1" customHeight="1" thickBot="1" x14ac:dyDescent="0.4">
      <c r="A211" s="87"/>
      <c r="B211" s="232"/>
      <c r="C211" s="382"/>
      <c r="D211" s="383"/>
      <c r="E211" s="383"/>
      <c r="F211" s="383"/>
      <c r="G211" s="383"/>
      <c r="H211" s="383"/>
      <c r="I211" s="383"/>
      <c r="J211" s="384"/>
      <c r="K211" s="383"/>
      <c r="L211" s="383"/>
      <c r="M211" s="383"/>
      <c r="N211" s="383"/>
      <c r="O211" s="383"/>
      <c r="P211" s="383"/>
      <c r="Q211" s="383"/>
      <c r="R211" s="383"/>
      <c r="S211" s="383"/>
      <c r="T211" s="383"/>
      <c r="U211" s="384"/>
      <c r="V211" s="383"/>
      <c r="W211" s="383"/>
      <c r="X211" s="384"/>
      <c r="Y211" s="383"/>
      <c r="Z211" s="385"/>
      <c r="AA211" s="383"/>
      <c r="AB211" s="383"/>
      <c r="AC211" s="383"/>
      <c r="AD211" s="383"/>
      <c r="AE211" s="383"/>
      <c r="AF211" s="386"/>
      <c r="AG211" s="15"/>
    </row>
    <row r="212" spans="1:33" ht="5.15" customHeight="1" thickBot="1" x14ac:dyDescent="0.4">
      <c r="A212" s="87"/>
      <c r="B212" s="232"/>
      <c r="C212" s="381"/>
      <c r="D212" s="229"/>
      <c r="E212" s="229"/>
      <c r="F212" s="229"/>
      <c r="G212" s="229"/>
      <c r="H212" s="229"/>
      <c r="I212" s="229"/>
      <c r="J212" s="379"/>
      <c r="K212" s="229"/>
      <c r="L212" s="229"/>
      <c r="M212" s="229"/>
      <c r="N212" s="229"/>
      <c r="O212" s="229"/>
      <c r="P212" s="229"/>
      <c r="Q212" s="229"/>
      <c r="R212" s="229"/>
      <c r="S212" s="229"/>
      <c r="T212" s="229"/>
      <c r="U212" s="379"/>
      <c r="V212" s="229"/>
      <c r="W212" s="229"/>
      <c r="X212" s="379"/>
      <c r="Y212" s="229"/>
      <c r="Z212" s="380"/>
      <c r="AA212" s="229"/>
      <c r="AB212" s="229"/>
      <c r="AC212" s="229"/>
      <c r="AD212" s="229"/>
      <c r="AE212" s="229"/>
      <c r="AF212" s="302"/>
      <c r="AG212" s="87"/>
    </row>
    <row r="213" spans="1:33" ht="15" hidden="1" customHeight="1" thickBot="1" x14ac:dyDescent="0.4">
      <c r="A213" s="87"/>
      <c r="B213" s="232"/>
      <c r="C213" s="381"/>
      <c r="D213" s="229"/>
      <c r="E213" s="229"/>
      <c r="F213" s="229"/>
      <c r="G213" s="229"/>
      <c r="H213" s="229"/>
      <c r="I213" s="229"/>
      <c r="J213" s="379"/>
      <c r="K213" s="229"/>
      <c r="L213" s="229"/>
      <c r="M213" s="229"/>
      <c r="N213" s="229"/>
      <c r="O213" s="229"/>
      <c r="P213" s="229"/>
      <c r="Q213" s="229"/>
      <c r="R213" s="229"/>
      <c r="S213" s="229"/>
      <c r="T213" s="229"/>
      <c r="U213" s="379"/>
      <c r="V213" s="229"/>
      <c r="W213" s="229"/>
      <c r="X213" s="379"/>
      <c r="Y213" s="229"/>
      <c r="Z213" s="380"/>
      <c r="AA213" s="229"/>
      <c r="AB213" s="229"/>
      <c r="AC213" s="229"/>
      <c r="AD213" s="229"/>
      <c r="AE213" s="229"/>
      <c r="AF213" s="302"/>
      <c r="AG213"/>
    </row>
    <row r="214" spans="1:33" ht="29.15" customHeight="1" x14ac:dyDescent="0.35">
      <c r="A214" s="591">
        <f>A202+1</f>
        <v>18</v>
      </c>
      <c r="B214" s="286">
        <f>B202+10</f>
        <v>181</v>
      </c>
      <c r="C214" s="585" t="str">
        <f>VLOOKUP(A214,INputs!$G$3:$O$22,7,FALSE)</f>
        <v>Please fill out Sensitivity Labels Tab</v>
      </c>
      <c r="D214" s="47"/>
      <c r="E214" s="47"/>
      <c r="F214" s="577" t="s">
        <v>136</v>
      </c>
      <c r="G214" s="577"/>
      <c r="H214" s="577" t="s">
        <v>136</v>
      </c>
      <c r="I214" s="577"/>
      <c r="J214" s="578" t="str">
        <f>J$10</f>
        <v>Select a check box</v>
      </c>
      <c r="K214" s="578"/>
      <c r="L214" s="578" t="s">
        <v>136</v>
      </c>
      <c r="M214" s="578"/>
      <c r="N214" s="578"/>
      <c r="O214" s="578" t="s">
        <v>136</v>
      </c>
      <c r="P214" s="578"/>
      <c r="Q214" s="578"/>
      <c r="R214" s="582" t="s">
        <v>179</v>
      </c>
      <c r="S214" s="582"/>
      <c r="T214" s="397" t="s">
        <v>135</v>
      </c>
      <c r="U214" s="583" t="s">
        <v>180</v>
      </c>
      <c r="V214" s="583"/>
      <c r="W214" s="50"/>
      <c r="X214" s="391"/>
      <c r="Y214" s="576" t="s">
        <v>136</v>
      </c>
      <c r="Z214" s="576"/>
      <c r="AA214" s="51"/>
      <c r="AB214" s="577"/>
      <c r="AC214" s="577"/>
      <c r="AD214" s="48"/>
      <c r="AE214" s="49" t="s">
        <v>181</v>
      </c>
      <c r="AF214" s="52"/>
      <c r="AG214" s="20"/>
    </row>
    <row r="215" spans="1:33" x14ac:dyDescent="0.35">
      <c r="A215" s="592"/>
      <c r="B215" s="286">
        <f>B214+1</f>
        <v>182</v>
      </c>
      <c r="C215" s="586"/>
      <c r="D215" s="8"/>
      <c r="E215" s="8"/>
      <c r="F215" s="208"/>
      <c r="G215" s="208"/>
      <c r="H215" s="208"/>
      <c r="I215" s="208"/>
      <c r="J215" s="376"/>
      <c r="K215" s="376"/>
      <c r="L215" s="376"/>
      <c r="M215" s="376"/>
      <c r="N215" s="376"/>
      <c r="O215" s="376"/>
      <c r="P215" s="376"/>
      <c r="Q215" s="376"/>
      <c r="R215" s="575"/>
      <c r="S215" s="575"/>
      <c r="T215" s="575"/>
      <c r="U215" s="396"/>
      <c r="V215" s="390" t="s">
        <v>137</v>
      </c>
      <c r="W215" s="216"/>
      <c r="X215" s="393"/>
      <c r="Y215" s="395"/>
      <c r="Z215" s="395"/>
      <c r="AA215" s="20"/>
      <c r="AB215" s="208"/>
      <c r="AC215" s="530" t="s">
        <v>136</v>
      </c>
      <c r="AD215" s="208"/>
      <c r="AE215" s="573"/>
      <c r="AF215" s="54"/>
      <c r="AG215" s="20"/>
    </row>
    <row r="216" spans="1:33" ht="30.5" x14ac:dyDescent="0.35">
      <c r="A216" s="592"/>
      <c r="B216" s="286">
        <f t="shared" ref="B216:B222" si="17">B215+1</f>
        <v>183</v>
      </c>
      <c r="C216" s="586"/>
      <c r="E216" s="200" t="b">
        <v>0</v>
      </c>
      <c r="F216" s="3" t="s">
        <v>182</v>
      </c>
      <c r="H216" s="200" t="b">
        <v>0</v>
      </c>
      <c r="I216" s="210" t="s">
        <v>183</v>
      </c>
      <c r="J216" s="201" t="b">
        <v>0</v>
      </c>
      <c r="K216" s="202" t="s">
        <v>184</v>
      </c>
      <c r="L216" s="203" t="b">
        <v>0</v>
      </c>
      <c r="M216" s="9" t="s">
        <v>185</v>
      </c>
      <c r="N216" s="213"/>
      <c r="O216" s="203" t="b">
        <v>0</v>
      </c>
      <c r="P216" s="9" t="s">
        <v>186</v>
      </c>
      <c r="Q216" s="9"/>
      <c r="R216" s="575"/>
      <c r="S216" s="575"/>
      <c r="T216" s="575"/>
      <c r="U216" s="575"/>
      <c r="V216" s="575"/>
      <c r="W216" s="216"/>
      <c r="X216" s="204" t="b">
        <v>0</v>
      </c>
      <c r="Y216" s="205" t="s">
        <v>187</v>
      </c>
      <c r="Z216" s="371"/>
      <c r="AA216" s="15"/>
      <c r="AB216" s="529" t="b">
        <v>0</v>
      </c>
      <c r="AC216" s="389" t="s">
        <v>188</v>
      </c>
      <c r="AD216" s="15"/>
      <c r="AE216" s="573"/>
      <c r="AF216" s="53"/>
      <c r="AG216" s="15"/>
    </row>
    <row r="217" spans="1:33" ht="35.15" customHeight="1" x14ac:dyDescent="0.35">
      <c r="A217" s="592"/>
      <c r="B217" s="286">
        <f t="shared" si="17"/>
        <v>184</v>
      </c>
      <c r="C217" s="586"/>
      <c r="E217" s="200" t="b">
        <v>0</v>
      </c>
      <c r="F217" s="196" t="s">
        <v>189</v>
      </c>
      <c r="H217" s="15"/>
      <c r="I217" s="210"/>
      <c r="J217" s="204" t="b">
        <v>0</v>
      </c>
      <c r="K217" s="588" t="s">
        <v>190</v>
      </c>
      <c r="L217" s="204" t="b">
        <v>0</v>
      </c>
      <c r="M217" s="205" t="s">
        <v>191</v>
      </c>
      <c r="N217" s="387">
        <v>44197</v>
      </c>
      <c r="O217" s="204" t="b">
        <v>0</v>
      </c>
      <c r="P217" s="205" t="s">
        <v>185</v>
      </c>
      <c r="Q217" s="205"/>
      <c r="R217" s="203" t="b">
        <v>0</v>
      </c>
      <c r="S217" s="9" t="s">
        <v>192</v>
      </c>
      <c r="T217" s="9" t="s">
        <v>135</v>
      </c>
      <c r="U217" s="204" t="b">
        <v>0</v>
      </c>
      <c r="V217" s="390" t="s">
        <v>193</v>
      </c>
      <c r="W217" s="215"/>
      <c r="X217" s="204" t="b">
        <v>0</v>
      </c>
      <c r="Y217" s="205" t="s">
        <v>194</v>
      </c>
      <c r="Z217" s="371"/>
      <c r="AA217" s="15"/>
      <c r="AB217" s="217"/>
      <c r="AC217" s="208" t="s">
        <v>137</v>
      </c>
      <c r="AD217" s="209"/>
      <c r="AE217" s="376" t="s">
        <v>195</v>
      </c>
      <c r="AF217" s="54"/>
      <c r="AG217" s="15"/>
    </row>
    <row r="218" spans="1:33" ht="14.5" customHeight="1" x14ac:dyDescent="0.35">
      <c r="A218" s="592"/>
      <c r="B218" s="286">
        <f t="shared" si="17"/>
        <v>185</v>
      </c>
      <c r="C218" s="586"/>
      <c r="E218" s="200" t="b">
        <v>0</v>
      </c>
      <c r="F218" s="589" t="s">
        <v>204</v>
      </c>
      <c r="H218" s="200" t="b">
        <v>0</v>
      </c>
      <c r="I218" s="210" t="s">
        <v>197</v>
      </c>
      <c r="J218" s="205"/>
      <c r="K218" s="588"/>
      <c r="L218" s="203" t="b">
        <v>0</v>
      </c>
      <c r="M218" s="44" t="s">
        <v>198</v>
      </c>
      <c r="N218" s="211">
        <v>6</v>
      </c>
      <c r="O218" s="203" t="b">
        <v>0</v>
      </c>
      <c r="P218" s="9" t="s">
        <v>198</v>
      </c>
      <c r="Q218" s="211">
        <v>0</v>
      </c>
      <c r="R218" s="575"/>
      <c r="S218" s="575"/>
      <c r="T218" s="575"/>
      <c r="U218" s="584" t="s">
        <v>136</v>
      </c>
      <c r="V218" s="584"/>
      <c r="W218" s="584"/>
      <c r="X218" s="204" t="b">
        <v>0</v>
      </c>
      <c r="Y218" s="9" t="s">
        <v>199</v>
      </c>
      <c r="Z218" s="575"/>
      <c r="AA218" s="15"/>
      <c r="AB218" s="217"/>
      <c r="AC218" s="22"/>
      <c r="AD218" s="15"/>
      <c r="AE218" s="574"/>
      <c r="AF218" s="53"/>
      <c r="AG218" s="15"/>
    </row>
    <row r="219" spans="1:33" x14ac:dyDescent="0.35">
      <c r="A219" s="592"/>
      <c r="B219" s="286">
        <f t="shared" si="17"/>
        <v>186</v>
      </c>
      <c r="C219" s="586"/>
      <c r="F219" s="589"/>
      <c r="H219" s="15"/>
      <c r="I219" s="15"/>
      <c r="J219" s="205"/>
      <c r="K219" s="9"/>
      <c r="L219" s="15"/>
      <c r="M219" s="15"/>
      <c r="N219" s="218"/>
      <c r="O219" s="9"/>
      <c r="P219" s="9"/>
      <c r="Q219" s="9"/>
      <c r="R219" s="575"/>
      <c r="S219" s="575"/>
      <c r="T219" s="575"/>
      <c r="U219" s="204" t="b">
        <v>0</v>
      </c>
      <c r="V219" s="205" t="s">
        <v>200</v>
      </c>
      <c r="W219" s="216"/>
      <c r="Y219" s="15"/>
      <c r="Z219" s="575"/>
      <c r="AA219" s="15"/>
      <c r="AB219" s="15"/>
      <c r="AC219" s="15"/>
      <c r="AD219" s="15"/>
      <c r="AE219" s="574"/>
      <c r="AF219" s="53"/>
      <c r="AG219" s="15"/>
    </row>
    <row r="220" spans="1:33" ht="30" customHeight="1" x14ac:dyDescent="0.35">
      <c r="A220" s="592"/>
      <c r="B220" s="286">
        <f t="shared" si="17"/>
        <v>187</v>
      </c>
      <c r="C220" s="586"/>
      <c r="E220"/>
      <c r="H220" s="15"/>
      <c r="I220" s="15"/>
      <c r="J220" s="373"/>
      <c r="K220" s="213"/>
      <c r="L220" s="213"/>
      <c r="M220" s="213"/>
      <c r="N220" s="213"/>
      <c r="O220" s="9"/>
      <c r="P220" s="9"/>
      <c r="Q220" s="9"/>
      <c r="R220" s="203" t="b">
        <v>0</v>
      </c>
      <c r="S220" s="9" t="s">
        <v>201</v>
      </c>
      <c r="T220" s="9" t="s">
        <v>135</v>
      </c>
      <c r="U220" s="575"/>
      <c r="V220" s="575"/>
      <c r="Y220" s="15"/>
      <c r="Z220" s="368"/>
      <c r="AA220" s="15"/>
      <c r="AB220" s="15"/>
      <c r="AC220" s="15"/>
      <c r="AD220" s="15"/>
      <c r="AE220" s="15"/>
      <c r="AF220" s="53"/>
      <c r="AG220" s="15"/>
    </row>
    <row r="221" spans="1:33" x14ac:dyDescent="0.35">
      <c r="A221" s="592"/>
      <c r="B221" s="286">
        <f t="shared" si="17"/>
        <v>188</v>
      </c>
      <c r="C221" s="586"/>
      <c r="E221"/>
      <c r="H221" s="212"/>
      <c r="I221" s="15"/>
      <c r="J221" s="373"/>
      <c r="K221" s="213"/>
      <c r="L221" s="213"/>
      <c r="M221" s="213"/>
      <c r="N221" s="213"/>
      <c r="O221" s="9"/>
      <c r="P221" s="9"/>
      <c r="Q221" s="9"/>
      <c r="R221" s="575"/>
      <c r="S221" s="575"/>
      <c r="T221" s="575"/>
      <c r="U221" s="204" t="b">
        <v>0</v>
      </c>
      <c r="V221" s="9" t="s">
        <v>202</v>
      </c>
      <c r="W221" s="9"/>
      <c r="Y221" s="15"/>
      <c r="Z221" s="368"/>
      <c r="AA221" s="15"/>
      <c r="AB221" s="15"/>
      <c r="AC221" s="15"/>
      <c r="AD221" s="15"/>
      <c r="AE221" s="15"/>
      <c r="AF221" s="53"/>
      <c r="AG221" s="15"/>
    </row>
    <row r="222" spans="1:33" ht="30" customHeight="1" thickBot="1" x14ac:dyDescent="0.4">
      <c r="A222" s="593"/>
      <c r="B222" s="286">
        <f t="shared" si="17"/>
        <v>189</v>
      </c>
      <c r="C222" s="587"/>
      <c r="D222" s="55"/>
      <c r="E222" s="55"/>
      <c r="F222" s="55"/>
      <c r="G222" s="55"/>
      <c r="H222" s="56"/>
      <c r="I222" s="56"/>
      <c r="J222" s="374"/>
      <c r="K222" s="57"/>
      <c r="L222" s="57"/>
      <c r="M222" s="57"/>
      <c r="N222" s="57"/>
      <c r="O222" s="58"/>
      <c r="P222" s="58"/>
      <c r="Q222" s="58"/>
      <c r="R222" s="575"/>
      <c r="S222" s="575"/>
      <c r="T222" s="575"/>
      <c r="U222" s="575"/>
      <c r="V222" s="575"/>
      <c r="W222" s="58"/>
      <c r="X222" s="392"/>
      <c r="Y222" s="56"/>
      <c r="Z222" s="369"/>
      <c r="AA222" s="56"/>
      <c r="AB222" s="56"/>
      <c r="AC222" s="56"/>
      <c r="AD222" s="56"/>
      <c r="AE222" s="56"/>
      <c r="AF222" s="59"/>
      <c r="AG222" s="15"/>
    </row>
    <row r="223" spans="1:33" ht="15" hidden="1" customHeight="1" thickBot="1" x14ac:dyDescent="0.4">
      <c r="A223" s="87"/>
      <c r="B223" s="232"/>
      <c r="C223" s="382"/>
      <c r="D223" s="383"/>
      <c r="E223" s="383"/>
      <c r="F223" s="383"/>
      <c r="G223" s="383"/>
      <c r="H223" s="383"/>
      <c r="I223" s="383"/>
      <c r="J223" s="384"/>
      <c r="K223" s="383"/>
      <c r="L223" s="383"/>
      <c r="M223" s="383"/>
      <c r="N223" s="383"/>
      <c r="O223" s="383"/>
      <c r="P223" s="383"/>
      <c r="Q223" s="383"/>
      <c r="R223" s="383"/>
      <c r="S223" s="383"/>
      <c r="T223" s="383"/>
      <c r="U223" s="384"/>
      <c r="V223" s="383"/>
      <c r="W223" s="383"/>
      <c r="X223" s="384"/>
      <c r="Y223" s="383"/>
      <c r="Z223" s="385"/>
      <c r="AA223" s="383"/>
      <c r="AB223" s="383"/>
      <c r="AC223" s="383"/>
      <c r="AD223" s="383"/>
      <c r="AE223" s="383"/>
      <c r="AF223" s="386"/>
      <c r="AG223" s="87"/>
    </row>
    <row r="224" spans="1:33" ht="5.15" customHeight="1" thickBot="1" x14ac:dyDescent="0.4">
      <c r="A224" s="87"/>
      <c r="B224" s="232"/>
      <c r="C224" s="381"/>
      <c r="D224" s="229"/>
      <c r="E224" s="229"/>
      <c r="F224" s="229"/>
      <c r="G224" s="229"/>
      <c r="H224" s="229"/>
      <c r="I224" s="229"/>
      <c r="J224" s="379"/>
      <c r="K224" s="229"/>
      <c r="L224" s="229"/>
      <c r="M224" s="229"/>
      <c r="N224" s="229"/>
      <c r="O224" s="229"/>
      <c r="P224" s="229"/>
      <c r="Q224" s="229"/>
      <c r="R224" s="229"/>
      <c r="S224" s="229"/>
      <c r="T224" s="229"/>
      <c r="U224" s="379"/>
      <c r="V224" s="229"/>
      <c r="W224" s="229"/>
      <c r="X224" s="379"/>
      <c r="Y224" s="229"/>
      <c r="Z224" s="380"/>
      <c r="AA224" s="229"/>
      <c r="AB224" s="229"/>
      <c r="AC224" s="229"/>
      <c r="AD224" s="229"/>
      <c r="AE224" s="229"/>
      <c r="AF224" s="302"/>
      <c r="AG224" s="87"/>
    </row>
    <row r="225" spans="1:33" ht="15" hidden="1" customHeight="1" thickBot="1" x14ac:dyDescent="0.4">
      <c r="A225" s="87"/>
      <c r="B225" s="232"/>
      <c r="C225" s="219"/>
      <c r="D225" s="220"/>
      <c r="E225" s="220"/>
      <c r="F225" s="220"/>
      <c r="G225" s="220"/>
      <c r="H225" s="220"/>
      <c r="I225" s="220"/>
      <c r="J225" s="372"/>
      <c r="K225" s="220"/>
      <c r="L225" s="220"/>
      <c r="M225" s="220"/>
      <c r="N225" s="220"/>
      <c r="O225" s="220"/>
      <c r="P225" s="220"/>
      <c r="Q225" s="220"/>
      <c r="R225" s="220"/>
      <c r="S225" s="220"/>
      <c r="T225" s="220"/>
      <c r="U225" s="372"/>
      <c r="V225" s="220"/>
      <c r="W225" s="220"/>
      <c r="X225" s="372"/>
      <c r="Y225" s="220"/>
      <c r="Z225" s="370"/>
      <c r="AA225" s="220"/>
      <c r="AB225" s="220"/>
      <c r="AC225" s="220"/>
      <c r="AD225" s="220"/>
      <c r="AE225" s="220"/>
      <c r="AF225" s="221"/>
      <c r="AG225" s="87"/>
    </row>
    <row r="226" spans="1:33" ht="29.15" customHeight="1" x14ac:dyDescent="0.35">
      <c r="A226" s="591">
        <f>A214+1</f>
        <v>19</v>
      </c>
      <c r="B226" s="286">
        <f>B214+10</f>
        <v>191</v>
      </c>
      <c r="C226" s="585" t="str">
        <f>VLOOKUP(A226,INputs!$G$3:$O$22,7,FALSE)</f>
        <v>Please fill out Sensitivity Labels Tab</v>
      </c>
      <c r="D226" s="47"/>
      <c r="E226" s="47"/>
      <c r="F226" s="577" t="s">
        <v>136</v>
      </c>
      <c r="G226" s="577"/>
      <c r="H226" s="577" t="s">
        <v>136</v>
      </c>
      <c r="I226" s="577"/>
      <c r="J226" s="578" t="str">
        <f>J$10</f>
        <v>Select a check box</v>
      </c>
      <c r="K226" s="578"/>
      <c r="L226" s="578" t="s">
        <v>136</v>
      </c>
      <c r="M226" s="578"/>
      <c r="N226" s="578"/>
      <c r="O226" s="578" t="s">
        <v>136</v>
      </c>
      <c r="P226" s="578"/>
      <c r="Q226" s="578"/>
      <c r="R226" s="582" t="s">
        <v>179</v>
      </c>
      <c r="S226" s="582"/>
      <c r="T226" s="397" t="s">
        <v>135</v>
      </c>
      <c r="U226" s="583" t="s">
        <v>180</v>
      </c>
      <c r="V226" s="583"/>
      <c r="W226" s="50"/>
      <c r="X226" s="391"/>
      <c r="Y226" s="576" t="s">
        <v>136</v>
      </c>
      <c r="Z226" s="576"/>
      <c r="AA226" s="51"/>
      <c r="AB226" s="577"/>
      <c r="AC226" s="577"/>
      <c r="AD226" s="48"/>
      <c r="AE226" s="49" t="s">
        <v>181</v>
      </c>
      <c r="AF226" s="52"/>
      <c r="AG226" s="20"/>
    </row>
    <row r="227" spans="1:33" x14ac:dyDescent="0.35">
      <c r="A227" s="592"/>
      <c r="B227" s="286">
        <f>B226+1</f>
        <v>192</v>
      </c>
      <c r="C227" s="586"/>
      <c r="D227" s="8"/>
      <c r="E227" s="8"/>
      <c r="F227" s="208"/>
      <c r="G227" s="208"/>
      <c r="H227" s="208"/>
      <c r="I227" s="208"/>
      <c r="J227" s="376"/>
      <c r="K227" s="376"/>
      <c r="L227" s="376"/>
      <c r="M227" s="376"/>
      <c r="N227" s="376"/>
      <c r="O227" s="376"/>
      <c r="P227" s="376"/>
      <c r="Q227" s="376"/>
      <c r="R227" s="575"/>
      <c r="S227" s="575"/>
      <c r="T227" s="575"/>
      <c r="U227" s="396"/>
      <c r="V227" s="390" t="s">
        <v>137</v>
      </c>
      <c r="W227" s="216"/>
      <c r="X227" s="393"/>
      <c r="Y227" s="395"/>
      <c r="Z227" s="395"/>
      <c r="AA227" s="20"/>
      <c r="AB227" s="208"/>
      <c r="AC227" s="530" t="s">
        <v>136</v>
      </c>
      <c r="AD227" s="208"/>
      <c r="AE227" s="573"/>
      <c r="AF227" s="54"/>
      <c r="AG227" s="20"/>
    </row>
    <row r="228" spans="1:33" ht="30.5" x14ac:dyDescent="0.35">
      <c r="A228" s="592"/>
      <c r="B228" s="286">
        <f t="shared" ref="B228:B234" si="18">B227+1</f>
        <v>193</v>
      </c>
      <c r="C228" s="586"/>
      <c r="E228" s="200" t="b">
        <v>0</v>
      </c>
      <c r="F228" s="3" t="s">
        <v>182</v>
      </c>
      <c r="H228" s="200" t="b">
        <v>0</v>
      </c>
      <c r="I228" s="210" t="s">
        <v>183</v>
      </c>
      <c r="J228" s="201" t="b">
        <v>0</v>
      </c>
      <c r="K228" s="202" t="s">
        <v>184</v>
      </c>
      <c r="L228" s="203" t="b">
        <v>0</v>
      </c>
      <c r="M228" s="9" t="s">
        <v>185</v>
      </c>
      <c r="N228" s="213"/>
      <c r="O228" s="203" t="b">
        <v>0</v>
      </c>
      <c r="P228" s="9" t="s">
        <v>186</v>
      </c>
      <c r="Q228" s="9"/>
      <c r="R228" s="575"/>
      <c r="S228" s="575"/>
      <c r="T228" s="575"/>
      <c r="U228" s="575"/>
      <c r="V228" s="575"/>
      <c r="W228" s="216"/>
      <c r="X228" s="204" t="b">
        <v>0</v>
      </c>
      <c r="Y228" s="205" t="s">
        <v>187</v>
      </c>
      <c r="Z228" s="371"/>
      <c r="AA228" s="15"/>
      <c r="AB228" s="529" t="b">
        <v>0</v>
      </c>
      <c r="AC228" s="389" t="s">
        <v>188</v>
      </c>
      <c r="AD228" s="15"/>
      <c r="AE228" s="573"/>
      <c r="AF228" s="53"/>
      <c r="AG228" s="15"/>
    </row>
    <row r="229" spans="1:33" ht="35.15" customHeight="1" x14ac:dyDescent="0.35">
      <c r="A229" s="592"/>
      <c r="B229" s="286">
        <f t="shared" si="18"/>
        <v>194</v>
      </c>
      <c r="C229" s="586"/>
      <c r="E229" s="200" t="b">
        <v>0</v>
      </c>
      <c r="F229" s="196" t="s">
        <v>189</v>
      </c>
      <c r="H229" s="15"/>
      <c r="I229" s="210"/>
      <c r="J229" s="204" t="b">
        <v>0</v>
      </c>
      <c r="K229" s="588" t="s">
        <v>190</v>
      </c>
      <c r="L229" s="204" t="b">
        <v>0</v>
      </c>
      <c r="M229" s="205" t="s">
        <v>191</v>
      </c>
      <c r="N229" s="387">
        <v>44197</v>
      </c>
      <c r="O229" s="204" t="b">
        <v>0</v>
      </c>
      <c r="P229" s="205" t="s">
        <v>185</v>
      </c>
      <c r="Q229" s="205"/>
      <c r="R229" s="203" t="b">
        <v>0</v>
      </c>
      <c r="S229" s="9" t="s">
        <v>192</v>
      </c>
      <c r="T229" s="9" t="s">
        <v>135</v>
      </c>
      <c r="U229" s="204" t="b">
        <v>0</v>
      </c>
      <c r="V229" s="390" t="s">
        <v>193</v>
      </c>
      <c r="W229" s="215"/>
      <c r="X229" s="204" t="b">
        <v>0</v>
      </c>
      <c r="Y229" s="205" t="s">
        <v>194</v>
      </c>
      <c r="Z229" s="371"/>
      <c r="AA229" s="15"/>
      <c r="AB229" s="217"/>
      <c r="AC229" s="208" t="s">
        <v>137</v>
      </c>
      <c r="AD229" s="209"/>
      <c r="AE229" s="376" t="s">
        <v>195</v>
      </c>
      <c r="AF229" s="54"/>
      <c r="AG229" s="15"/>
    </row>
    <row r="230" spans="1:33" ht="14.5" customHeight="1" x14ac:dyDescent="0.35">
      <c r="A230" s="592"/>
      <c r="B230" s="286">
        <f t="shared" si="18"/>
        <v>195</v>
      </c>
      <c r="C230" s="586"/>
      <c r="E230" s="200" t="b">
        <v>0</v>
      </c>
      <c r="F230" s="589" t="s">
        <v>204</v>
      </c>
      <c r="H230" s="200" t="b">
        <v>0</v>
      </c>
      <c r="I230" s="210" t="s">
        <v>197</v>
      </c>
      <c r="J230" s="205"/>
      <c r="K230" s="588"/>
      <c r="L230" s="203" t="b">
        <v>0</v>
      </c>
      <c r="M230" s="44" t="s">
        <v>198</v>
      </c>
      <c r="N230" s="211">
        <v>6</v>
      </c>
      <c r="O230" s="203" t="b">
        <v>0</v>
      </c>
      <c r="P230" s="9" t="s">
        <v>198</v>
      </c>
      <c r="Q230" s="211">
        <v>0</v>
      </c>
      <c r="R230" s="575"/>
      <c r="S230" s="575"/>
      <c r="T230" s="575"/>
      <c r="U230" s="584" t="s">
        <v>136</v>
      </c>
      <c r="V230" s="584"/>
      <c r="W230" s="584"/>
      <c r="X230" s="204" t="b">
        <v>0</v>
      </c>
      <c r="Y230" s="9" t="s">
        <v>199</v>
      </c>
      <c r="Z230" s="575"/>
      <c r="AA230" s="15"/>
      <c r="AB230" s="217"/>
      <c r="AC230" s="22"/>
      <c r="AD230" s="15"/>
      <c r="AE230" s="574"/>
      <c r="AF230" s="53"/>
      <c r="AG230" s="15"/>
    </row>
    <row r="231" spans="1:33" x14ac:dyDescent="0.35">
      <c r="A231" s="592"/>
      <c r="B231" s="286">
        <f t="shared" si="18"/>
        <v>196</v>
      </c>
      <c r="C231" s="586"/>
      <c r="F231" s="589"/>
      <c r="H231" s="15"/>
      <c r="I231" s="15"/>
      <c r="J231" s="205"/>
      <c r="K231" s="9"/>
      <c r="L231" s="15"/>
      <c r="M231" s="15"/>
      <c r="N231" s="218"/>
      <c r="O231" s="9"/>
      <c r="P231" s="9"/>
      <c r="Q231" s="9"/>
      <c r="R231" s="575"/>
      <c r="S231" s="575"/>
      <c r="T231" s="575"/>
      <c r="U231" s="204" t="b">
        <v>0</v>
      </c>
      <c r="V231" s="205" t="s">
        <v>200</v>
      </c>
      <c r="W231" s="216"/>
      <c r="Y231" s="15"/>
      <c r="Z231" s="575"/>
      <c r="AA231" s="15"/>
      <c r="AB231" s="15"/>
      <c r="AC231" s="15"/>
      <c r="AD231" s="15"/>
      <c r="AE231" s="574"/>
      <c r="AF231" s="53"/>
      <c r="AG231" s="15"/>
    </row>
    <row r="232" spans="1:33" ht="30" customHeight="1" x14ac:dyDescent="0.35">
      <c r="A232" s="592"/>
      <c r="B232" s="286">
        <f t="shared" si="18"/>
        <v>197</v>
      </c>
      <c r="C232" s="586"/>
      <c r="E232"/>
      <c r="H232" s="15"/>
      <c r="I232" s="15"/>
      <c r="J232" s="373"/>
      <c r="K232" s="213"/>
      <c r="L232" s="213"/>
      <c r="M232" s="213"/>
      <c r="N232" s="213"/>
      <c r="O232" s="9"/>
      <c r="P232" s="9"/>
      <c r="Q232" s="9"/>
      <c r="R232" s="203" t="b">
        <v>0</v>
      </c>
      <c r="S232" s="9" t="s">
        <v>201</v>
      </c>
      <c r="T232" s="9" t="s">
        <v>135</v>
      </c>
      <c r="U232" s="575"/>
      <c r="V232" s="575"/>
      <c r="Y232" s="15"/>
      <c r="Z232" s="368"/>
      <c r="AA232" s="15"/>
      <c r="AB232" s="15"/>
      <c r="AC232" s="15"/>
      <c r="AD232" s="15"/>
      <c r="AE232" s="15"/>
      <c r="AF232" s="53"/>
      <c r="AG232" s="15"/>
    </row>
    <row r="233" spans="1:33" x14ac:dyDescent="0.35">
      <c r="A233" s="592"/>
      <c r="B233" s="286">
        <f t="shared" si="18"/>
        <v>198</v>
      </c>
      <c r="C233" s="586"/>
      <c r="E233"/>
      <c r="H233" s="212"/>
      <c r="I233" s="15"/>
      <c r="J233" s="373"/>
      <c r="K233" s="213"/>
      <c r="L233" s="213"/>
      <c r="M233" s="213"/>
      <c r="N233" s="213"/>
      <c r="O233" s="9"/>
      <c r="P233" s="9"/>
      <c r="Q233" s="9"/>
      <c r="R233" s="575"/>
      <c r="S233" s="575"/>
      <c r="T233" s="575"/>
      <c r="U233" s="204" t="b">
        <v>0</v>
      </c>
      <c r="V233" s="9" t="s">
        <v>202</v>
      </c>
      <c r="W233" s="9"/>
      <c r="Y233" s="15"/>
      <c r="Z233" s="368"/>
      <c r="AA233" s="15"/>
      <c r="AB233" s="15"/>
      <c r="AC233" s="15"/>
      <c r="AD233" s="15"/>
      <c r="AE233" s="15"/>
      <c r="AF233" s="53"/>
      <c r="AG233" s="15"/>
    </row>
    <row r="234" spans="1:33" ht="30" customHeight="1" thickBot="1" x14ac:dyDescent="0.4">
      <c r="A234" s="593"/>
      <c r="B234" s="286">
        <f t="shared" si="18"/>
        <v>199</v>
      </c>
      <c r="C234" s="587"/>
      <c r="D234" s="55"/>
      <c r="E234" s="55"/>
      <c r="F234" s="55"/>
      <c r="G234" s="55"/>
      <c r="H234" s="56"/>
      <c r="I234" s="56"/>
      <c r="J234" s="374"/>
      <c r="K234" s="57"/>
      <c r="L234" s="57"/>
      <c r="M234" s="57"/>
      <c r="N234" s="57"/>
      <c r="O234" s="58"/>
      <c r="P234" s="58"/>
      <c r="Q234" s="58"/>
      <c r="R234" s="575"/>
      <c r="S234" s="575"/>
      <c r="T234" s="575"/>
      <c r="U234" s="575"/>
      <c r="V234" s="575"/>
      <c r="W234" s="58"/>
      <c r="X234" s="392"/>
      <c r="Y234" s="56"/>
      <c r="Z234" s="369"/>
      <c r="AA234" s="56"/>
      <c r="AB234" s="56"/>
      <c r="AC234" s="56"/>
      <c r="AD234" s="56"/>
      <c r="AE234" s="56"/>
      <c r="AF234" s="59"/>
      <c r="AG234" s="15"/>
    </row>
    <row r="235" spans="1:33" ht="15" hidden="1" customHeight="1" thickBot="1" x14ac:dyDescent="0.4">
      <c r="A235" s="87"/>
      <c r="B235" s="232"/>
      <c r="C235" s="382"/>
      <c r="D235" s="383"/>
      <c r="E235" s="383"/>
      <c r="F235" s="383"/>
      <c r="G235" s="383"/>
      <c r="H235" s="383"/>
      <c r="I235" s="383"/>
      <c r="J235" s="384"/>
      <c r="K235" s="383"/>
      <c r="L235" s="383"/>
      <c r="M235" s="383"/>
      <c r="N235" s="383"/>
      <c r="O235" s="383"/>
      <c r="P235" s="383"/>
      <c r="Q235" s="383"/>
      <c r="R235" s="383"/>
      <c r="S235" s="383"/>
      <c r="T235" s="383"/>
      <c r="U235" s="384"/>
      <c r="V235" s="383"/>
      <c r="W235" s="383"/>
      <c r="X235" s="384"/>
      <c r="Y235" s="383"/>
      <c r="Z235" s="385"/>
      <c r="AA235" s="383"/>
      <c r="AB235" s="383"/>
      <c r="AC235" s="383"/>
      <c r="AD235" s="383"/>
      <c r="AE235" s="383"/>
      <c r="AF235" s="386"/>
      <c r="AG235" s="15"/>
    </row>
    <row r="236" spans="1:33" ht="5.15" customHeight="1" thickBot="1" x14ac:dyDescent="0.4">
      <c r="A236" s="87"/>
      <c r="B236" s="232"/>
      <c r="C236" s="381"/>
      <c r="D236" s="229"/>
      <c r="E236" s="229"/>
      <c r="F236" s="229"/>
      <c r="G236" s="229"/>
      <c r="H236" s="229"/>
      <c r="I236" s="229"/>
      <c r="J236" s="379"/>
      <c r="K236" s="229"/>
      <c r="L236" s="229"/>
      <c r="M236" s="229"/>
      <c r="N236" s="229"/>
      <c r="O236" s="229"/>
      <c r="P236" s="229"/>
      <c r="Q236" s="229"/>
      <c r="R236" s="229"/>
      <c r="S236" s="229"/>
      <c r="T236" s="229"/>
      <c r="U236" s="379"/>
      <c r="V236" s="229"/>
      <c r="W236" s="229"/>
      <c r="X236" s="379"/>
      <c r="Y236" s="229"/>
      <c r="Z236" s="380"/>
      <c r="AA236" s="229"/>
      <c r="AB236" s="229"/>
      <c r="AC236" s="229"/>
      <c r="AD236" s="229"/>
      <c r="AE236" s="229"/>
      <c r="AF236" s="302"/>
      <c r="AG236" s="87"/>
    </row>
    <row r="237" spans="1:33" ht="15" hidden="1" customHeight="1" thickBot="1" x14ac:dyDescent="0.4">
      <c r="A237" s="87"/>
      <c r="B237" s="232"/>
      <c r="C237" s="219"/>
      <c r="D237" s="220"/>
      <c r="E237" s="220"/>
      <c r="F237" s="220"/>
      <c r="G237" s="220"/>
      <c r="H237" s="220"/>
      <c r="I237" s="220"/>
      <c r="J237" s="372"/>
      <c r="K237" s="220"/>
      <c r="L237" s="220"/>
      <c r="M237" s="220"/>
      <c r="N237" s="220"/>
      <c r="O237" s="220"/>
      <c r="P237" s="220"/>
      <c r="Q237" s="220"/>
      <c r="R237" s="220"/>
      <c r="S237" s="220"/>
      <c r="T237" s="220"/>
      <c r="U237" s="372"/>
      <c r="V237" s="220"/>
      <c r="W237" s="220"/>
      <c r="X237" s="372"/>
      <c r="Y237" s="220"/>
      <c r="Z237" s="370"/>
      <c r="AA237" s="220"/>
      <c r="AB237" s="220"/>
      <c r="AC237" s="220"/>
      <c r="AD237" s="220"/>
      <c r="AE237" s="220"/>
      <c r="AF237" s="221"/>
      <c r="AG237"/>
    </row>
    <row r="238" spans="1:33" ht="29.15" customHeight="1" x14ac:dyDescent="0.35">
      <c r="A238" s="591">
        <f>A226+1</f>
        <v>20</v>
      </c>
      <c r="B238" s="286">
        <f>B226+10</f>
        <v>201</v>
      </c>
      <c r="C238" s="585" t="str">
        <f>VLOOKUP(A238,INputs!$G$3:$O$22,7,FALSE)</f>
        <v>Please fill out Sensitivity Labels Tab</v>
      </c>
      <c r="D238" s="47"/>
      <c r="E238" s="47"/>
      <c r="F238" s="577" t="s">
        <v>136</v>
      </c>
      <c r="G238" s="577"/>
      <c r="H238" s="577" t="s">
        <v>136</v>
      </c>
      <c r="I238" s="577"/>
      <c r="J238" s="578" t="str">
        <f>J$10</f>
        <v>Select a check box</v>
      </c>
      <c r="K238" s="578"/>
      <c r="L238" s="578" t="s">
        <v>136</v>
      </c>
      <c r="M238" s="578"/>
      <c r="N238" s="578"/>
      <c r="O238" s="578" t="s">
        <v>136</v>
      </c>
      <c r="P238" s="578"/>
      <c r="Q238" s="578"/>
      <c r="R238" s="582" t="s">
        <v>179</v>
      </c>
      <c r="S238" s="582"/>
      <c r="T238" s="397" t="s">
        <v>135</v>
      </c>
      <c r="U238" s="583" t="s">
        <v>180</v>
      </c>
      <c r="V238" s="583"/>
      <c r="W238" s="50"/>
      <c r="X238" s="391"/>
      <c r="Y238" s="576" t="s">
        <v>136</v>
      </c>
      <c r="Z238" s="576"/>
      <c r="AA238" s="51"/>
      <c r="AB238" s="577"/>
      <c r="AC238" s="577"/>
      <c r="AD238" s="48"/>
      <c r="AE238" s="49" t="s">
        <v>181</v>
      </c>
      <c r="AF238" s="52"/>
      <c r="AG238" s="20"/>
    </row>
    <row r="239" spans="1:33" x14ac:dyDescent="0.35">
      <c r="A239" s="592"/>
      <c r="B239" s="286">
        <f>B238+1</f>
        <v>202</v>
      </c>
      <c r="C239" s="586"/>
      <c r="D239" s="8"/>
      <c r="E239" s="8"/>
      <c r="F239" s="208"/>
      <c r="G239" s="208"/>
      <c r="H239" s="208"/>
      <c r="I239" s="208"/>
      <c r="J239" s="376"/>
      <c r="K239" s="376"/>
      <c r="L239" s="376"/>
      <c r="M239" s="376"/>
      <c r="N239" s="376"/>
      <c r="O239" s="376"/>
      <c r="P239" s="376"/>
      <c r="Q239" s="376"/>
      <c r="R239" s="575"/>
      <c r="S239" s="575"/>
      <c r="T239" s="575"/>
      <c r="U239" s="396"/>
      <c r="V239" s="390" t="s">
        <v>137</v>
      </c>
      <c r="W239" s="216"/>
      <c r="X239" s="393"/>
      <c r="Y239" s="395"/>
      <c r="Z239" s="395"/>
      <c r="AA239" s="20"/>
      <c r="AB239" s="208"/>
      <c r="AC239" s="530" t="s">
        <v>136</v>
      </c>
      <c r="AD239" s="208"/>
      <c r="AE239" s="573"/>
      <c r="AF239" s="54"/>
      <c r="AG239" s="20"/>
    </row>
    <row r="240" spans="1:33" ht="30.5" x14ac:dyDescent="0.35">
      <c r="A240" s="592"/>
      <c r="B240" s="286">
        <f t="shared" ref="B240:B246" si="19">B239+1</f>
        <v>203</v>
      </c>
      <c r="C240" s="586"/>
      <c r="E240" s="200" t="b">
        <v>0</v>
      </c>
      <c r="F240" s="3" t="s">
        <v>182</v>
      </c>
      <c r="H240" s="200" t="b">
        <v>0</v>
      </c>
      <c r="I240" s="210" t="s">
        <v>183</v>
      </c>
      <c r="J240" s="201" t="b">
        <v>0</v>
      </c>
      <c r="K240" s="202" t="s">
        <v>184</v>
      </c>
      <c r="L240" s="203" t="b">
        <v>0</v>
      </c>
      <c r="M240" s="9" t="s">
        <v>185</v>
      </c>
      <c r="N240" s="213"/>
      <c r="O240" s="203" t="b">
        <v>0</v>
      </c>
      <c r="P240" s="9" t="s">
        <v>186</v>
      </c>
      <c r="Q240" s="9"/>
      <c r="R240" s="575"/>
      <c r="S240" s="575"/>
      <c r="T240" s="575"/>
      <c r="U240" s="575"/>
      <c r="V240" s="575"/>
      <c r="W240" s="216"/>
      <c r="X240" s="204" t="b">
        <v>0</v>
      </c>
      <c r="Y240" s="205" t="s">
        <v>187</v>
      </c>
      <c r="Z240" s="371"/>
      <c r="AA240" s="15"/>
      <c r="AB240" s="529" t="b">
        <v>0</v>
      </c>
      <c r="AC240" s="389" t="s">
        <v>188</v>
      </c>
      <c r="AD240" s="15"/>
      <c r="AE240" s="573"/>
      <c r="AF240" s="53"/>
      <c r="AG240" s="15"/>
    </row>
    <row r="241" spans="1:33" ht="35.15" customHeight="1" x14ac:dyDescent="0.35">
      <c r="A241" s="592"/>
      <c r="B241" s="286">
        <f t="shared" si="19"/>
        <v>204</v>
      </c>
      <c r="C241" s="586"/>
      <c r="E241" s="200" t="b">
        <v>0</v>
      </c>
      <c r="F241" s="196" t="s">
        <v>189</v>
      </c>
      <c r="H241" s="15"/>
      <c r="I241" s="210"/>
      <c r="J241" s="204" t="b">
        <v>0</v>
      </c>
      <c r="K241" s="588" t="s">
        <v>190</v>
      </c>
      <c r="L241" s="204" t="b">
        <v>0</v>
      </c>
      <c r="M241" s="205" t="s">
        <v>191</v>
      </c>
      <c r="N241" s="387">
        <v>44197</v>
      </c>
      <c r="O241" s="204" t="b">
        <v>0</v>
      </c>
      <c r="P241" s="205" t="s">
        <v>185</v>
      </c>
      <c r="Q241" s="205"/>
      <c r="R241" s="203" t="b">
        <v>0</v>
      </c>
      <c r="S241" s="9" t="s">
        <v>192</v>
      </c>
      <c r="T241" s="9" t="s">
        <v>135</v>
      </c>
      <c r="U241" s="204" t="b">
        <v>0</v>
      </c>
      <c r="V241" s="390" t="s">
        <v>193</v>
      </c>
      <c r="W241" s="215"/>
      <c r="X241" s="204" t="b">
        <v>0</v>
      </c>
      <c r="Y241" s="205" t="s">
        <v>194</v>
      </c>
      <c r="Z241" s="371"/>
      <c r="AA241" s="15"/>
      <c r="AB241" s="217"/>
      <c r="AC241" s="208" t="s">
        <v>137</v>
      </c>
      <c r="AD241" s="209"/>
      <c r="AE241" s="376" t="s">
        <v>195</v>
      </c>
      <c r="AF241" s="54"/>
      <c r="AG241" s="15"/>
    </row>
    <row r="242" spans="1:33" ht="17.149999999999999" customHeight="1" x14ac:dyDescent="0.35">
      <c r="A242" s="592"/>
      <c r="B242" s="286">
        <f t="shared" si="19"/>
        <v>205</v>
      </c>
      <c r="C242" s="586"/>
      <c r="E242" s="200" t="b">
        <v>0</v>
      </c>
      <c r="F242" s="589" t="s">
        <v>204</v>
      </c>
      <c r="H242" s="200" t="b">
        <v>0</v>
      </c>
      <c r="I242" s="210" t="s">
        <v>197</v>
      </c>
      <c r="J242" s="205"/>
      <c r="K242" s="588"/>
      <c r="L242" s="203" t="b">
        <v>0</v>
      </c>
      <c r="M242" s="44" t="s">
        <v>198</v>
      </c>
      <c r="N242" s="211">
        <v>6</v>
      </c>
      <c r="O242" s="203" t="b">
        <v>0</v>
      </c>
      <c r="P242" s="9" t="s">
        <v>198</v>
      </c>
      <c r="Q242" s="211">
        <v>1</v>
      </c>
      <c r="R242" s="575"/>
      <c r="S242" s="575"/>
      <c r="T242" s="575"/>
      <c r="U242" s="584" t="s">
        <v>136</v>
      </c>
      <c r="V242" s="584"/>
      <c r="W242" s="584"/>
      <c r="X242" s="204" t="b">
        <v>0</v>
      </c>
      <c r="Y242" s="9" t="s">
        <v>199</v>
      </c>
      <c r="Z242" s="575"/>
      <c r="AA242" s="15"/>
      <c r="AB242" s="217"/>
      <c r="AC242" s="22"/>
      <c r="AD242" s="15"/>
      <c r="AE242" s="574"/>
      <c r="AF242" s="53"/>
      <c r="AG242" s="15"/>
    </row>
    <row r="243" spans="1:33" ht="29.5" customHeight="1" x14ac:dyDescent="0.35">
      <c r="A243" s="592"/>
      <c r="B243" s="286">
        <f t="shared" si="19"/>
        <v>206</v>
      </c>
      <c r="C243" s="586"/>
      <c r="F243" s="589"/>
      <c r="H243" s="15"/>
      <c r="I243" s="15"/>
      <c r="J243" s="205"/>
      <c r="K243" s="9"/>
      <c r="L243" s="15"/>
      <c r="M243" s="15"/>
      <c r="N243" s="218"/>
      <c r="O243" s="9"/>
      <c r="P243" s="9"/>
      <c r="Q243" s="9"/>
      <c r="R243" s="575"/>
      <c r="S243" s="575"/>
      <c r="T243" s="575"/>
      <c r="U243" s="204" t="b">
        <v>0</v>
      </c>
      <c r="V243" s="205" t="s">
        <v>200</v>
      </c>
      <c r="W243" s="216"/>
      <c r="Y243" s="15"/>
      <c r="Z243" s="575"/>
      <c r="AA243" s="15"/>
      <c r="AB243" s="15"/>
      <c r="AC243" s="15"/>
      <c r="AD243" s="15"/>
      <c r="AE243" s="574"/>
      <c r="AF243" s="53"/>
      <c r="AG243" s="15"/>
    </row>
    <row r="244" spans="1:33" ht="30" customHeight="1" x14ac:dyDescent="0.35">
      <c r="A244" s="592"/>
      <c r="B244" s="286">
        <f t="shared" si="19"/>
        <v>207</v>
      </c>
      <c r="C244" s="586"/>
      <c r="E244"/>
      <c r="H244" s="15"/>
      <c r="I244" s="15"/>
      <c r="J244" s="373"/>
      <c r="K244" s="213"/>
      <c r="L244" s="213"/>
      <c r="M244" s="213"/>
      <c r="N244" s="213"/>
      <c r="O244" s="9"/>
      <c r="P244" s="9"/>
      <c r="Q244" s="9"/>
      <c r="R244" s="203" t="b">
        <v>0</v>
      </c>
      <c r="S244" s="9" t="s">
        <v>201</v>
      </c>
      <c r="T244" s="9" t="s">
        <v>135</v>
      </c>
      <c r="U244" s="575"/>
      <c r="V244" s="575"/>
      <c r="Y244" s="15"/>
      <c r="Z244" s="368"/>
      <c r="AA244" s="15"/>
      <c r="AB244" s="15"/>
      <c r="AC244" s="15"/>
      <c r="AD244" s="15"/>
      <c r="AE244" s="15"/>
      <c r="AF244" s="53"/>
      <c r="AG244" s="15"/>
    </row>
    <row r="245" spans="1:33" ht="14.5" customHeight="1" x14ac:dyDescent="0.35">
      <c r="A245" s="592"/>
      <c r="B245" s="286">
        <f t="shared" si="19"/>
        <v>208</v>
      </c>
      <c r="C245" s="586"/>
      <c r="E245"/>
      <c r="H245" s="212"/>
      <c r="I245" s="15"/>
      <c r="J245" s="373"/>
      <c r="K245" s="213"/>
      <c r="L245" s="213"/>
      <c r="M245" s="213"/>
      <c r="N245" s="213"/>
      <c r="O245" s="9"/>
      <c r="P245" s="9"/>
      <c r="Q245" s="9"/>
      <c r="R245" s="575"/>
      <c r="S245" s="575"/>
      <c r="T245" s="575"/>
      <c r="U245" s="204" t="b">
        <v>0</v>
      </c>
      <c r="V245" s="9" t="s">
        <v>202</v>
      </c>
      <c r="W245" s="9"/>
      <c r="Y245" s="15"/>
      <c r="Z245" s="368"/>
      <c r="AA245" s="15"/>
      <c r="AB245" s="15"/>
      <c r="AC245" s="15"/>
      <c r="AD245" s="15"/>
      <c r="AE245" s="15"/>
      <c r="AF245" s="53"/>
      <c r="AG245" s="15"/>
    </row>
    <row r="246" spans="1:33" ht="30" customHeight="1" thickBot="1" x14ac:dyDescent="0.4">
      <c r="A246" s="593"/>
      <c r="B246" s="286">
        <f t="shared" si="19"/>
        <v>209</v>
      </c>
      <c r="C246" s="587"/>
      <c r="D246" s="55"/>
      <c r="E246" s="55"/>
      <c r="F246" s="55"/>
      <c r="G246" s="55"/>
      <c r="H246" s="56"/>
      <c r="I246" s="56"/>
      <c r="J246" s="374"/>
      <c r="K246" s="57"/>
      <c r="L246" s="57"/>
      <c r="M246" s="57"/>
      <c r="N246" s="57"/>
      <c r="O246" s="58"/>
      <c r="P246" s="58"/>
      <c r="Q246" s="58"/>
      <c r="R246" s="575"/>
      <c r="S246" s="575"/>
      <c r="T246" s="575"/>
      <c r="U246" s="575"/>
      <c r="V246" s="575"/>
      <c r="W246" s="58"/>
      <c r="X246" s="392"/>
      <c r="Y246" s="56"/>
      <c r="Z246" s="369"/>
      <c r="AA246" s="56"/>
      <c r="AB246" s="56"/>
      <c r="AC246" s="56"/>
      <c r="AD246" s="56"/>
      <c r="AE246" s="56"/>
      <c r="AF246" s="59"/>
      <c r="AG246" s="15"/>
    </row>
    <row r="247" spans="1:33" ht="5.15" customHeight="1" thickBot="1" x14ac:dyDescent="0.4">
      <c r="A247" s="87"/>
      <c r="B247" s="232"/>
      <c r="C247" s="381"/>
      <c r="D247" s="229"/>
      <c r="E247" s="229"/>
      <c r="F247" s="229"/>
      <c r="G247" s="229"/>
      <c r="H247" s="229"/>
      <c r="I247" s="229"/>
      <c r="J247" s="379"/>
      <c r="K247" s="229"/>
      <c r="L247" s="229"/>
      <c r="M247" s="229"/>
      <c r="N247" s="229"/>
      <c r="O247" s="229"/>
      <c r="P247" s="229"/>
      <c r="Q247" s="229"/>
      <c r="R247" s="229"/>
      <c r="S247" s="229"/>
      <c r="T247" s="229"/>
      <c r="U247" s="379"/>
      <c r="V247" s="229"/>
      <c r="W247" s="229"/>
      <c r="X247" s="379"/>
      <c r="Y247" s="229"/>
      <c r="Z247" s="380"/>
      <c r="AA247" s="229"/>
      <c r="AB247" s="229"/>
      <c r="AC247" s="229"/>
      <c r="AD247" s="229"/>
      <c r="AE247" s="229"/>
      <c r="AF247" s="302"/>
      <c r="AG247" s="87"/>
    </row>
    <row r="248" spans="1:33" hidden="1" x14ac:dyDescent="0.35">
      <c r="A248" s="87"/>
      <c r="B248" s="232"/>
      <c r="C248" s="187"/>
      <c r="D248" s="30"/>
      <c r="E248" s="30"/>
      <c r="F248" s="30"/>
      <c r="G248" s="30"/>
      <c r="H248" s="30"/>
      <c r="I248" s="30"/>
      <c r="J248" s="31"/>
      <c r="K248" s="30"/>
      <c r="L248" s="30"/>
      <c r="M248" s="30"/>
      <c r="N248" s="30"/>
      <c r="O248" s="30"/>
      <c r="P248" s="30"/>
      <c r="Q248" s="30"/>
      <c r="R248" s="30"/>
      <c r="S248" s="30"/>
      <c r="T248" s="30"/>
      <c r="U248" s="31"/>
      <c r="V248" s="30"/>
      <c r="W248" s="30"/>
      <c r="X248" s="31"/>
      <c r="Y248" s="30"/>
      <c r="Z248" s="187"/>
      <c r="AA248" s="30"/>
      <c r="AB248" s="30"/>
      <c r="AC248" s="30"/>
      <c r="AD248" s="30"/>
      <c r="AE248" s="30"/>
      <c r="AF248" s="30"/>
      <c r="AG248"/>
    </row>
  </sheetData>
  <mergeCells count="527">
    <mergeCell ref="A70:A78"/>
    <mergeCell ref="A202:A210"/>
    <mergeCell ref="A214:A222"/>
    <mergeCell ref="A226:A234"/>
    <mergeCell ref="U238:V238"/>
    <mergeCell ref="U240:V240"/>
    <mergeCell ref="U242:W242"/>
    <mergeCell ref="A238:A246"/>
    <mergeCell ref="A94:A102"/>
    <mergeCell ref="A106:A114"/>
    <mergeCell ref="A118:A126"/>
    <mergeCell ref="A130:A138"/>
    <mergeCell ref="A142:A150"/>
    <mergeCell ref="A154:A162"/>
    <mergeCell ref="A166:A174"/>
    <mergeCell ref="A178:A186"/>
    <mergeCell ref="A190:A198"/>
    <mergeCell ref="U178:V178"/>
    <mergeCell ref="U72:V72"/>
    <mergeCell ref="U74:W74"/>
    <mergeCell ref="U76:V76"/>
    <mergeCell ref="U78:V78"/>
    <mergeCell ref="A82:A90"/>
    <mergeCell ref="U182:W182"/>
    <mergeCell ref="U40:V40"/>
    <mergeCell ref="X8:Z8"/>
    <mergeCell ref="Y34:Z34"/>
    <mergeCell ref="AB3:AF3"/>
    <mergeCell ref="AB4:AF4"/>
    <mergeCell ref="AB5:AF5"/>
    <mergeCell ref="AB6:AF6"/>
    <mergeCell ref="AB7:AF7"/>
    <mergeCell ref="AB8:AF8"/>
    <mergeCell ref="AB9:AF9"/>
    <mergeCell ref="U9:V9"/>
    <mergeCell ref="X9:Z9"/>
    <mergeCell ref="X6:Z6"/>
    <mergeCell ref="X3:Z3"/>
    <mergeCell ref="U3:V3"/>
    <mergeCell ref="X5:Z5"/>
    <mergeCell ref="U5:V5"/>
    <mergeCell ref="U6:V6"/>
    <mergeCell ref="X4:Z4"/>
    <mergeCell ref="U4:V4"/>
    <mergeCell ref="AB10:AC10"/>
    <mergeCell ref="Y10:Z10"/>
    <mergeCell ref="X7:Z7"/>
    <mergeCell ref="Y22:Z22"/>
    <mergeCell ref="A46:A54"/>
    <mergeCell ref="A58:A66"/>
    <mergeCell ref="U82:V82"/>
    <mergeCell ref="U84:V84"/>
    <mergeCell ref="U86:W86"/>
    <mergeCell ref="U88:V88"/>
    <mergeCell ref="U90:V90"/>
    <mergeCell ref="H166:I166"/>
    <mergeCell ref="Y202:Z202"/>
    <mergeCell ref="Y154:Z154"/>
    <mergeCell ref="Y166:Z166"/>
    <mergeCell ref="J166:K166"/>
    <mergeCell ref="L166:N166"/>
    <mergeCell ref="O166:Q166"/>
    <mergeCell ref="K157:K158"/>
    <mergeCell ref="K109:K110"/>
    <mergeCell ref="U120:V120"/>
    <mergeCell ref="U122:W122"/>
    <mergeCell ref="U124:V124"/>
    <mergeCell ref="U126:V126"/>
    <mergeCell ref="R130:S130"/>
    <mergeCell ref="U130:V130"/>
    <mergeCell ref="U132:V132"/>
    <mergeCell ref="Y190:Z190"/>
    <mergeCell ref="C1:I1"/>
    <mergeCell ref="F238:G238"/>
    <mergeCell ref="H238:I238"/>
    <mergeCell ref="J238:K238"/>
    <mergeCell ref="L238:N238"/>
    <mergeCell ref="O238:Q238"/>
    <mergeCell ref="F190:G190"/>
    <mergeCell ref="H190:I190"/>
    <mergeCell ref="J190:K190"/>
    <mergeCell ref="K217:K218"/>
    <mergeCell ref="F218:F219"/>
    <mergeCell ref="K181:K182"/>
    <mergeCell ref="F182:F183"/>
    <mergeCell ref="L226:N226"/>
    <mergeCell ref="O226:Q226"/>
    <mergeCell ref="K169:K170"/>
    <mergeCell ref="F170:F171"/>
    <mergeCell ref="F154:G154"/>
    <mergeCell ref="H154:I154"/>
    <mergeCell ref="J154:K154"/>
    <mergeCell ref="L154:N154"/>
    <mergeCell ref="O154:Q154"/>
    <mergeCell ref="F166:G166"/>
    <mergeCell ref="L7:N7"/>
    <mergeCell ref="U214:V214"/>
    <mergeCell ref="U216:V216"/>
    <mergeCell ref="J214:K214"/>
    <mergeCell ref="L214:N214"/>
    <mergeCell ref="O214:Q214"/>
    <mergeCell ref="L190:N190"/>
    <mergeCell ref="O190:Q190"/>
    <mergeCell ref="F158:F159"/>
    <mergeCell ref="R166:S166"/>
    <mergeCell ref="U166:V166"/>
    <mergeCell ref="U168:V168"/>
    <mergeCell ref="U186:V186"/>
    <mergeCell ref="R190:S190"/>
    <mergeCell ref="U190:V190"/>
    <mergeCell ref="U192:V192"/>
    <mergeCell ref="R178:S178"/>
    <mergeCell ref="R194:T195"/>
    <mergeCell ref="R203:T204"/>
    <mergeCell ref="R206:T207"/>
    <mergeCell ref="R215:T216"/>
    <mergeCell ref="U184:V184"/>
    <mergeCell ref="K241:K242"/>
    <mergeCell ref="F242:F243"/>
    <mergeCell ref="F194:F195"/>
    <mergeCell ref="J202:K202"/>
    <mergeCell ref="L202:N202"/>
    <mergeCell ref="O202:Q202"/>
    <mergeCell ref="K205:K206"/>
    <mergeCell ref="F214:G214"/>
    <mergeCell ref="H214:I214"/>
    <mergeCell ref="F206:F207"/>
    <mergeCell ref="K193:K194"/>
    <mergeCell ref="F202:G202"/>
    <mergeCell ref="H202:I202"/>
    <mergeCell ref="K229:K230"/>
    <mergeCell ref="F226:G226"/>
    <mergeCell ref="H226:I226"/>
    <mergeCell ref="J226:K226"/>
    <mergeCell ref="F230:F231"/>
    <mergeCell ref="Y214:Z214"/>
    <mergeCell ref="R230:T231"/>
    <mergeCell ref="U204:V204"/>
    <mergeCell ref="U206:W206"/>
    <mergeCell ref="F178:G178"/>
    <mergeCell ref="H178:I178"/>
    <mergeCell ref="J178:K178"/>
    <mergeCell ref="L178:N178"/>
    <mergeCell ref="O178:Q178"/>
    <mergeCell ref="Y178:Z178"/>
    <mergeCell ref="U180:V180"/>
    <mergeCell ref="U194:W194"/>
    <mergeCell ref="U196:V196"/>
    <mergeCell ref="U198:V198"/>
    <mergeCell ref="U202:V202"/>
    <mergeCell ref="U218:W218"/>
    <mergeCell ref="U220:V220"/>
    <mergeCell ref="U222:V222"/>
    <mergeCell ref="U226:V226"/>
    <mergeCell ref="U228:V228"/>
    <mergeCell ref="R226:S226"/>
    <mergeCell ref="R179:T180"/>
    <mergeCell ref="R182:T183"/>
    <mergeCell ref="R191:T192"/>
    <mergeCell ref="U142:V142"/>
    <mergeCell ref="U144:V144"/>
    <mergeCell ref="U146:W146"/>
    <mergeCell ref="R134:T135"/>
    <mergeCell ref="R143:T144"/>
    <mergeCell ref="R146:T147"/>
    <mergeCell ref="U170:W170"/>
    <mergeCell ref="U172:V172"/>
    <mergeCell ref="R170:T171"/>
    <mergeCell ref="R154:S154"/>
    <mergeCell ref="R155:T156"/>
    <mergeCell ref="F118:G118"/>
    <mergeCell ref="H118:I118"/>
    <mergeCell ref="J118:K118"/>
    <mergeCell ref="L118:N118"/>
    <mergeCell ref="O118:Q118"/>
    <mergeCell ref="K121:K122"/>
    <mergeCell ref="F122:F123"/>
    <mergeCell ref="K145:K146"/>
    <mergeCell ref="F130:G130"/>
    <mergeCell ref="H130:I130"/>
    <mergeCell ref="J130:K130"/>
    <mergeCell ref="L130:N130"/>
    <mergeCell ref="O130:Q130"/>
    <mergeCell ref="K133:K134"/>
    <mergeCell ref="F134:F135"/>
    <mergeCell ref="F142:G142"/>
    <mergeCell ref="H142:I142"/>
    <mergeCell ref="J142:K142"/>
    <mergeCell ref="L142:N142"/>
    <mergeCell ref="O142:Q142"/>
    <mergeCell ref="F146:F147"/>
    <mergeCell ref="H2:V2"/>
    <mergeCell ref="F14:F15"/>
    <mergeCell ref="U12:V12"/>
    <mergeCell ref="J3:K3"/>
    <mergeCell ref="L10:N10"/>
    <mergeCell ref="U14:W14"/>
    <mergeCell ref="E3:F3"/>
    <mergeCell ref="E4:F4"/>
    <mergeCell ref="J4:K4"/>
    <mergeCell ref="L4:N4"/>
    <mergeCell ref="O4:Q4"/>
    <mergeCell ref="H4:I4"/>
    <mergeCell ref="K13:K14"/>
    <mergeCell ref="O10:Q10"/>
    <mergeCell ref="J10:K10"/>
    <mergeCell ref="U8:V8"/>
    <mergeCell ref="H7:I7"/>
    <mergeCell ref="H8:I8"/>
    <mergeCell ref="R10:S10"/>
    <mergeCell ref="U10:V10"/>
    <mergeCell ref="R4:S4"/>
    <mergeCell ref="R5:S5"/>
    <mergeCell ref="R6:S6"/>
    <mergeCell ref="L3:N3"/>
    <mergeCell ref="R3:T3"/>
    <mergeCell ref="H3:I3"/>
    <mergeCell ref="R7:S7"/>
    <mergeCell ref="R8:S8"/>
    <mergeCell ref="R9:S9"/>
    <mergeCell ref="L5:N5"/>
    <mergeCell ref="O5:Q5"/>
    <mergeCell ref="L6:N6"/>
    <mergeCell ref="O6:Q6"/>
    <mergeCell ref="O7:Q7"/>
    <mergeCell ref="L8:N8"/>
    <mergeCell ref="O8:Q8"/>
    <mergeCell ref="O9:Q9"/>
    <mergeCell ref="O3:Q3"/>
    <mergeCell ref="R17:T18"/>
    <mergeCell ref="C10:C18"/>
    <mergeCell ref="H10:I10"/>
    <mergeCell ref="U26:W26"/>
    <mergeCell ref="H9:I9"/>
    <mergeCell ref="J5:K5"/>
    <mergeCell ref="J6:K6"/>
    <mergeCell ref="J7:K7"/>
    <mergeCell ref="J8:K8"/>
    <mergeCell ref="J9:K9"/>
    <mergeCell ref="L9:N9"/>
    <mergeCell ref="U7:V7"/>
    <mergeCell ref="U16:V16"/>
    <mergeCell ref="U18:V18"/>
    <mergeCell ref="R22:S22"/>
    <mergeCell ref="R11:T12"/>
    <mergeCell ref="R14:T15"/>
    <mergeCell ref="R23:T24"/>
    <mergeCell ref="F22:G22"/>
    <mergeCell ref="H22:I22"/>
    <mergeCell ref="J22:K22"/>
    <mergeCell ref="L22:N22"/>
    <mergeCell ref="A5:A9"/>
    <mergeCell ref="E5:F5"/>
    <mergeCell ref="E6:F6"/>
    <mergeCell ref="E7:F7"/>
    <mergeCell ref="E8:F8"/>
    <mergeCell ref="E9:F9"/>
    <mergeCell ref="H5:I5"/>
    <mergeCell ref="H6:I6"/>
    <mergeCell ref="A10:A18"/>
    <mergeCell ref="A22:A30"/>
    <mergeCell ref="A34:A42"/>
    <mergeCell ref="U48:V48"/>
    <mergeCell ref="U50:W50"/>
    <mergeCell ref="U24:V24"/>
    <mergeCell ref="U22:V22"/>
    <mergeCell ref="U30:V30"/>
    <mergeCell ref="U34:V34"/>
    <mergeCell ref="U36:V36"/>
    <mergeCell ref="U38:W38"/>
    <mergeCell ref="U28:V28"/>
    <mergeCell ref="F38:F39"/>
    <mergeCell ref="F34:G34"/>
    <mergeCell ref="H34:I34"/>
    <mergeCell ref="J34:K34"/>
    <mergeCell ref="L34:N34"/>
    <mergeCell ref="O34:Q34"/>
    <mergeCell ref="U42:V42"/>
    <mergeCell ref="U46:V46"/>
    <mergeCell ref="C46:C54"/>
    <mergeCell ref="O22:Q22"/>
    <mergeCell ref="C22:C30"/>
    <mergeCell ref="C34:C42"/>
    <mergeCell ref="R29:T30"/>
    <mergeCell ref="C58:C66"/>
    <mergeCell ref="C70:C78"/>
    <mergeCell ref="C82:C90"/>
    <mergeCell ref="K85:K86"/>
    <mergeCell ref="F86:F87"/>
    <mergeCell ref="K61:K62"/>
    <mergeCell ref="F62:F63"/>
    <mergeCell ref="R46:S46"/>
    <mergeCell ref="R58:S58"/>
    <mergeCell ref="K73:K74"/>
    <mergeCell ref="F74:F75"/>
    <mergeCell ref="F70:G70"/>
    <mergeCell ref="H70:I70"/>
    <mergeCell ref="J70:K70"/>
    <mergeCell ref="L70:N70"/>
    <mergeCell ref="O70:Q70"/>
    <mergeCell ref="R70:S70"/>
    <mergeCell ref="F46:G46"/>
    <mergeCell ref="H46:I46"/>
    <mergeCell ref="J46:K46"/>
    <mergeCell ref="L46:N46"/>
    <mergeCell ref="O46:Q46"/>
    <mergeCell ref="R47:T48"/>
    <mergeCell ref="R83:T84"/>
    <mergeCell ref="U52:V52"/>
    <mergeCell ref="U54:V54"/>
    <mergeCell ref="F106:G106"/>
    <mergeCell ref="H106:I106"/>
    <mergeCell ref="J106:K106"/>
    <mergeCell ref="L106:N106"/>
    <mergeCell ref="O106:Q106"/>
    <mergeCell ref="F82:G82"/>
    <mergeCell ref="H82:I82"/>
    <mergeCell ref="Y70:Z70"/>
    <mergeCell ref="U58:V58"/>
    <mergeCell ref="U60:V60"/>
    <mergeCell ref="U62:W62"/>
    <mergeCell ref="U64:V64"/>
    <mergeCell ref="U66:V66"/>
    <mergeCell ref="U70:V70"/>
    <mergeCell ref="Y58:Z58"/>
    <mergeCell ref="Z74:Z75"/>
    <mergeCell ref="R50:T51"/>
    <mergeCell ref="R59:T60"/>
    <mergeCell ref="R62:T63"/>
    <mergeCell ref="K49:K50"/>
    <mergeCell ref="F50:F51"/>
    <mergeCell ref="F58:G58"/>
    <mergeCell ref="R82:S82"/>
    <mergeCell ref="K37:K38"/>
    <mergeCell ref="K25:K26"/>
    <mergeCell ref="F26:F27"/>
    <mergeCell ref="R34:S34"/>
    <mergeCell ref="R26:T27"/>
    <mergeCell ref="R35:T36"/>
    <mergeCell ref="R38:T39"/>
    <mergeCell ref="J58:K58"/>
    <mergeCell ref="L58:N58"/>
    <mergeCell ref="O58:Q58"/>
    <mergeCell ref="R71:T72"/>
    <mergeCell ref="R74:T75"/>
    <mergeCell ref="J82:K82"/>
    <mergeCell ref="L82:N82"/>
    <mergeCell ref="O82:Q82"/>
    <mergeCell ref="H58:I58"/>
    <mergeCell ref="R41:T42"/>
    <mergeCell ref="C226:C234"/>
    <mergeCell ref="C238:C246"/>
    <mergeCell ref="C118:C126"/>
    <mergeCell ref="C130:C138"/>
    <mergeCell ref="C142:C150"/>
    <mergeCell ref="C154:C162"/>
    <mergeCell ref="C166:C174"/>
    <mergeCell ref="C178:C186"/>
    <mergeCell ref="C190:C198"/>
    <mergeCell ref="C202:C210"/>
    <mergeCell ref="C214:C222"/>
    <mergeCell ref="C94:C102"/>
    <mergeCell ref="C106:C114"/>
    <mergeCell ref="K97:K98"/>
    <mergeCell ref="F98:F99"/>
    <mergeCell ref="F94:G94"/>
    <mergeCell ref="H94:I94"/>
    <mergeCell ref="J94:K94"/>
    <mergeCell ref="AB94:AC94"/>
    <mergeCell ref="Y94:Z94"/>
    <mergeCell ref="R94:S94"/>
    <mergeCell ref="U94:V94"/>
    <mergeCell ref="U96:V96"/>
    <mergeCell ref="U98:W98"/>
    <mergeCell ref="L94:N94"/>
    <mergeCell ref="O94:Q94"/>
    <mergeCell ref="R98:T99"/>
    <mergeCell ref="U112:V112"/>
    <mergeCell ref="U114:V114"/>
    <mergeCell ref="F110:F111"/>
    <mergeCell ref="R107:T108"/>
    <mergeCell ref="Y106:Z106"/>
    <mergeCell ref="R245:T246"/>
    <mergeCell ref="R53:T54"/>
    <mergeCell ref="R65:T66"/>
    <mergeCell ref="R77:T78"/>
    <mergeCell ref="R89:T90"/>
    <mergeCell ref="R101:T102"/>
    <mergeCell ref="R113:T114"/>
    <mergeCell ref="R125:T126"/>
    <mergeCell ref="R137:T138"/>
    <mergeCell ref="R149:T150"/>
    <mergeCell ref="R161:T162"/>
    <mergeCell ref="R173:T174"/>
    <mergeCell ref="R185:T186"/>
    <mergeCell ref="R197:T198"/>
    <mergeCell ref="R209:T210"/>
    <mergeCell ref="R118:S118"/>
    <mergeCell ref="R167:T168"/>
    <mergeCell ref="R202:S202"/>
    <mergeCell ref="R238:S238"/>
    <mergeCell ref="R221:T222"/>
    <mergeCell ref="R86:T87"/>
    <mergeCell ref="R95:T96"/>
    <mergeCell ref="R239:T240"/>
    <mergeCell ref="R242:T243"/>
    <mergeCell ref="Z242:Z243"/>
    <mergeCell ref="AE110:AE111"/>
    <mergeCell ref="AE122:AE123"/>
    <mergeCell ref="AE134:AE135"/>
    <mergeCell ref="AE146:AE147"/>
    <mergeCell ref="AE158:AE159"/>
    <mergeCell ref="AE170:AE171"/>
    <mergeCell ref="AE182:AE183"/>
    <mergeCell ref="AE194:AE195"/>
    <mergeCell ref="AE206:AE207"/>
    <mergeCell ref="AE218:AE219"/>
    <mergeCell ref="AE230:AE231"/>
    <mergeCell ref="AE242:AE243"/>
    <mergeCell ref="Z170:Z171"/>
    <mergeCell ref="Z182:Z183"/>
    <mergeCell ref="Y238:Z238"/>
    <mergeCell ref="AB238:AC238"/>
    <mergeCell ref="Y226:Z226"/>
    <mergeCell ref="AB226:AC226"/>
    <mergeCell ref="AB214:AC214"/>
    <mergeCell ref="Z218:Z219"/>
    <mergeCell ref="Z230:Z231"/>
    <mergeCell ref="Z146:Z147"/>
    <mergeCell ref="Z158:Z159"/>
    <mergeCell ref="U246:V246"/>
    <mergeCell ref="U100:V100"/>
    <mergeCell ref="U102:V102"/>
    <mergeCell ref="U106:V106"/>
    <mergeCell ref="U108:V108"/>
    <mergeCell ref="U110:W110"/>
    <mergeCell ref="U118:V118"/>
    <mergeCell ref="U230:W230"/>
    <mergeCell ref="U232:V232"/>
    <mergeCell ref="U234:V234"/>
    <mergeCell ref="U244:V244"/>
    <mergeCell ref="U208:V208"/>
    <mergeCell ref="U210:V210"/>
    <mergeCell ref="U148:V148"/>
    <mergeCell ref="U150:V150"/>
    <mergeCell ref="U154:V154"/>
    <mergeCell ref="U156:V156"/>
    <mergeCell ref="U158:W158"/>
    <mergeCell ref="U160:V160"/>
    <mergeCell ref="U162:V162"/>
    <mergeCell ref="U134:W134"/>
    <mergeCell ref="U136:V136"/>
    <mergeCell ref="U138:V138"/>
    <mergeCell ref="U174:V174"/>
    <mergeCell ref="R218:T219"/>
    <mergeCell ref="R227:T228"/>
    <mergeCell ref="R233:T234"/>
    <mergeCell ref="R122:T123"/>
    <mergeCell ref="R131:T132"/>
    <mergeCell ref="R106:S106"/>
    <mergeCell ref="R110:T111"/>
    <mergeCell ref="R119:T120"/>
    <mergeCell ref="R214:S214"/>
    <mergeCell ref="R158:T159"/>
    <mergeCell ref="R142:S142"/>
    <mergeCell ref="AE11:AE12"/>
    <mergeCell ref="AE23:AE24"/>
    <mergeCell ref="AD22:AE22"/>
    <mergeCell ref="AE191:AE192"/>
    <mergeCell ref="AE203:AE204"/>
    <mergeCell ref="Z98:Z99"/>
    <mergeCell ref="Z110:Z111"/>
    <mergeCell ref="Z122:Z123"/>
    <mergeCell ref="Z134:Z135"/>
    <mergeCell ref="Z194:Z195"/>
    <mergeCell ref="Y46:Z46"/>
    <mergeCell ref="AB34:AC34"/>
    <mergeCell ref="AB118:AC118"/>
    <mergeCell ref="AB166:AC166"/>
    <mergeCell ref="AB202:AC202"/>
    <mergeCell ref="AB190:AC190"/>
    <mergeCell ref="AB154:AC154"/>
    <mergeCell ref="AB130:AC130"/>
    <mergeCell ref="Y142:Z142"/>
    <mergeCell ref="AB142:AC142"/>
    <mergeCell ref="Y130:Z130"/>
    <mergeCell ref="AB178:AC178"/>
    <mergeCell ref="AB70:AC70"/>
    <mergeCell ref="AB22:AC22"/>
    <mergeCell ref="Z206:Z207"/>
    <mergeCell ref="Y82:Z82"/>
    <mergeCell ref="AB82:AC82"/>
    <mergeCell ref="Z86:Z87"/>
    <mergeCell ref="AB106:AC106"/>
    <mergeCell ref="Y118:Z118"/>
    <mergeCell ref="AD10:AE10"/>
    <mergeCell ref="AE35:AE36"/>
    <mergeCell ref="AE47:AE48"/>
    <mergeCell ref="AE59:AE60"/>
    <mergeCell ref="AE71:AE72"/>
    <mergeCell ref="AE74:AE75"/>
    <mergeCell ref="AE14:AE15"/>
    <mergeCell ref="AE26:AE27"/>
    <mergeCell ref="AE38:AE39"/>
    <mergeCell ref="AE50:AE51"/>
    <mergeCell ref="Z14:Z15"/>
    <mergeCell ref="Z26:Z27"/>
    <mergeCell ref="Z38:Z39"/>
    <mergeCell ref="Z50:Z51"/>
    <mergeCell ref="Z62:Z63"/>
    <mergeCell ref="AE62:AE63"/>
    <mergeCell ref="AB58:AC58"/>
    <mergeCell ref="AB46:AC46"/>
    <mergeCell ref="AE215:AE216"/>
    <mergeCell ref="AE227:AE228"/>
    <mergeCell ref="AE239:AE240"/>
    <mergeCell ref="AE83:AE84"/>
    <mergeCell ref="AE95:AE96"/>
    <mergeCell ref="AE107:AE108"/>
    <mergeCell ref="AE119:AE120"/>
    <mergeCell ref="AE131:AE132"/>
    <mergeCell ref="AE143:AE144"/>
    <mergeCell ref="AE155:AE156"/>
    <mergeCell ref="AE167:AE168"/>
    <mergeCell ref="AE179:AE180"/>
    <mergeCell ref="AE86:AE87"/>
    <mergeCell ref="AE98:AE99"/>
  </mergeCells>
  <conditionalFormatting sqref="H12">
    <cfRule type="expression" dxfId="2976" priority="1955">
      <formula>$H$14=TRUE</formula>
    </cfRule>
  </conditionalFormatting>
  <conditionalFormatting sqref="H24">
    <cfRule type="expression" dxfId="2975" priority="1950">
      <formula>$H$26=TRUE</formula>
    </cfRule>
  </conditionalFormatting>
  <conditionalFormatting sqref="H36">
    <cfRule type="expression" dxfId="2974" priority="1949">
      <formula>$H$38=TRUE</formula>
    </cfRule>
  </conditionalFormatting>
  <conditionalFormatting sqref="H38">
    <cfRule type="expression" dxfId="2973" priority="1947">
      <formula>$H$36=TRUE</formula>
    </cfRule>
  </conditionalFormatting>
  <conditionalFormatting sqref="H48">
    <cfRule type="expression" dxfId="2972" priority="1942">
      <formula>$H$50=TRUE</formula>
    </cfRule>
  </conditionalFormatting>
  <conditionalFormatting sqref="H60">
    <cfRule type="expression" dxfId="2971" priority="1938">
      <formula>$H$62=TRUE</formula>
    </cfRule>
  </conditionalFormatting>
  <conditionalFormatting sqref="H72">
    <cfRule type="expression" dxfId="2970" priority="1934">
      <formula>$H$74=TRUE</formula>
    </cfRule>
  </conditionalFormatting>
  <conditionalFormatting sqref="H84">
    <cfRule type="expression" dxfId="2969" priority="1932">
      <formula>$H$86=TRUE</formula>
    </cfRule>
  </conditionalFormatting>
  <conditionalFormatting sqref="H96">
    <cfRule type="expression" dxfId="2968" priority="1926">
      <formula>$H$98=TRUE</formula>
    </cfRule>
  </conditionalFormatting>
  <conditionalFormatting sqref="H108">
    <cfRule type="expression" dxfId="2967" priority="1922">
      <formula>$H$110=TRUE</formula>
    </cfRule>
  </conditionalFormatting>
  <conditionalFormatting sqref="H120">
    <cfRule type="expression" dxfId="2966" priority="1918">
      <formula>$H$122=TRUE</formula>
    </cfRule>
  </conditionalFormatting>
  <conditionalFormatting sqref="H132">
    <cfRule type="expression" dxfId="2965" priority="1916">
      <formula>$H$134=TRUE</formula>
    </cfRule>
  </conditionalFormatting>
  <conditionalFormatting sqref="H144">
    <cfRule type="expression" dxfId="2964" priority="1910">
      <formula>$H$146=TRUE</formula>
    </cfRule>
  </conditionalFormatting>
  <conditionalFormatting sqref="H156">
    <cfRule type="expression" dxfId="2963" priority="1905">
      <formula>$H$158=TRUE</formula>
    </cfRule>
  </conditionalFormatting>
  <conditionalFormatting sqref="H168">
    <cfRule type="expression" dxfId="2962" priority="1901">
      <formula>$H$170=TRUE</formula>
    </cfRule>
  </conditionalFormatting>
  <conditionalFormatting sqref="H180">
    <cfRule type="expression" dxfId="2961" priority="1899">
      <formula>$H$182=TRUE</formula>
    </cfRule>
  </conditionalFormatting>
  <conditionalFormatting sqref="H192">
    <cfRule type="expression" dxfId="2960" priority="1895">
      <formula>$H$194=TRUE</formula>
    </cfRule>
  </conditionalFormatting>
  <conditionalFormatting sqref="H204">
    <cfRule type="expression" dxfId="2959" priority="1890">
      <formula>$H$206=TRUE</formula>
    </cfRule>
  </conditionalFormatting>
  <conditionalFormatting sqref="H216">
    <cfRule type="expression" dxfId="2958" priority="1887">
      <formula>$H$218=TRUE</formula>
    </cfRule>
  </conditionalFormatting>
  <conditionalFormatting sqref="H228">
    <cfRule type="expression" dxfId="2957" priority="1883">
      <formula>$H$230=TRUE</formula>
    </cfRule>
  </conditionalFormatting>
  <conditionalFormatting sqref="H240">
    <cfRule type="expression" dxfId="2956" priority="1879">
      <formula>$H$242=TRUE</formula>
    </cfRule>
  </conditionalFormatting>
  <conditionalFormatting sqref="H10:I18">
    <cfRule type="expression" dxfId="2955" priority="1742">
      <formula>$E$12=FALSE</formula>
    </cfRule>
  </conditionalFormatting>
  <conditionalFormatting sqref="H14:I14">
    <cfRule type="expression" dxfId="2954" priority="1954">
      <formula>$H$12=TRUE</formula>
    </cfRule>
  </conditionalFormatting>
  <conditionalFormatting sqref="H22:I26">
    <cfRule type="expression" dxfId="2953" priority="1462">
      <formula>$E$24=FALSE</formula>
    </cfRule>
  </conditionalFormatting>
  <conditionalFormatting sqref="H26:I26">
    <cfRule type="expression" dxfId="2952" priority="1952">
      <formula>$H$24=TRUE</formula>
    </cfRule>
  </conditionalFormatting>
  <conditionalFormatting sqref="H34:I38">
    <cfRule type="expression" dxfId="2951" priority="1460">
      <formula>$E$36=FALSE</formula>
    </cfRule>
  </conditionalFormatting>
  <conditionalFormatting sqref="H46:I50">
    <cfRule type="expression" dxfId="2950" priority="1457">
      <formula>$E$48=FALSE</formula>
    </cfRule>
  </conditionalFormatting>
  <conditionalFormatting sqref="H50:I50">
    <cfRule type="expression" dxfId="2949" priority="1944">
      <formula>$H$48=TRUE</formula>
    </cfRule>
  </conditionalFormatting>
  <conditionalFormatting sqref="H58:I62">
    <cfRule type="expression" dxfId="2948" priority="1455">
      <formula>$E$60=FALSE</formula>
    </cfRule>
  </conditionalFormatting>
  <conditionalFormatting sqref="H62:I62">
    <cfRule type="expression" dxfId="2947" priority="1940">
      <formula>$H$60=TRUE</formula>
    </cfRule>
  </conditionalFormatting>
  <conditionalFormatting sqref="H70:I74">
    <cfRule type="expression" dxfId="2946" priority="1453">
      <formula>$E$72=FALSE</formula>
    </cfRule>
  </conditionalFormatting>
  <conditionalFormatting sqref="H74:I74">
    <cfRule type="expression" dxfId="2945" priority="1936">
      <formula>$H$72=TRUE</formula>
    </cfRule>
  </conditionalFormatting>
  <conditionalFormatting sqref="H82:I86">
    <cfRule type="expression" dxfId="2944" priority="6447">
      <formula>$E$84=FALSE</formula>
    </cfRule>
  </conditionalFormatting>
  <conditionalFormatting sqref="H86:I86">
    <cfRule type="expression" dxfId="2943" priority="1930">
      <formula>$H$84=TRUE</formula>
    </cfRule>
  </conditionalFormatting>
  <conditionalFormatting sqref="H94:I98">
    <cfRule type="expression" dxfId="2942" priority="1449">
      <formula>$E$96=FALSE</formula>
    </cfRule>
  </conditionalFormatting>
  <conditionalFormatting sqref="H98:I98">
    <cfRule type="expression" dxfId="2941" priority="1928">
      <formula>$H$96=TRUE</formula>
    </cfRule>
  </conditionalFormatting>
  <conditionalFormatting sqref="H106:I110">
    <cfRule type="expression" dxfId="2940" priority="1447">
      <formula>$E$108=FALSE</formula>
    </cfRule>
  </conditionalFormatting>
  <conditionalFormatting sqref="H110:I110">
    <cfRule type="expression" dxfId="2939" priority="1924">
      <formula>$H$108=TRUE</formula>
    </cfRule>
  </conditionalFormatting>
  <conditionalFormatting sqref="H118:I122">
    <cfRule type="expression" dxfId="2938" priority="1445">
      <formula>$E$120=FALSE</formula>
    </cfRule>
  </conditionalFormatting>
  <conditionalFormatting sqref="H122:I122">
    <cfRule type="expression" dxfId="2937" priority="1920">
      <formula>$H$120=TRUE</formula>
    </cfRule>
  </conditionalFormatting>
  <conditionalFormatting sqref="H130:I134">
    <cfRule type="expression" dxfId="2936" priority="1443">
      <formula>$E$132=FALSE</formula>
    </cfRule>
  </conditionalFormatting>
  <conditionalFormatting sqref="H134:I134">
    <cfRule type="expression" dxfId="2935" priority="1914">
      <formula>$H$132=TRUE</formula>
    </cfRule>
  </conditionalFormatting>
  <conditionalFormatting sqref="H142:I146">
    <cfRule type="expression" dxfId="2934" priority="1441">
      <formula>$E$144=FALSE</formula>
    </cfRule>
  </conditionalFormatting>
  <conditionalFormatting sqref="H146:I146">
    <cfRule type="expression" dxfId="2933" priority="1912">
      <formula>$H$144=TRUE</formula>
    </cfRule>
  </conditionalFormatting>
  <conditionalFormatting sqref="H154:I158">
    <cfRule type="expression" dxfId="2932" priority="1439">
      <formula>$E$156=FALSE</formula>
    </cfRule>
  </conditionalFormatting>
  <conditionalFormatting sqref="H158:I158">
    <cfRule type="expression" dxfId="2931" priority="1907">
      <formula>$H$156=TRUE</formula>
    </cfRule>
  </conditionalFormatting>
  <conditionalFormatting sqref="H166:I170">
    <cfRule type="expression" dxfId="2930" priority="1437">
      <formula>$E$168=FALSE</formula>
    </cfRule>
  </conditionalFormatting>
  <conditionalFormatting sqref="H170:I170">
    <cfRule type="expression" dxfId="2929" priority="1903">
      <formula>$H$168=TRUE</formula>
    </cfRule>
  </conditionalFormatting>
  <conditionalFormatting sqref="H178:I182">
    <cfRule type="expression" dxfId="2928" priority="1435">
      <formula>$E$180=FALSE</formula>
    </cfRule>
  </conditionalFormatting>
  <conditionalFormatting sqref="H182:I182">
    <cfRule type="expression" dxfId="2927" priority="1897">
      <formula>$H$180=TRUE</formula>
    </cfRule>
  </conditionalFormatting>
  <conditionalFormatting sqref="H190:I194">
    <cfRule type="expression" dxfId="2926" priority="1432">
      <formula>$E$192=FALSE</formula>
    </cfRule>
  </conditionalFormatting>
  <conditionalFormatting sqref="H194:I194">
    <cfRule type="expression" dxfId="2925" priority="1893">
      <formula>$H$192=TRUE</formula>
    </cfRule>
  </conditionalFormatting>
  <conditionalFormatting sqref="H202:I206">
    <cfRule type="expression" dxfId="2924" priority="1430">
      <formula>$E$204=FALSE</formula>
    </cfRule>
  </conditionalFormatting>
  <conditionalFormatting sqref="H206:I206">
    <cfRule type="expression" dxfId="2923" priority="1891">
      <formula>$H$204=TRUE</formula>
    </cfRule>
  </conditionalFormatting>
  <conditionalFormatting sqref="H214:I218">
    <cfRule type="expression" dxfId="2922" priority="1428">
      <formula>$E$216=FALSE</formula>
    </cfRule>
  </conditionalFormatting>
  <conditionalFormatting sqref="H218:I218">
    <cfRule type="expression" dxfId="2921" priority="1885">
      <formula>$H$216=TRUE</formula>
    </cfRule>
  </conditionalFormatting>
  <conditionalFormatting sqref="H226:I230">
    <cfRule type="expression" dxfId="2920" priority="1426">
      <formula>$E$228=FALSE</formula>
    </cfRule>
  </conditionalFormatting>
  <conditionalFormatting sqref="H230:I230">
    <cfRule type="expression" dxfId="2919" priority="1881">
      <formula>$H$228=TRUE</formula>
    </cfRule>
  </conditionalFormatting>
  <conditionalFormatting sqref="H238:I242">
    <cfRule type="expression" dxfId="2918" priority="1404">
      <formula>$E$240=FALSE</formula>
    </cfRule>
  </conditionalFormatting>
  <conditionalFormatting sqref="H242:I242">
    <cfRule type="expression" dxfId="2917" priority="1877">
      <formula>$H$240=TRUE</formula>
    </cfRule>
  </conditionalFormatting>
  <conditionalFormatting sqref="I12:I13">
    <cfRule type="expression" dxfId="2916" priority="1956">
      <formula>$H$14=TRUE</formula>
    </cfRule>
  </conditionalFormatting>
  <conditionalFormatting sqref="I24:I25">
    <cfRule type="expression" dxfId="2915" priority="1951">
      <formula>$H$26=TRUE</formula>
    </cfRule>
  </conditionalFormatting>
  <conditionalFormatting sqref="I36:I37">
    <cfRule type="expression" dxfId="2914" priority="2184">
      <formula>$H$38=TRUE</formula>
    </cfRule>
  </conditionalFormatting>
  <conditionalFormatting sqref="I38">
    <cfRule type="expression" dxfId="2913" priority="1946">
      <formula>TRUE=$H$36</formula>
    </cfRule>
  </conditionalFormatting>
  <conditionalFormatting sqref="I48:I49">
    <cfRule type="expression" dxfId="2912" priority="1943">
      <formula>$H$50=TRUE</formula>
    </cfRule>
  </conditionalFormatting>
  <conditionalFormatting sqref="I60:I61">
    <cfRule type="expression" dxfId="2911" priority="1939">
      <formula>$H$62=TRUE</formula>
    </cfRule>
  </conditionalFormatting>
  <conditionalFormatting sqref="I72:I73">
    <cfRule type="expression" dxfId="2910" priority="1935">
      <formula>$H$74=TRUE</formula>
    </cfRule>
  </conditionalFormatting>
  <conditionalFormatting sqref="I84:I85">
    <cfRule type="expression" dxfId="2909" priority="1933">
      <formula>$H$86=TRUE</formula>
    </cfRule>
  </conditionalFormatting>
  <conditionalFormatting sqref="I96:I97">
    <cfRule type="expression" dxfId="2908" priority="1927">
      <formula>$H$98=TRUE</formula>
    </cfRule>
  </conditionalFormatting>
  <conditionalFormatting sqref="I108:I109">
    <cfRule type="expression" dxfId="2907" priority="1923">
      <formula>$H$110=TRUE</formula>
    </cfRule>
  </conditionalFormatting>
  <conditionalFormatting sqref="I120:I121">
    <cfRule type="expression" dxfId="2906" priority="1919">
      <formula>$H$122=TRUE</formula>
    </cfRule>
  </conditionalFormatting>
  <conditionalFormatting sqref="I132:I133">
    <cfRule type="expression" dxfId="2905" priority="1917">
      <formula>$H$134=TRUE</formula>
    </cfRule>
  </conditionalFormatting>
  <conditionalFormatting sqref="I144:I145">
    <cfRule type="expression" dxfId="2904" priority="1911">
      <formula>$H$146=TRUE</formula>
    </cfRule>
  </conditionalFormatting>
  <conditionalFormatting sqref="I156:I157">
    <cfRule type="expression" dxfId="2903" priority="1906">
      <formula>$H$158=TRUE</formula>
    </cfRule>
  </conditionalFormatting>
  <conditionalFormatting sqref="I168:I169">
    <cfRule type="expression" dxfId="2902" priority="1902">
      <formula>$H$170=TRUE</formula>
    </cfRule>
  </conditionalFormatting>
  <conditionalFormatting sqref="I180:I181">
    <cfRule type="expression" dxfId="2901" priority="1900">
      <formula>$H$182=TRUE</formula>
    </cfRule>
  </conditionalFormatting>
  <conditionalFormatting sqref="I192:I193">
    <cfRule type="expression" dxfId="2900" priority="1896">
      <formula>$H$194=TRUE</formula>
    </cfRule>
  </conditionalFormatting>
  <conditionalFormatting sqref="I204:I205">
    <cfRule type="expression" dxfId="2899" priority="1889">
      <formula>$H$206=TRUE</formula>
    </cfRule>
  </conditionalFormatting>
  <conditionalFormatting sqref="I216:I217">
    <cfRule type="expression" dxfId="2898" priority="1888">
      <formula>$H$218=TRUE</formula>
    </cfRule>
  </conditionalFormatting>
  <conditionalFormatting sqref="I228:I229">
    <cfRule type="expression" dxfId="2897" priority="1884">
      <formula>$H$230=TRUE</formula>
    </cfRule>
  </conditionalFormatting>
  <conditionalFormatting sqref="I240:I241">
    <cfRule type="expression" dxfId="2896" priority="1880">
      <formula>$H$242=TRUE</formula>
    </cfRule>
  </conditionalFormatting>
  <conditionalFormatting sqref="J12">
    <cfRule type="expression" dxfId="2895" priority="3656">
      <formula>H14=TRUE</formula>
    </cfRule>
  </conditionalFormatting>
  <conditionalFormatting sqref="J13">
    <cfRule type="expression" dxfId="2894" priority="3657">
      <formula>H14=TRUE</formula>
    </cfRule>
    <cfRule type="expression" dxfId="2893" priority="2033">
      <formula>$J$12=TRUE</formula>
    </cfRule>
  </conditionalFormatting>
  <conditionalFormatting sqref="J24">
    <cfRule type="expression" dxfId="2892" priority="3589">
      <formula>H26=TRUE</formula>
    </cfRule>
  </conditionalFormatting>
  <conditionalFormatting sqref="J25">
    <cfRule type="expression" dxfId="2891" priority="2030">
      <formula>$J$24=TRUE</formula>
    </cfRule>
    <cfRule type="expression" dxfId="2890" priority="3590">
      <formula>H26=TRUE</formula>
    </cfRule>
  </conditionalFormatting>
  <conditionalFormatting sqref="J36">
    <cfRule type="expression" dxfId="2889" priority="3526">
      <formula>H38=TRUE</formula>
    </cfRule>
  </conditionalFormatting>
  <conditionalFormatting sqref="J37">
    <cfRule type="expression" dxfId="2888" priority="2028">
      <formula>$J$36=TRUE</formula>
    </cfRule>
    <cfRule type="expression" dxfId="2887" priority="3527">
      <formula>H38=TRUE</formula>
    </cfRule>
  </conditionalFormatting>
  <conditionalFormatting sqref="J48">
    <cfRule type="expression" dxfId="2886" priority="3464">
      <formula>H50=TRUE</formula>
    </cfRule>
  </conditionalFormatting>
  <conditionalFormatting sqref="J49">
    <cfRule type="expression" dxfId="2885" priority="3465">
      <formula>H50=TRUE</formula>
    </cfRule>
    <cfRule type="expression" dxfId="2884" priority="2026">
      <formula>$J$48=TRUE</formula>
    </cfRule>
  </conditionalFormatting>
  <conditionalFormatting sqref="J60">
    <cfRule type="expression" dxfId="2883" priority="3402">
      <formula>H62=TRUE</formula>
    </cfRule>
  </conditionalFormatting>
  <conditionalFormatting sqref="J61">
    <cfRule type="expression" dxfId="2882" priority="2024">
      <formula>$J$60=TRUE</formula>
    </cfRule>
    <cfRule type="expression" dxfId="2881" priority="3403">
      <formula>H62=TRUE</formula>
    </cfRule>
  </conditionalFormatting>
  <conditionalFormatting sqref="J72">
    <cfRule type="expression" dxfId="2880" priority="3340">
      <formula>H74=TRUE</formula>
    </cfRule>
  </conditionalFormatting>
  <conditionalFormatting sqref="J73">
    <cfRule type="expression" dxfId="2879" priority="3341">
      <formula>H74=TRUE</formula>
    </cfRule>
    <cfRule type="expression" dxfId="2878" priority="2022">
      <formula>$J$72=TRUE</formula>
    </cfRule>
  </conditionalFormatting>
  <conditionalFormatting sqref="J84">
    <cfRule type="expression" dxfId="2877" priority="3278">
      <formula>H86=TRUE</formula>
    </cfRule>
  </conditionalFormatting>
  <conditionalFormatting sqref="J85">
    <cfRule type="expression" dxfId="2876" priority="2020">
      <formula>$J$84=TRUE</formula>
    </cfRule>
    <cfRule type="expression" dxfId="2875" priority="3279">
      <formula>H86=TRUE</formula>
    </cfRule>
  </conditionalFormatting>
  <conditionalFormatting sqref="J96">
    <cfRule type="expression" dxfId="2874" priority="3216">
      <formula>H98=TRUE</formula>
    </cfRule>
  </conditionalFormatting>
  <conditionalFormatting sqref="J97">
    <cfRule type="expression" dxfId="2873" priority="3217">
      <formula>H98=TRUE</formula>
    </cfRule>
    <cfRule type="expression" dxfId="2872" priority="2018">
      <formula>$J$96=TRUE</formula>
    </cfRule>
  </conditionalFormatting>
  <conditionalFormatting sqref="J108">
    <cfRule type="expression" dxfId="2871" priority="3128">
      <formula>H110=TRUE</formula>
    </cfRule>
  </conditionalFormatting>
  <conditionalFormatting sqref="J109">
    <cfRule type="expression" dxfId="2870" priority="3129">
      <formula>H110=TRUE</formula>
    </cfRule>
    <cfRule type="expression" dxfId="2869" priority="2016">
      <formula>$J$108=TRUE</formula>
    </cfRule>
  </conditionalFormatting>
  <conditionalFormatting sqref="J120">
    <cfRule type="expression" dxfId="2868" priority="3066">
      <formula>H122=TRUE</formula>
    </cfRule>
  </conditionalFormatting>
  <conditionalFormatting sqref="J121">
    <cfRule type="expression" dxfId="2867" priority="3067">
      <formula>H122=TRUE</formula>
    </cfRule>
    <cfRule type="expression" dxfId="2866" priority="2014">
      <formula>$J$120=TRUE</formula>
    </cfRule>
  </conditionalFormatting>
  <conditionalFormatting sqref="J132">
    <cfRule type="expression" dxfId="2865" priority="3004">
      <formula>H134=TRUE</formula>
    </cfRule>
  </conditionalFormatting>
  <conditionalFormatting sqref="J133">
    <cfRule type="expression" dxfId="2864" priority="3005">
      <formula>H134=TRUE</formula>
    </cfRule>
    <cfRule type="expression" dxfId="2863" priority="2012">
      <formula>$J$132=TRUE</formula>
    </cfRule>
  </conditionalFormatting>
  <conditionalFormatting sqref="J145">
    <cfRule type="expression" dxfId="2862" priority="2010">
      <formula>$J$144=TRUE</formula>
    </cfRule>
    <cfRule type="expression" dxfId="2861" priority="2943">
      <formula>H146=TRUE</formula>
    </cfRule>
  </conditionalFormatting>
  <conditionalFormatting sqref="J156">
    <cfRule type="expression" dxfId="2860" priority="2880">
      <formula>H158=TRUE</formula>
    </cfRule>
  </conditionalFormatting>
  <conditionalFormatting sqref="J157">
    <cfRule type="expression" dxfId="2859" priority="2008">
      <formula>$J$156=TRUE</formula>
    </cfRule>
    <cfRule type="expression" dxfId="2858" priority="2881">
      <formula>H158=TRUE</formula>
    </cfRule>
  </conditionalFormatting>
  <conditionalFormatting sqref="J168">
    <cfRule type="expression" dxfId="2857" priority="2818">
      <formula>H170=TRUE</formula>
    </cfRule>
  </conditionalFormatting>
  <conditionalFormatting sqref="J169">
    <cfRule type="expression" dxfId="2856" priority="2006">
      <formula>$J$168=TRUE</formula>
    </cfRule>
    <cfRule type="expression" dxfId="2855" priority="2819">
      <formula>H170=TRUE</formula>
    </cfRule>
  </conditionalFormatting>
  <conditionalFormatting sqref="J180">
    <cfRule type="expression" dxfId="2854" priority="2756">
      <formula>H182=TRUE</formula>
    </cfRule>
  </conditionalFormatting>
  <conditionalFormatting sqref="J181">
    <cfRule type="expression" dxfId="2853" priority="2004">
      <formula>$J$180=TRUE</formula>
    </cfRule>
    <cfRule type="expression" dxfId="2852" priority="2757">
      <formula>H182=TRUE</formula>
    </cfRule>
  </conditionalFormatting>
  <conditionalFormatting sqref="J192">
    <cfRule type="expression" dxfId="2851" priority="2694">
      <formula>H194=TRUE</formula>
    </cfRule>
  </conditionalFormatting>
  <conditionalFormatting sqref="J193">
    <cfRule type="expression" dxfId="2850" priority="2002">
      <formula>$J$192=TRUE</formula>
    </cfRule>
    <cfRule type="expression" dxfId="2849" priority="2695">
      <formula>H194=TRUE</formula>
    </cfRule>
  </conditionalFormatting>
  <conditionalFormatting sqref="J204">
    <cfRule type="expression" dxfId="2848" priority="2632">
      <formula>H206=TRUE</formula>
    </cfRule>
  </conditionalFormatting>
  <conditionalFormatting sqref="J205">
    <cfRule type="expression" dxfId="2847" priority="2633">
      <formula>H206=TRUE</formula>
    </cfRule>
    <cfRule type="expression" dxfId="2846" priority="2001">
      <formula>$J$204=TRUE</formula>
    </cfRule>
  </conditionalFormatting>
  <conditionalFormatting sqref="J216">
    <cfRule type="expression" dxfId="2845" priority="2570">
      <formula>H218=TRUE</formula>
    </cfRule>
  </conditionalFormatting>
  <conditionalFormatting sqref="J217">
    <cfRule type="expression" dxfId="2844" priority="1998">
      <formula>$J$216=TRUE</formula>
    </cfRule>
    <cfRule type="expression" dxfId="2843" priority="2571">
      <formula>H218=TRUE</formula>
    </cfRule>
  </conditionalFormatting>
  <conditionalFormatting sqref="J228">
    <cfRule type="expression" dxfId="2842" priority="2508">
      <formula>H230=TRUE</formula>
    </cfRule>
  </conditionalFormatting>
  <conditionalFormatting sqref="J229">
    <cfRule type="expression" dxfId="2841" priority="1996">
      <formula>$J$228=TRUE</formula>
    </cfRule>
    <cfRule type="expression" dxfId="2840" priority="2509">
      <formula>H230=TRUE</formula>
    </cfRule>
  </conditionalFormatting>
  <conditionalFormatting sqref="J240">
    <cfRule type="expression" dxfId="2839" priority="2446">
      <formula>H242=TRUE</formula>
    </cfRule>
  </conditionalFormatting>
  <conditionalFormatting sqref="J241">
    <cfRule type="expression" dxfId="2838" priority="2447">
      <formula>H242=TRUE</formula>
    </cfRule>
    <cfRule type="expression" dxfId="2837" priority="1994">
      <formula>$J$240=TRUE</formula>
    </cfRule>
  </conditionalFormatting>
  <conditionalFormatting sqref="J3:K3">
    <cfRule type="expression" dxfId="2836" priority="6449">
      <formula>OR(H14,H26,H38,H50,H62,H74,H86,H98,H110,H122,H134,H146,H158,H170,H182,H194,H206,H218,H230,H242)</formula>
    </cfRule>
  </conditionalFormatting>
  <conditionalFormatting sqref="J10:K11 J82:K83">
    <cfRule type="expression" dxfId="2835" priority="3547">
      <formula>H14=TRUE</formula>
    </cfRule>
  </conditionalFormatting>
  <conditionalFormatting sqref="J12:K12">
    <cfRule type="expression" dxfId="2834" priority="1992">
      <formula>$J$13=TRUE</formula>
    </cfRule>
  </conditionalFormatting>
  <conditionalFormatting sqref="J22:K23">
    <cfRule type="expression" dxfId="2833" priority="3546">
      <formula>H26=TRUE</formula>
    </cfRule>
  </conditionalFormatting>
  <conditionalFormatting sqref="J24:K24">
    <cfRule type="expression" dxfId="2832" priority="1990">
      <formula>$J$25=TRUE</formula>
    </cfRule>
  </conditionalFormatting>
  <conditionalFormatting sqref="J34:K35">
    <cfRule type="expression" dxfId="2831" priority="3484">
      <formula>H38=TRUE</formula>
    </cfRule>
  </conditionalFormatting>
  <conditionalFormatting sqref="J36:K36">
    <cfRule type="expression" dxfId="2830" priority="1988">
      <formula>$J$37=TRUE</formula>
    </cfRule>
  </conditionalFormatting>
  <conditionalFormatting sqref="J46:K47">
    <cfRule type="expression" dxfId="2829" priority="3422">
      <formula>H50=TRUE</formula>
    </cfRule>
  </conditionalFormatting>
  <conditionalFormatting sqref="J48:K48">
    <cfRule type="expression" dxfId="2828" priority="1986">
      <formula>$J$49=TRUE</formula>
    </cfRule>
  </conditionalFormatting>
  <conditionalFormatting sqref="J58:K59">
    <cfRule type="expression" dxfId="2827" priority="3360">
      <formula>H62=TRUE</formula>
    </cfRule>
  </conditionalFormatting>
  <conditionalFormatting sqref="J60:K60">
    <cfRule type="expression" dxfId="2826" priority="1984">
      <formula>$J$61=TRUE</formula>
    </cfRule>
  </conditionalFormatting>
  <conditionalFormatting sqref="J70:K71">
    <cfRule type="expression" dxfId="2825" priority="3298">
      <formula>H74=TRUE</formula>
    </cfRule>
  </conditionalFormatting>
  <conditionalFormatting sqref="J72:K72">
    <cfRule type="expression" dxfId="2824" priority="1982">
      <formula>$J$73=TRUE</formula>
    </cfRule>
  </conditionalFormatting>
  <conditionalFormatting sqref="J84:K84">
    <cfRule type="expression" dxfId="2823" priority="105">
      <formula>$J$85=TRUE</formula>
    </cfRule>
  </conditionalFormatting>
  <conditionalFormatting sqref="J94:K95">
    <cfRule type="expression" dxfId="2822" priority="3174">
      <formula>H98=TRUE</formula>
    </cfRule>
  </conditionalFormatting>
  <conditionalFormatting sqref="J96:K96">
    <cfRule type="expression" dxfId="2821" priority="1980">
      <formula>$J$97=TRUE</formula>
    </cfRule>
  </conditionalFormatting>
  <conditionalFormatting sqref="J106:K107">
    <cfRule type="expression" dxfId="2820" priority="3092">
      <formula>H110=TRUE</formula>
    </cfRule>
  </conditionalFormatting>
  <conditionalFormatting sqref="J108:K108">
    <cfRule type="expression" dxfId="2819" priority="1978">
      <formula>$J$109=TRUE</formula>
    </cfRule>
  </conditionalFormatting>
  <conditionalFormatting sqref="J118:K119">
    <cfRule type="expression" dxfId="2818" priority="3030">
      <formula>H122=TRUE</formula>
    </cfRule>
  </conditionalFormatting>
  <conditionalFormatting sqref="J120:K120">
    <cfRule type="expression" dxfId="2817" priority="1976">
      <formula>$J$121=TRUE</formula>
    </cfRule>
  </conditionalFormatting>
  <conditionalFormatting sqref="J130:K131">
    <cfRule type="expression" dxfId="2816" priority="2968">
      <formula>H134=TRUE</formula>
    </cfRule>
  </conditionalFormatting>
  <conditionalFormatting sqref="J132:K132">
    <cfRule type="expression" dxfId="2815" priority="1974">
      <formula>$J$133=TRUE</formula>
    </cfRule>
  </conditionalFormatting>
  <conditionalFormatting sqref="J142:K143">
    <cfRule type="expression" dxfId="2814" priority="2906">
      <formula>H146=TRUE</formula>
    </cfRule>
  </conditionalFormatting>
  <conditionalFormatting sqref="J144:K144">
    <cfRule type="expression" dxfId="2813" priority="2942">
      <formula>$J$145=TRUE</formula>
    </cfRule>
    <cfRule type="expression" dxfId="2812" priority="97">
      <formula>$H$146=FALSE</formula>
    </cfRule>
  </conditionalFormatting>
  <conditionalFormatting sqref="J154:K155">
    <cfRule type="expression" dxfId="2811" priority="2844">
      <formula>H158=TRUE</formula>
    </cfRule>
  </conditionalFormatting>
  <conditionalFormatting sqref="J156:K156">
    <cfRule type="expression" dxfId="2810" priority="1972">
      <formula>$J$157=TRUE</formula>
    </cfRule>
  </conditionalFormatting>
  <conditionalFormatting sqref="J166:K167">
    <cfRule type="expression" dxfId="2809" priority="2782">
      <formula>H170=TRUE</formula>
    </cfRule>
  </conditionalFormatting>
  <conditionalFormatting sqref="J168:K168">
    <cfRule type="expression" dxfId="2808" priority="1970">
      <formula>$J$169=TRUE</formula>
    </cfRule>
  </conditionalFormatting>
  <conditionalFormatting sqref="J178:K179">
    <cfRule type="expression" dxfId="2807" priority="2720">
      <formula>H182=TRUE</formula>
    </cfRule>
  </conditionalFormatting>
  <conditionalFormatting sqref="J180:K180">
    <cfRule type="expression" dxfId="2806" priority="1968">
      <formula>$J$181=TRUE</formula>
    </cfRule>
  </conditionalFormatting>
  <conditionalFormatting sqref="J190:K191">
    <cfRule type="expression" dxfId="2805" priority="2658">
      <formula>H194=TRUE</formula>
    </cfRule>
  </conditionalFormatting>
  <conditionalFormatting sqref="J192:K192">
    <cfRule type="expression" dxfId="2804" priority="1966">
      <formula>$J$193=TRUE</formula>
    </cfRule>
  </conditionalFormatting>
  <conditionalFormatting sqref="J202:K203">
    <cfRule type="expression" dxfId="2803" priority="2596">
      <formula>H206=TRUE</formula>
    </cfRule>
  </conditionalFormatting>
  <conditionalFormatting sqref="J204:K204">
    <cfRule type="expression" dxfId="2802" priority="1964">
      <formula>$J$205=TRUE</formula>
    </cfRule>
  </conditionalFormatting>
  <conditionalFormatting sqref="J214:K215">
    <cfRule type="expression" dxfId="2801" priority="2534">
      <formula>H218=TRUE</formula>
    </cfRule>
  </conditionalFormatting>
  <conditionalFormatting sqref="J216:K216">
    <cfRule type="expression" dxfId="2800" priority="1962">
      <formula>$J$217=TRUE</formula>
    </cfRule>
  </conditionalFormatting>
  <conditionalFormatting sqref="J226:K227">
    <cfRule type="expression" dxfId="2799" priority="2472">
      <formula>H230=TRUE</formula>
    </cfRule>
  </conditionalFormatting>
  <conditionalFormatting sqref="J228:K228">
    <cfRule type="expression" dxfId="2798" priority="1960">
      <formula>$J$229=TRUE</formula>
    </cfRule>
  </conditionalFormatting>
  <conditionalFormatting sqref="J238:K239">
    <cfRule type="expression" dxfId="2797" priority="2410">
      <formula>H242=TRUE</formula>
    </cfRule>
  </conditionalFormatting>
  <conditionalFormatting sqref="J240:K240">
    <cfRule type="expression" dxfId="2796" priority="1958">
      <formula>$J$241=TRUE</formula>
    </cfRule>
  </conditionalFormatting>
  <conditionalFormatting sqref="K12">
    <cfRule type="expression" dxfId="2795" priority="3660">
      <formula>H14=TRUE</formula>
    </cfRule>
  </conditionalFormatting>
  <conditionalFormatting sqref="K13:K14">
    <cfRule type="expression" dxfId="2794" priority="2032">
      <formula>$J$12=TRUE</formula>
    </cfRule>
    <cfRule type="expression" dxfId="2793" priority="3659">
      <formula>H14=TRUE</formula>
    </cfRule>
  </conditionalFormatting>
  <conditionalFormatting sqref="K24">
    <cfRule type="expression" dxfId="2792" priority="3592">
      <formula>H26=TRUE</formula>
    </cfRule>
  </conditionalFormatting>
  <conditionalFormatting sqref="K25:K26">
    <cfRule type="expression" dxfId="2791" priority="2031">
      <formula>$J$24=TRUE</formula>
    </cfRule>
    <cfRule type="expression" dxfId="2790" priority="3591">
      <formula>H26=TRUE</formula>
    </cfRule>
  </conditionalFormatting>
  <conditionalFormatting sqref="K36">
    <cfRule type="expression" dxfId="2789" priority="3529">
      <formula>H38=TRUE</formula>
    </cfRule>
  </conditionalFormatting>
  <conditionalFormatting sqref="K37:K38">
    <cfRule type="expression" dxfId="2788" priority="3528">
      <formula>H38=TRUE</formula>
    </cfRule>
    <cfRule type="expression" dxfId="2787" priority="2029">
      <formula>$J$36=TRUE</formula>
    </cfRule>
  </conditionalFormatting>
  <conditionalFormatting sqref="K48">
    <cfRule type="expression" dxfId="2786" priority="3467">
      <formula>H50=TRUE</formula>
    </cfRule>
  </conditionalFormatting>
  <conditionalFormatting sqref="K49:K50">
    <cfRule type="expression" dxfId="2785" priority="3466">
      <formula>H50=TRUE</formula>
    </cfRule>
    <cfRule type="expression" dxfId="2784" priority="2027">
      <formula>$J$48=TRUE</formula>
    </cfRule>
  </conditionalFormatting>
  <conditionalFormatting sqref="K60">
    <cfRule type="expression" dxfId="2783" priority="3405">
      <formula>H62=TRUE</formula>
    </cfRule>
  </conditionalFormatting>
  <conditionalFormatting sqref="K61:K62">
    <cfRule type="expression" dxfId="2782" priority="3404">
      <formula>H62=TRUE</formula>
    </cfRule>
    <cfRule type="expression" dxfId="2781" priority="2025">
      <formula>$J$60=TRUE</formula>
    </cfRule>
  </conditionalFormatting>
  <conditionalFormatting sqref="K72">
    <cfRule type="expression" dxfId="2780" priority="3343">
      <formula>H74=TRUE</formula>
    </cfRule>
  </conditionalFormatting>
  <conditionalFormatting sqref="K73:K74">
    <cfRule type="expression" dxfId="2779" priority="2023">
      <formula>$J$72</formula>
    </cfRule>
    <cfRule type="expression" dxfId="2778" priority="3342">
      <formula>H74=TRUE</formula>
    </cfRule>
  </conditionalFormatting>
  <conditionalFormatting sqref="K84">
    <cfRule type="expression" dxfId="2777" priority="3281">
      <formula>H86=TRUE</formula>
    </cfRule>
  </conditionalFormatting>
  <conditionalFormatting sqref="K85:K86">
    <cfRule type="expression" dxfId="2776" priority="3280">
      <formula>H86=TRUE</formula>
    </cfRule>
    <cfRule type="expression" dxfId="2775" priority="2021">
      <formula>$J$84=TRUE</formula>
    </cfRule>
  </conditionalFormatting>
  <conditionalFormatting sqref="K96">
    <cfRule type="expression" dxfId="2774" priority="3219">
      <formula>H98=TRUE</formula>
    </cfRule>
  </conditionalFormatting>
  <conditionalFormatting sqref="K97:K98">
    <cfRule type="expression" dxfId="2773" priority="2019">
      <formula>$J$96=TRUE</formula>
    </cfRule>
    <cfRule type="expression" dxfId="2772" priority="3218">
      <formula>H98=TRUE</formula>
    </cfRule>
  </conditionalFormatting>
  <conditionalFormatting sqref="K108">
    <cfRule type="expression" dxfId="2771" priority="3131">
      <formula>H110=TRUE</formula>
    </cfRule>
  </conditionalFormatting>
  <conditionalFormatting sqref="K109:K110">
    <cfRule type="expression" dxfId="2770" priority="2017">
      <formula>$J$108=TRUE</formula>
    </cfRule>
    <cfRule type="expression" dxfId="2769" priority="3130">
      <formula>H110=TRUE</formula>
    </cfRule>
  </conditionalFormatting>
  <conditionalFormatting sqref="K120">
    <cfRule type="expression" dxfId="2768" priority="3069">
      <formula>H122=TRUE</formula>
    </cfRule>
  </conditionalFormatting>
  <conditionalFormatting sqref="K121:K122">
    <cfRule type="expression" dxfId="2767" priority="2015">
      <formula>$J$120=TRUE</formula>
    </cfRule>
    <cfRule type="expression" dxfId="2766" priority="3068">
      <formula>H122=TRUE</formula>
    </cfRule>
  </conditionalFormatting>
  <conditionalFormatting sqref="K132">
    <cfRule type="expression" dxfId="2765" priority="3007">
      <formula>H134=TRUE</formula>
    </cfRule>
  </conditionalFormatting>
  <conditionalFormatting sqref="K133:K134">
    <cfRule type="expression" dxfId="2764" priority="2013">
      <formula>$J$132=TRUE</formula>
    </cfRule>
    <cfRule type="expression" dxfId="2763" priority="3006">
      <formula>H134=TRUE</formula>
    </cfRule>
  </conditionalFormatting>
  <conditionalFormatting sqref="K145:K146">
    <cfRule type="expression" dxfId="2762" priority="2011">
      <formula>$J$144=TRUE</formula>
    </cfRule>
    <cfRule type="expression" dxfId="2761" priority="2944">
      <formula>H146=TRUE</formula>
    </cfRule>
  </conditionalFormatting>
  <conditionalFormatting sqref="K156">
    <cfRule type="expression" dxfId="2760" priority="2883">
      <formula>H158=TRUE</formula>
    </cfRule>
  </conditionalFormatting>
  <conditionalFormatting sqref="K157:K158">
    <cfRule type="expression" dxfId="2759" priority="2009">
      <formula>$J$156=TRUE</formula>
    </cfRule>
    <cfRule type="expression" dxfId="2758" priority="2882">
      <formula>H158=TRUE</formula>
    </cfRule>
  </conditionalFormatting>
  <conditionalFormatting sqref="K168">
    <cfRule type="expression" dxfId="2757" priority="2821">
      <formula>H170=TRUE</formula>
    </cfRule>
  </conditionalFormatting>
  <conditionalFormatting sqref="K169:K170">
    <cfRule type="expression" dxfId="2756" priority="2007">
      <formula>$J$168=TRUE</formula>
    </cfRule>
    <cfRule type="expression" dxfId="2755" priority="2820">
      <formula>H170=TRUE</formula>
    </cfRule>
  </conditionalFormatting>
  <conditionalFormatting sqref="K180">
    <cfRule type="expression" dxfId="2754" priority="2759">
      <formula>H182=TRUE</formula>
    </cfRule>
  </conditionalFormatting>
  <conditionalFormatting sqref="K181:K182">
    <cfRule type="expression" dxfId="2753" priority="2005">
      <formula>$J$180=TRUE</formula>
    </cfRule>
    <cfRule type="expression" dxfId="2752" priority="2758">
      <formula>H182=TRUE</formula>
    </cfRule>
  </conditionalFormatting>
  <conditionalFormatting sqref="K192">
    <cfRule type="expression" dxfId="2751" priority="2697">
      <formula>H194=TRUE</formula>
    </cfRule>
  </conditionalFormatting>
  <conditionalFormatting sqref="K193:K194">
    <cfRule type="expression" dxfId="2750" priority="2003">
      <formula>$J$192=TRUE</formula>
    </cfRule>
    <cfRule type="expression" dxfId="2749" priority="2696">
      <formula>H194=TRUE</formula>
    </cfRule>
  </conditionalFormatting>
  <conditionalFormatting sqref="K204">
    <cfRule type="expression" dxfId="2748" priority="2635">
      <formula>H206=TRUE</formula>
    </cfRule>
  </conditionalFormatting>
  <conditionalFormatting sqref="K205:K206">
    <cfRule type="expression" dxfId="2747" priority="2000">
      <formula>$J$204=TRUE</formula>
    </cfRule>
    <cfRule type="expression" dxfId="2746" priority="2634">
      <formula>H206=TRUE</formula>
    </cfRule>
  </conditionalFormatting>
  <conditionalFormatting sqref="K216">
    <cfRule type="expression" dxfId="2745" priority="2573">
      <formula>H218=TRUE</formula>
    </cfRule>
  </conditionalFormatting>
  <conditionalFormatting sqref="K217:K218">
    <cfRule type="expression" dxfId="2744" priority="2572">
      <formula>H218=TRUE</formula>
    </cfRule>
    <cfRule type="expression" dxfId="2743" priority="1999">
      <formula>$J$216=TRUE</formula>
    </cfRule>
  </conditionalFormatting>
  <conditionalFormatting sqref="K228">
    <cfRule type="expression" dxfId="2742" priority="2511">
      <formula>H230=TRUE</formula>
    </cfRule>
  </conditionalFormatting>
  <conditionalFormatting sqref="K229:K230">
    <cfRule type="expression" dxfId="2741" priority="2510">
      <formula>H230=TRUE</formula>
    </cfRule>
    <cfRule type="expression" dxfId="2740" priority="1997">
      <formula>$J$228=TRUE</formula>
    </cfRule>
  </conditionalFormatting>
  <conditionalFormatting sqref="K240">
    <cfRule type="expression" dxfId="2739" priority="2449">
      <formula>H242=TRUE</formula>
    </cfRule>
  </conditionalFormatting>
  <conditionalFormatting sqref="K241:K242">
    <cfRule type="expression" dxfId="2738" priority="2448">
      <formula>H242=TRUE</formula>
    </cfRule>
    <cfRule type="expression" dxfId="2737" priority="1995">
      <formula>$J$240=TRUE</formula>
    </cfRule>
  </conditionalFormatting>
  <conditionalFormatting sqref="L12 L24 L36 L48 L60 L72 L84 L96 L108 L120 L132 L144 L156 L168 L180 L192 L204 L216 L228 L240">
    <cfRule type="expression" dxfId="2736" priority="4011">
      <formula>AND(H14=TRUE,J12=TRUE)</formula>
    </cfRule>
  </conditionalFormatting>
  <conditionalFormatting sqref="L13 L25 L37 L49 L61 L73 L85 L97 L109 L121 L133 L145 L157 L169 L229 L241 L217 L205 L193 L181">
    <cfRule type="expression" dxfId="2735" priority="4012">
      <formula>AND(H14=TRUE,J12=TRUE)</formula>
    </cfRule>
  </conditionalFormatting>
  <conditionalFormatting sqref="L14 L26 L38 L50 L62 L74 L86 L98 L110 L122 L134 L146 L158 L170 L230 L242 L218 L206 L194 L182">
    <cfRule type="expression" dxfId="2734" priority="4013">
      <formula>AND(H14=TRUE,J12=TRUE)</formula>
    </cfRule>
  </conditionalFormatting>
  <conditionalFormatting sqref="L12:M12">
    <cfRule type="expression" dxfId="2733" priority="1850">
      <formula>$L$13=TRUE</formula>
    </cfRule>
  </conditionalFormatting>
  <conditionalFormatting sqref="L24:M24 L26:M26">
    <cfRule type="expression" dxfId="2732" priority="1829">
      <formula>$L$25=TRUE</formula>
    </cfRule>
  </conditionalFormatting>
  <conditionalFormatting sqref="L36:M36 L38:M38">
    <cfRule type="expression" dxfId="2731" priority="1828">
      <formula>$L$37=TRUE</formula>
    </cfRule>
  </conditionalFormatting>
  <conditionalFormatting sqref="L48:M48 L50:M50">
    <cfRule type="expression" dxfId="2730" priority="1827">
      <formula>$L$49=TRUE</formula>
    </cfRule>
  </conditionalFormatting>
  <conditionalFormatting sqref="L60:M60 L62:M62">
    <cfRule type="expression" dxfId="2729" priority="1826">
      <formula>$L$61=TRUE</formula>
    </cfRule>
  </conditionalFormatting>
  <conditionalFormatting sqref="L72:M72 L74:N74">
    <cfRule type="expression" dxfId="2728" priority="1825">
      <formula>$L$73=TRUE</formula>
    </cfRule>
  </conditionalFormatting>
  <conditionalFormatting sqref="L84:M84 L86:N86">
    <cfRule type="expression" dxfId="2727" priority="1824">
      <formula>$L$85=TRUE</formula>
    </cfRule>
  </conditionalFormatting>
  <conditionalFormatting sqref="L96:M96 L98:N98">
    <cfRule type="expression" dxfId="2726" priority="1823">
      <formula>$L$97=TRUE</formula>
    </cfRule>
  </conditionalFormatting>
  <conditionalFormatting sqref="L108:M108 L110:N110">
    <cfRule type="expression" dxfId="2725" priority="1822">
      <formula>$L$109=TRUE</formula>
    </cfRule>
  </conditionalFormatting>
  <conditionalFormatting sqref="L120:M120 L122:N122">
    <cfRule type="expression" dxfId="2724" priority="1821">
      <formula>$L$121=TRUE</formula>
    </cfRule>
  </conditionalFormatting>
  <conditionalFormatting sqref="L132:M132 L134:N134">
    <cfRule type="expression" dxfId="2723" priority="1820">
      <formula>$L$133=TRUE</formula>
    </cfRule>
  </conditionalFormatting>
  <conditionalFormatting sqref="L144:M144 L146:N146">
    <cfRule type="expression" dxfId="2722" priority="1819">
      <formula>$L$145=TRUE</formula>
    </cfRule>
  </conditionalFormatting>
  <conditionalFormatting sqref="L156:M156 L158:N158">
    <cfRule type="expression" dxfId="2721" priority="1818">
      <formula>$L$157=TRUE</formula>
    </cfRule>
  </conditionalFormatting>
  <conditionalFormatting sqref="L168:M168 L170:N170">
    <cfRule type="expression" dxfId="2720" priority="1817">
      <formula>$L$169=TRUE</formula>
    </cfRule>
  </conditionalFormatting>
  <conditionalFormatting sqref="L180:M180 L182:N182">
    <cfRule type="expression" dxfId="2719" priority="1816">
      <formula>$L$181=TRUE</formula>
    </cfRule>
  </conditionalFormatting>
  <conditionalFormatting sqref="L192:M192 L194:N194">
    <cfRule type="expression" dxfId="2718" priority="1815">
      <formula>$L$193=TRUE</formula>
    </cfRule>
  </conditionalFormatting>
  <conditionalFormatting sqref="L204:M204 L206:N206">
    <cfRule type="expression" dxfId="2717" priority="1814">
      <formula>$L$205=TRUE</formula>
    </cfRule>
  </conditionalFormatting>
  <conditionalFormatting sqref="L216:M216 L218:N218">
    <cfRule type="expression" dxfId="2716" priority="1813">
      <formula>$L$217=TRUE</formula>
    </cfRule>
  </conditionalFormatting>
  <conditionalFormatting sqref="L228:M228 L230:N230">
    <cfRule type="expression" dxfId="2715" priority="1812">
      <formula>$L$229=TRUE</formula>
    </cfRule>
  </conditionalFormatting>
  <conditionalFormatting sqref="L240:M240 L242:N242">
    <cfRule type="expression" dxfId="2714" priority="1811">
      <formula>$L$241=TRUE</formula>
    </cfRule>
  </conditionalFormatting>
  <conditionalFormatting sqref="L3:N3">
    <cfRule type="expression" dxfId="2713" priority="6464">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L12:N13">
    <cfRule type="expression" dxfId="2712" priority="1851">
      <formula>$L$14=TRUE</formula>
    </cfRule>
  </conditionalFormatting>
  <conditionalFormatting sqref="L13:N15">
    <cfRule type="expression" dxfId="2711" priority="1871">
      <formula>$L$12=TRUE</formula>
    </cfRule>
  </conditionalFormatting>
  <conditionalFormatting sqref="L14:N14">
    <cfRule type="expression" dxfId="2710" priority="1849">
      <formula>$L$13=TRUE</formula>
    </cfRule>
  </conditionalFormatting>
  <conditionalFormatting sqref="L22:N23 L10:N11 L34:N35 L46:N47 L58:N59 L70:N71 L82:N83 L94:N95 L106:N107 L118:N119 L130:N131 L142:N143 L154:N155 L166:N167 L178:N179 L190:N191 L202:N203 L214:N215 L238:N239">
    <cfRule type="expression" dxfId="2709" priority="6354">
      <formula>AND(H14=TRUE,J12=TRUE)</formula>
    </cfRule>
  </conditionalFormatting>
  <conditionalFormatting sqref="L24:N25">
    <cfRule type="expression" dxfId="2708" priority="1848">
      <formula>$L$26=TRUE</formula>
    </cfRule>
  </conditionalFormatting>
  <conditionalFormatting sqref="L25:N27">
    <cfRule type="expression" dxfId="2707" priority="1870">
      <formula>$L$24=TRUE</formula>
    </cfRule>
  </conditionalFormatting>
  <conditionalFormatting sqref="L36:N37">
    <cfRule type="expression" dxfId="2706" priority="1847">
      <formula>$L$38=TRUE</formula>
    </cfRule>
  </conditionalFormatting>
  <conditionalFormatting sqref="L37:N39">
    <cfRule type="expression" dxfId="2705" priority="1869">
      <formula>$L$36=TRUE</formula>
    </cfRule>
  </conditionalFormatting>
  <conditionalFormatting sqref="L48:N49">
    <cfRule type="expression" dxfId="2704" priority="1846">
      <formula>$L$50=TRUE</formula>
    </cfRule>
  </conditionalFormatting>
  <conditionalFormatting sqref="L49:N51">
    <cfRule type="expression" dxfId="2703" priority="1868">
      <formula>$L$48=TRUE</formula>
    </cfRule>
  </conditionalFormatting>
  <conditionalFormatting sqref="L60:N61">
    <cfRule type="expression" dxfId="2702" priority="1845">
      <formula>$L$62=TRUE</formula>
    </cfRule>
  </conditionalFormatting>
  <conditionalFormatting sqref="L61:N63">
    <cfRule type="expression" dxfId="2701" priority="1867">
      <formula>$L$60=TRUE</formula>
    </cfRule>
  </conditionalFormatting>
  <conditionalFormatting sqref="L72:N73">
    <cfRule type="expression" dxfId="2700" priority="1844">
      <formula>$L$74=TRUE</formula>
    </cfRule>
  </conditionalFormatting>
  <conditionalFormatting sqref="L73:N75">
    <cfRule type="expression" dxfId="2699" priority="1866">
      <formula>$L$72=TRUE</formula>
    </cfRule>
  </conditionalFormatting>
  <conditionalFormatting sqref="L84:N85">
    <cfRule type="expression" dxfId="2698" priority="1843">
      <formula>$L$86=TRUE</formula>
    </cfRule>
  </conditionalFormatting>
  <conditionalFormatting sqref="L85:N87">
    <cfRule type="expression" dxfId="2697" priority="1865">
      <formula>$L$84=TRUE</formula>
    </cfRule>
  </conditionalFormatting>
  <conditionalFormatting sqref="L96:N97">
    <cfRule type="expression" dxfId="2696" priority="1842">
      <formula>$L$98=TRUE</formula>
    </cfRule>
  </conditionalFormatting>
  <conditionalFormatting sqref="L97:N100">
    <cfRule type="expression" dxfId="2695" priority="1864">
      <formula>$L$96=TRUE</formula>
    </cfRule>
  </conditionalFormatting>
  <conditionalFormatting sqref="L108:N109">
    <cfRule type="expression" dxfId="2694" priority="1841">
      <formula>$L$110=TRUE</formula>
    </cfRule>
  </conditionalFormatting>
  <conditionalFormatting sqref="L109:N111">
    <cfRule type="expression" dxfId="2693" priority="1863">
      <formula>$L$108=TRUE</formula>
    </cfRule>
  </conditionalFormatting>
  <conditionalFormatting sqref="L120:N121">
    <cfRule type="expression" dxfId="2692" priority="1840">
      <formula>$L$122=TRUE</formula>
    </cfRule>
  </conditionalFormatting>
  <conditionalFormatting sqref="L121:N124">
    <cfRule type="expression" dxfId="2691" priority="1862">
      <formula>$L$120=TRUE</formula>
    </cfRule>
  </conditionalFormatting>
  <conditionalFormatting sqref="L132:N133">
    <cfRule type="expression" dxfId="2690" priority="1839">
      <formula>$L$134=TRUE</formula>
    </cfRule>
  </conditionalFormatting>
  <conditionalFormatting sqref="L133:N136">
    <cfRule type="expression" dxfId="2689" priority="1861">
      <formula>$L$132=TRUE</formula>
    </cfRule>
  </conditionalFormatting>
  <conditionalFormatting sqref="L144:N145">
    <cfRule type="expression" dxfId="2688" priority="1838">
      <formula>$L$146=TRUE</formula>
    </cfRule>
  </conditionalFormatting>
  <conditionalFormatting sqref="L145:N148">
    <cfRule type="expression" dxfId="2687" priority="1860">
      <formula>$L$144=TRUE</formula>
    </cfRule>
  </conditionalFormatting>
  <conditionalFormatting sqref="L156:N157">
    <cfRule type="expression" dxfId="2686" priority="1837">
      <formula>$L$158=TRUE</formula>
    </cfRule>
  </conditionalFormatting>
  <conditionalFormatting sqref="L157:N160">
    <cfRule type="expression" dxfId="2685" priority="1859">
      <formula>$L$156=TRUE</formula>
    </cfRule>
  </conditionalFormatting>
  <conditionalFormatting sqref="L168:N169">
    <cfRule type="expression" dxfId="2684" priority="1836">
      <formula>$L$170=TRUE</formula>
    </cfRule>
  </conditionalFormatting>
  <conditionalFormatting sqref="L169:N172">
    <cfRule type="expression" dxfId="2683" priority="1858">
      <formula>$L$168=TRUE</formula>
    </cfRule>
  </conditionalFormatting>
  <conditionalFormatting sqref="L180:N181">
    <cfRule type="expression" dxfId="2682" priority="1835">
      <formula>$L$182=TRUE</formula>
    </cfRule>
  </conditionalFormatting>
  <conditionalFormatting sqref="L181:N184">
    <cfRule type="expression" dxfId="2681" priority="1852">
      <formula>$L$180=TRUE</formula>
    </cfRule>
  </conditionalFormatting>
  <conditionalFormatting sqref="L192:N193">
    <cfRule type="expression" dxfId="2680" priority="1834">
      <formula>$L$194=TRUE</formula>
    </cfRule>
  </conditionalFormatting>
  <conditionalFormatting sqref="L193:N196">
    <cfRule type="expression" dxfId="2679" priority="1853">
      <formula>$L$192=TRUE</formula>
    </cfRule>
  </conditionalFormatting>
  <conditionalFormatting sqref="L204:N205">
    <cfRule type="expression" dxfId="2678" priority="1833">
      <formula>$L$206=TRUE</formula>
    </cfRule>
  </conditionalFormatting>
  <conditionalFormatting sqref="L205:N208">
    <cfRule type="expression" dxfId="2677" priority="1854">
      <formula>$L$204=TRUE</formula>
    </cfRule>
  </conditionalFormatting>
  <conditionalFormatting sqref="L216:N217">
    <cfRule type="expression" dxfId="2676" priority="1832">
      <formula>$L$218=TRUE</formula>
    </cfRule>
  </conditionalFormatting>
  <conditionalFormatting sqref="L217:N219">
    <cfRule type="expression" dxfId="2675" priority="1855">
      <formula>$L$216=TRUE</formula>
    </cfRule>
  </conditionalFormatting>
  <conditionalFormatting sqref="L226:N227">
    <cfRule type="expression" dxfId="2674" priority="4072">
      <formula>AND(H230=TRUE,J228=TRUE)</formula>
    </cfRule>
  </conditionalFormatting>
  <conditionalFormatting sqref="L228:N229">
    <cfRule type="expression" dxfId="2673" priority="1831">
      <formula>$L$230=TRUE</formula>
    </cfRule>
  </conditionalFormatting>
  <conditionalFormatting sqref="L229:N232">
    <cfRule type="expression" dxfId="2672" priority="1857">
      <formula>$L$228=TRUE</formula>
    </cfRule>
  </conditionalFormatting>
  <conditionalFormatting sqref="L240:N241">
    <cfRule type="expression" dxfId="2671" priority="1830">
      <formula>$L$242=TRUE</formula>
    </cfRule>
  </conditionalFormatting>
  <conditionalFormatting sqref="L241:N243">
    <cfRule type="expression" dxfId="2670" priority="1856">
      <formula>$L$240=TRUE</formula>
    </cfRule>
  </conditionalFormatting>
  <conditionalFormatting sqref="M12 M24 M36 M48 M60 M72 M84 M96 M108 M120 M132 M144 M156 M168 M180 M192 M204 M216 M228 M240">
    <cfRule type="expression" dxfId="2669" priority="4092">
      <formula>AND(H14=TRUE,J12=TRUE)</formula>
    </cfRule>
  </conditionalFormatting>
  <conditionalFormatting sqref="M13 M25 M37 M49 M61 M73 M85 M97 M109 M121 M133 M145 M157 M169 M229 M241 M217 M205 M193 M181">
    <cfRule type="expression" dxfId="2668" priority="4093">
      <formula>AND(H14=TRUE,J12=TRUE)</formula>
    </cfRule>
  </conditionalFormatting>
  <conditionalFormatting sqref="M14 M26 M38 M50 M62 M74 M86 M98 M110 M122 M134 M146 M158 M170 M230 M242 M218 M206 M194 M182">
    <cfRule type="expression" dxfId="2667" priority="4094">
      <formula>AND(H14=TRUE,J12=TRUE)</formula>
    </cfRule>
  </conditionalFormatting>
  <conditionalFormatting sqref="N13 N25 N37 N49 N61 N73 N85 N97 N109 N121 N133 N145 N157 N169 N229 N241 N217 N205 N193 N181">
    <cfRule type="expression" dxfId="2666" priority="4868">
      <formula>AND(L13=TRUE,H14=TRUE,J12=TRUE)</formula>
    </cfRule>
  </conditionalFormatting>
  <conditionalFormatting sqref="N14 N26 N38 N50 N62 N74 N86 N98 N110 N122 N134 N146 N158 N170 N230 N242 N218 N206 N194 N182">
    <cfRule type="expression" dxfId="2665" priority="4888">
      <formula>AND(L14=TRUE,H14=TRUE,J12=TRUE)</formula>
    </cfRule>
  </conditionalFormatting>
  <conditionalFormatting sqref="O12 O24 O36 O48 O60 O72 O84 O96 O108 O120 O132 O144 O156 O168 O192 O204 O216 O228 O240 O180">
    <cfRule type="expression" dxfId="2664" priority="4192">
      <formula>AND(H14=TRUE,J12=TRUE)</formula>
    </cfRule>
  </conditionalFormatting>
  <conditionalFormatting sqref="O13 O25 O37 O49 O61 O73 O85 O97 O109 O121 O133 O145 O157 O169 O181 O193 O205 O217 O229 O241">
    <cfRule type="expression" dxfId="2663" priority="4193">
      <formula>AND(H14=TRUE,J12=TRUE)</formula>
    </cfRule>
  </conditionalFormatting>
  <conditionalFormatting sqref="O14 O26 O38 O50 O62 O74 O86 O98 O110 O122 O134 O146 O158 O170 O182 O194 O206 O218 O230 O242">
    <cfRule type="expression" dxfId="2662" priority="4194">
      <formula>AND(H14=TRUE,J12=TRUE)</formula>
    </cfRule>
  </conditionalFormatting>
  <conditionalFormatting sqref="O12:P12 O14:Q14">
    <cfRule type="expression" dxfId="2661" priority="1808">
      <formula>$O$13=TRUE</formula>
    </cfRule>
  </conditionalFormatting>
  <conditionalFormatting sqref="O12:P13">
    <cfRule type="expression" dxfId="2660" priority="1788">
      <formula>$O$14=TRUE</formula>
    </cfRule>
  </conditionalFormatting>
  <conditionalFormatting sqref="O24:P24 O26:Q26">
    <cfRule type="expression" dxfId="2659" priority="1750">
      <formula>$O$25=TRUE</formula>
    </cfRule>
  </conditionalFormatting>
  <conditionalFormatting sqref="O24:P25">
    <cfRule type="expression" dxfId="2658" priority="1787">
      <formula>$O$26=TRUE</formula>
    </cfRule>
  </conditionalFormatting>
  <conditionalFormatting sqref="O36:P36 O38:Q38">
    <cfRule type="expression" dxfId="2657" priority="1751">
      <formula>$O$37=TRUE</formula>
    </cfRule>
  </conditionalFormatting>
  <conditionalFormatting sqref="O36:P37">
    <cfRule type="expression" dxfId="2656" priority="1786">
      <formula>$O$38=TRUE</formula>
    </cfRule>
  </conditionalFormatting>
  <conditionalFormatting sqref="O48:P48 O50:Q50">
    <cfRule type="expression" dxfId="2655" priority="1752">
      <formula>$O$49=TRUE</formula>
    </cfRule>
  </conditionalFormatting>
  <conditionalFormatting sqref="O48:P49">
    <cfRule type="expression" dxfId="2654" priority="1785">
      <formula>$O$50=TRUE</formula>
    </cfRule>
  </conditionalFormatting>
  <conditionalFormatting sqref="O60:P60 O62:Q62">
    <cfRule type="expression" dxfId="2653" priority="1753">
      <formula>$O$61=TRUE</formula>
    </cfRule>
  </conditionalFormatting>
  <conditionalFormatting sqref="O60:P61">
    <cfRule type="expression" dxfId="2652" priority="1784">
      <formula>$O$62=TRUE</formula>
    </cfRule>
  </conditionalFormatting>
  <conditionalFormatting sqref="O72:P72 O74:Q74">
    <cfRule type="expression" dxfId="2651" priority="1754">
      <formula>$O$73=TRUE</formula>
    </cfRule>
  </conditionalFormatting>
  <conditionalFormatting sqref="O72:P73">
    <cfRule type="expression" dxfId="2650" priority="1783">
      <formula>$O$74=TRUE</formula>
    </cfRule>
  </conditionalFormatting>
  <conditionalFormatting sqref="O84:P84 O86:Q86">
    <cfRule type="expression" dxfId="2649" priority="1755">
      <formula>$O$85=TRUE</formula>
    </cfRule>
  </conditionalFormatting>
  <conditionalFormatting sqref="O84:P85">
    <cfRule type="expression" dxfId="2648" priority="1782">
      <formula>$O$86=TRUE</formula>
    </cfRule>
  </conditionalFormatting>
  <conditionalFormatting sqref="O96:P96 O98:Q98">
    <cfRule type="expression" dxfId="2647" priority="1756">
      <formula>$O$97=TRUE</formula>
    </cfRule>
  </conditionalFormatting>
  <conditionalFormatting sqref="O96:P97">
    <cfRule type="expression" dxfId="2646" priority="1781">
      <formula>$O$98=TRUE</formula>
    </cfRule>
  </conditionalFormatting>
  <conditionalFormatting sqref="O108:P108 O110:Q110">
    <cfRule type="expression" dxfId="2645" priority="1757">
      <formula>$O$109=TRUE</formula>
    </cfRule>
  </conditionalFormatting>
  <conditionalFormatting sqref="O108:P109">
    <cfRule type="expression" dxfId="2644" priority="1780">
      <formula>$O$110=TRUE</formula>
    </cfRule>
  </conditionalFormatting>
  <conditionalFormatting sqref="O120:P120 O122:Q122">
    <cfRule type="expression" dxfId="2643" priority="1758">
      <formula>$O$121=TRUE</formula>
    </cfRule>
  </conditionalFormatting>
  <conditionalFormatting sqref="O120:P121">
    <cfRule type="expression" dxfId="2642" priority="1779">
      <formula>$O$122=TRUE</formula>
    </cfRule>
  </conditionalFormatting>
  <conditionalFormatting sqref="O132:P132 O134:Q134">
    <cfRule type="expression" dxfId="2641" priority="1759">
      <formula>$O$133=TRUE</formula>
    </cfRule>
  </conditionalFormatting>
  <conditionalFormatting sqref="O132:P133">
    <cfRule type="expression" dxfId="2640" priority="1778">
      <formula>$O$134=TRUE</formula>
    </cfRule>
  </conditionalFormatting>
  <conditionalFormatting sqref="O144:P144 O146:Q146">
    <cfRule type="expression" dxfId="2639" priority="1760">
      <formula>$O$145=TRUE</formula>
    </cfRule>
  </conditionalFormatting>
  <conditionalFormatting sqref="O144:P145">
    <cfRule type="expression" dxfId="2638" priority="1777">
      <formula>$O$146=TRUE</formula>
    </cfRule>
  </conditionalFormatting>
  <conditionalFormatting sqref="O156:P156 O158:Q158">
    <cfRule type="expression" dxfId="2637" priority="1761">
      <formula>$O$157=TRUE</formula>
    </cfRule>
  </conditionalFormatting>
  <conditionalFormatting sqref="O156:P157">
    <cfRule type="expression" dxfId="2636" priority="1776">
      <formula>$O$158=TRUE</formula>
    </cfRule>
  </conditionalFormatting>
  <conditionalFormatting sqref="O168:P168 O170:Q170">
    <cfRule type="expression" dxfId="2635" priority="1762">
      <formula>$O$169=TRUE</formula>
    </cfRule>
  </conditionalFormatting>
  <conditionalFormatting sqref="O168:P169">
    <cfRule type="expression" dxfId="2634" priority="1775">
      <formula>$O$170=TRUE</formula>
    </cfRule>
  </conditionalFormatting>
  <conditionalFormatting sqref="O180:P180 O182:Q182">
    <cfRule type="expression" dxfId="2633" priority="1763">
      <formula>$O$181=TRUE</formula>
    </cfRule>
  </conditionalFormatting>
  <conditionalFormatting sqref="O180:P181">
    <cfRule type="expression" dxfId="2632" priority="1766">
      <formula>$O$182=TRUE</formula>
    </cfRule>
  </conditionalFormatting>
  <conditionalFormatting sqref="O192:P192 O194:Q194">
    <cfRule type="expression" dxfId="2631" priority="1764">
      <formula>$O$193=TRUE</formula>
    </cfRule>
  </conditionalFormatting>
  <conditionalFormatting sqref="O192:P193">
    <cfRule type="expression" dxfId="2630" priority="1774">
      <formula>$O$194=TRUE</formula>
    </cfRule>
  </conditionalFormatting>
  <conditionalFormatting sqref="O204:P204 O206:Q206">
    <cfRule type="expression" dxfId="2629" priority="1765">
      <formula>$O$205=TRUE</formula>
    </cfRule>
  </conditionalFormatting>
  <conditionalFormatting sqref="O204:P205">
    <cfRule type="expression" dxfId="2628" priority="1773">
      <formula>$O$206=TRUE</formula>
    </cfRule>
  </conditionalFormatting>
  <conditionalFormatting sqref="O216:P216 O218:Q218">
    <cfRule type="expression" dxfId="2627" priority="1767">
      <formula>$O$217=TRUE</formula>
    </cfRule>
  </conditionalFormatting>
  <conditionalFormatting sqref="O216:P217">
    <cfRule type="expression" dxfId="2626" priority="1772">
      <formula>$O$218=TRUE</formula>
    </cfRule>
  </conditionalFormatting>
  <conditionalFormatting sqref="O228:P228 O230:Q230">
    <cfRule type="expression" dxfId="2625" priority="1768">
      <formula>$O$229=TRUE</formula>
    </cfRule>
  </conditionalFormatting>
  <conditionalFormatting sqref="O228:P229">
    <cfRule type="expression" dxfId="2624" priority="1771">
      <formula>$O$230=TRUE</formula>
    </cfRule>
  </conditionalFormatting>
  <conditionalFormatting sqref="O240:P240 O242:Q242">
    <cfRule type="expression" dxfId="2623" priority="1769">
      <formula>$O$241=TRUE</formula>
    </cfRule>
  </conditionalFormatting>
  <conditionalFormatting sqref="O240:P241">
    <cfRule type="expression" dxfId="2622" priority="1770">
      <formula>$O$242=TRUE</formula>
    </cfRule>
  </conditionalFormatting>
  <conditionalFormatting sqref="O3:Q3">
    <cfRule type="expression" dxfId="2621" priority="6479">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O13:Q15">
    <cfRule type="expression" dxfId="2620" priority="1810">
      <formula>$O$12=TRUE</formula>
    </cfRule>
  </conditionalFormatting>
  <conditionalFormatting sqref="O22:Q23 O10:Q11 O34:Q35 O46:Q47 O58:Q59 O70:Q71 O82:Q83 O94:Q95 O106:Q107 O118:Q119 O130:Q131 O142:Q143 O154:Q155 O166:Q167 O178:Q179 O190:Q191 O202:Q203 O214:Q215 O238:Q239">
    <cfRule type="expression" dxfId="2619" priority="6375">
      <formula>AND(H14=TRUE,J12=TRUE)</formula>
    </cfRule>
  </conditionalFormatting>
  <conditionalFormatting sqref="O25:Q27">
    <cfRule type="expression" dxfId="2618" priority="1807">
      <formula>$O$24=TRUE</formula>
    </cfRule>
  </conditionalFormatting>
  <conditionalFormatting sqref="O37:Q39">
    <cfRule type="expression" dxfId="2617" priority="1806">
      <formula>$O$36=TRUE</formula>
    </cfRule>
  </conditionalFormatting>
  <conditionalFormatting sqref="O49:Q52">
    <cfRule type="expression" dxfId="2616" priority="1805">
      <formula>$O$48=TRUE</formula>
    </cfRule>
  </conditionalFormatting>
  <conditionalFormatting sqref="O61:Q64">
    <cfRule type="expression" dxfId="2615" priority="1804">
      <formula>$O$60=TRUE</formula>
    </cfRule>
  </conditionalFormatting>
  <conditionalFormatting sqref="O73:Q76">
    <cfRule type="expression" dxfId="2614" priority="1803">
      <formula>$O$72=TRUE</formula>
    </cfRule>
  </conditionalFormatting>
  <conditionalFormatting sqref="O85:Q88">
    <cfRule type="expression" dxfId="2613" priority="1802">
      <formula>$O$84=TRUE</formula>
    </cfRule>
  </conditionalFormatting>
  <conditionalFormatting sqref="O97:Q100">
    <cfRule type="expression" dxfId="2612" priority="1801">
      <formula>$O$96=TRUE</formula>
    </cfRule>
  </conditionalFormatting>
  <conditionalFormatting sqref="O109:Q112">
    <cfRule type="expression" dxfId="2611" priority="1800">
      <formula>$O$108=TRUE</formula>
    </cfRule>
  </conditionalFormatting>
  <conditionalFormatting sqref="O121:Q124">
    <cfRule type="expression" dxfId="2610" priority="1799">
      <formula>$O$120=TRUE</formula>
    </cfRule>
  </conditionalFormatting>
  <conditionalFormatting sqref="O133:Q136">
    <cfRule type="expression" dxfId="2609" priority="1798">
      <formula>$O$132=TRUE</formula>
    </cfRule>
  </conditionalFormatting>
  <conditionalFormatting sqref="O145:Q148">
    <cfRule type="expression" dxfId="2608" priority="1797">
      <formula>$O$144=TRUE</formula>
    </cfRule>
  </conditionalFormatting>
  <conditionalFormatting sqref="O157:Q160">
    <cfRule type="expression" dxfId="2607" priority="1796">
      <formula>$O$156=TRUE</formula>
    </cfRule>
  </conditionalFormatting>
  <conditionalFormatting sqref="O169:Q172">
    <cfRule type="expression" dxfId="2606" priority="1795">
      <formula>$O$168=TRUE</formula>
    </cfRule>
  </conditionalFormatting>
  <conditionalFormatting sqref="O181:Q184">
    <cfRule type="expression" dxfId="2605" priority="1794">
      <formula>$O$180=TRUE</formula>
    </cfRule>
  </conditionalFormatting>
  <conditionalFormatting sqref="O193:Q196">
    <cfRule type="expression" dxfId="2604" priority="1793">
      <formula>$O$192=TRUE</formula>
    </cfRule>
  </conditionalFormatting>
  <conditionalFormatting sqref="O205:Q208">
    <cfRule type="expression" dxfId="2603" priority="1792">
      <formula>$O$204=TRUE</formula>
    </cfRule>
  </conditionalFormatting>
  <conditionalFormatting sqref="O217:Q220">
    <cfRule type="expression" dxfId="2602" priority="1791">
      <formula>$O$216=TRUE</formula>
    </cfRule>
  </conditionalFormatting>
  <conditionalFormatting sqref="O226:Q227">
    <cfRule type="expression" dxfId="2601" priority="4253">
      <formula>AND(H230=TRUE,J228=TRUE)</formula>
    </cfRule>
  </conditionalFormatting>
  <conditionalFormatting sqref="O229:Q232">
    <cfRule type="expression" dxfId="2600" priority="1790">
      <formula>$O$228=TRUE</formula>
    </cfRule>
  </conditionalFormatting>
  <conditionalFormatting sqref="O241:Q244">
    <cfRule type="expression" dxfId="2599" priority="1789">
      <formula>$O$240=TRUE</formula>
    </cfRule>
  </conditionalFormatting>
  <conditionalFormatting sqref="P12 P24 P36 P48 P60 P72 P84 P96 P108 P120 P132 P144 P156 P168 P192 P204 P216 P228 P240 P180">
    <cfRule type="expression" dxfId="2598" priority="4273">
      <formula>AND(H14=TRUE,J12=TRUE)</formula>
    </cfRule>
  </conditionalFormatting>
  <conditionalFormatting sqref="P13 P25 P37 P49 P61 P73 P85 P97 P109 P121 P133 P145 P157 P169 P181 P193 P205 P217 P229 P241">
    <cfRule type="expression" dxfId="2597" priority="4274">
      <formula>AND(H14=TRUE,J12=TRUE)</formula>
    </cfRule>
  </conditionalFormatting>
  <conditionalFormatting sqref="P14 P26 P38 P50 P62 P74 P86 P98 P110 P122 P134 P146 P158 P170 P182 P194 P206 P218 P230 P242">
    <cfRule type="expression" dxfId="2596" priority="4275">
      <formula>AND(H14=TRUE,J12=TRUE)</formula>
    </cfRule>
  </conditionalFormatting>
  <conditionalFormatting sqref="Q14 Q26 Q38 Q50 Q62 Q74 Q86 Q98 Q110 Q122 Q134 Q146 Q158 Q170 Q182 Q194 Q206 Q218 Q230 Q242">
    <cfRule type="expression" dxfId="2595" priority="5899">
      <formula>AND(H14=TRUE,J12=TRUE,O14=TRUE)</formula>
    </cfRule>
  </conditionalFormatting>
  <conditionalFormatting sqref="R3">
    <cfRule type="expression" dxfId="2594" priority="6480">
      <formula>OR((AND(H14,J12)=TRUE),(AND(H26,J24)=TRUE),(AND(H38,J36)=TRUE),(AND(H50,J48)=TRUE),(AND(H62,J60)=TRUE),(AND(H74,J72)=TRUE),(AND(H86,J84)=TRUE),(AND(H98,J96)=TRUE),(AND(H110,J108)=TRUE),(AND(H122,J120)=TRUE),(AND(H134,J132)=TRUE),(AND(H146,J144)=TRUE),(AND(H158,J156)=TRUE),(AND(H170,J168)=TRUE),(AND(H182,J180)=TRUE),(AND(H194,J192)=TRUE),(AND(H206,J70)=TRUE),(AND(H218,J216)=TRUE),(AND(H230,J228)=TRUE),(AND(H242,J240)=TRUE))</formula>
    </cfRule>
  </conditionalFormatting>
  <conditionalFormatting sqref="R10:R11 R82:R83">
    <cfRule type="expression" dxfId="2593" priority="6332">
      <formula>AND(H14=TRUE,J12=TRUE)</formula>
    </cfRule>
  </conditionalFormatting>
  <conditionalFormatting sqref="R13">
    <cfRule type="expression" dxfId="2592" priority="6564">
      <formula>AND(H14=TRUE,J12=TRUE)</formula>
    </cfRule>
  </conditionalFormatting>
  <conditionalFormatting sqref="R22:R23">
    <cfRule type="expression" dxfId="2591" priority="564">
      <formula>AND(H26=TRUE,J24=TRUE)</formula>
    </cfRule>
  </conditionalFormatting>
  <conditionalFormatting sqref="R25">
    <cfRule type="expression" dxfId="2590" priority="566">
      <formula>AND(H26=TRUE,J24=TRUE)</formula>
    </cfRule>
  </conditionalFormatting>
  <conditionalFormatting sqref="R28 R16 R40 R52 R64 R76 R88 R100 R112 R124 R136 R148 R160 R172 R184 R196 R220 R232 R244">
    <cfRule type="expression" dxfId="2589" priority="6314">
      <formula>AND(H14=TRUE,J12=TRUE)</formula>
    </cfRule>
  </conditionalFormatting>
  <conditionalFormatting sqref="R34:R35">
    <cfRule type="expression" dxfId="2588" priority="544">
      <formula>AND(H38=TRUE,J36=TRUE)</formula>
    </cfRule>
  </conditionalFormatting>
  <conditionalFormatting sqref="R37">
    <cfRule type="expression" dxfId="2587" priority="546">
      <formula>AND(H38=TRUE,J36=TRUE)</formula>
    </cfRule>
  </conditionalFormatting>
  <conditionalFormatting sqref="R46:R47">
    <cfRule type="expression" dxfId="2586" priority="525">
      <formula>AND(H50=TRUE,J48=TRUE)</formula>
    </cfRule>
  </conditionalFormatting>
  <conditionalFormatting sqref="R49">
    <cfRule type="expression" dxfId="2585" priority="527">
      <formula>AND(H50=TRUE,J48=TRUE)</formula>
    </cfRule>
  </conditionalFormatting>
  <conditionalFormatting sqref="R58:R59">
    <cfRule type="expression" dxfId="2584" priority="506">
      <formula>AND(H62=TRUE,J60=TRUE)</formula>
    </cfRule>
  </conditionalFormatting>
  <conditionalFormatting sqref="R61">
    <cfRule type="expression" dxfId="2583" priority="508">
      <formula>AND(H62=TRUE,J60=TRUE)</formula>
    </cfRule>
  </conditionalFormatting>
  <conditionalFormatting sqref="R70:R71">
    <cfRule type="expression" dxfId="2582" priority="487">
      <formula>AND(H74=TRUE,J72=TRUE)</formula>
    </cfRule>
  </conditionalFormatting>
  <conditionalFormatting sqref="R73">
    <cfRule type="expression" dxfId="2581" priority="489">
      <formula>AND(H74=TRUE,J72=TRUE)</formula>
    </cfRule>
  </conditionalFormatting>
  <conditionalFormatting sqref="R85">
    <cfRule type="expression" dxfId="2580" priority="470">
      <formula>AND(H86=TRUE,J84=TRUE)</formula>
    </cfRule>
  </conditionalFormatting>
  <conditionalFormatting sqref="R94:R95">
    <cfRule type="expression" dxfId="2579" priority="453">
      <formula>AND(H98=TRUE,J96=TRUE)</formula>
    </cfRule>
  </conditionalFormatting>
  <conditionalFormatting sqref="R97">
    <cfRule type="expression" dxfId="2578" priority="455">
      <formula>AND(H98=TRUE,J96=TRUE)</formula>
    </cfRule>
  </conditionalFormatting>
  <conditionalFormatting sqref="R106:R107">
    <cfRule type="expression" dxfId="2577" priority="434">
      <formula>AND(H110=TRUE,J108=TRUE)</formula>
    </cfRule>
  </conditionalFormatting>
  <conditionalFormatting sqref="R109">
    <cfRule type="expression" dxfId="2576" priority="436">
      <formula>AND(H110=TRUE,J108=TRUE)</formula>
    </cfRule>
  </conditionalFormatting>
  <conditionalFormatting sqref="R118:R119">
    <cfRule type="expression" dxfId="2575" priority="415">
      <formula>AND(H122=TRUE,J120=TRUE)</formula>
    </cfRule>
  </conditionalFormatting>
  <conditionalFormatting sqref="R121">
    <cfRule type="expression" dxfId="2574" priority="417">
      <formula>AND(H122=TRUE,J120=TRUE)</formula>
    </cfRule>
  </conditionalFormatting>
  <conditionalFormatting sqref="R130:R131">
    <cfRule type="expression" dxfId="2573" priority="398">
      <formula>AND(H134=TRUE,J132=TRUE)</formula>
    </cfRule>
  </conditionalFormatting>
  <conditionalFormatting sqref="R133">
    <cfRule type="expression" dxfId="2572" priority="400">
      <formula>AND(H134=TRUE,J132=TRUE)</formula>
    </cfRule>
  </conditionalFormatting>
  <conditionalFormatting sqref="R142:R143">
    <cfRule type="expression" dxfId="2571" priority="377">
      <formula>AND(H146=TRUE,J144=TRUE)</formula>
    </cfRule>
  </conditionalFormatting>
  <conditionalFormatting sqref="R145">
    <cfRule type="expression" dxfId="2570" priority="379">
      <formula>AND(H146=TRUE,J144=TRUE)</formula>
    </cfRule>
  </conditionalFormatting>
  <conditionalFormatting sqref="R154:R155">
    <cfRule type="expression" dxfId="2569" priority="358">
      <formula>AND(H158=TRUE,J156=TRUE)</formula>
    </cfRule>
  </conditionalFormatting>
  <conditionalFormatting sqref="R157">
    <cfRule type="expression" dxfId="2568" priority="360">
      <formula>AND(H158=TRUE,J156=TRUE)</formula>
    </cfRule>
  </conditionalFormatting>
  <conditionalFormatting sqref="R166:R167">
    <cfRule type="expression" dxfId="2567" priority="339">
      <formula>AND(H170=TRUE,J168=TRUE)</formula>
    </cfRule>
  </conditionalFormatting>
  <conditionalFormatting sqref="R169">
    <cfRule type="expression" dxfId="2566" priority="341">
      <formula>AND(H170=TRUE,J168=TRUE)</formula>
    </cfRule>
  </conditionalFormatting>
  <conditionalFormatting sqref="R178:R179">
    <cfRule type="expression" dxfId="2565" priority="320">
      <formula>AND(H182=TRUE,J180=TRUE)</formula>
    </cfRule>
  </conditionalFormatting>
  <conditionalFormatting sqref="R181">
    <cfRule type="expression" dxfId="2564" priority="322">
      <formula>AND(H182=TRUE,J180=TRUE)</formula>
    </cfRule>
  </conditionalFormatting>
  <conditionalFormatting sqref="R190:R191">
    <cfRule type="expression" dxfId="2563" priority="301">
      <formula>AND(H194=TRUE,J192=TRUE)</formula>
    </cfRule>
  </conditionalFormatting>
  <conditionalFormatting sqref="R193">
    <cfRule type="expression" dxfId="2562" priority="303">
      <formula>AND(H194=TRUE,J192=TRUE)</formula>
    </cfRule>
  </conditionalFormatting>
  <conditionalFormatting sqref="R202:R203">
    <cfRule type="expression" dxfId="2561" priority="282">
      <formula>AND(H206=TRUE,J204=TRUE)</formula>
    </cfRule>
  </conditionalFormatting>
  <conditionalFormatting sqref="R205">
    <cfRule type="expression" dxfId="2560" priority="284">
      <formula>AND(H206=TRUE,J204=TRUE)</formula>
    </cfRule>
  </conditionalFormatting>
  <conditionalFormatting sqref="R208">
    <cfRule type="expression" dxfId="2559" priority="278">
      <formula>AND(H206=TRUE,J204=TRUE)</formula>
    </cfRule>
  </conditionalFormatting>
  <conditionalFormatting sqref="R214:R215">
    <cfRule type="expression" dxfId="2558" priority="261">
      <formula>AND(H218=TRUE,J216=TRUE)</formula>
    </cfRule>
  </conditionalFormatting>
  <conditionalFormatting sqref="R217">
    <cfRule type="expression" dxfId="2557" priority="263">
      <formula>AND(H218=TRUE,J216=TRUE)</formula>
    </cfRule>
  </conditionalFormatting>
  <conditionalFormatting sqref="R226:R227">
    <cfRule type="expression" dxfId="2556" priority="242">
      <formula>AND(H230=TRUE,J228=TRUE)</formula>
    </cfRule>
  </conditionalFormatting>
  <conditionalFormatting sqref="R229">
    <cfRule type="expression" dxfId="2555" priority="244">
      <formula>AND(H230=TRUE,J228=TRUE)</formula>
    </cfRule>
  </conditionalFormatting>
  <conditionalFormatting sqref="R238:R239">
    <cfRule type="expression" dxfId="2554" priority="223">
      <formula>AND(H242=TRUE,J240=TRUE)</formula>
    </cfRule>
  </conditionalFormatting>
  <conditionalFormatting sqref="R241">
    <cfRule type="expression" dxfId="2553" priority="225">
      <formula>AND(H242=TRUE,J240=TRUE)</formula>
    </cfRule>
  </conditionalFormatting>
  <conditionalFormatting sqref="R11:T12">
    <cfRule type="expression" dxfId="2552" priority="6563">
      <formula>AND(H14=TRUE,J12=TRUE)</formula>
    </cfRule>
  </conditionalFormatting>
  <conditionalFormatting sqref="R14:T15">
    <cfRule type="expression" dxfId="2551" priority="757">
      <formula>AND(H14=TRUE,J12=TRUE,$R13=TRUE)</formula>
    </cfRule>
  </conditionalFormatting>
  <conditionalFormatting sqref="R17:T18 R41:T42 R53:T54 R65:T66 R77:T78 R89:T90 R101:T102 R113:T114 R125:T126 R137:T138 R149:T150 R161:T162 R173:T174 R185:T186 R197:T198 R209:T210 R221:T222 R233:T234 R245:T246">
    <cfRule type="expression" dxfId="2550" priority="1746">
      <formula>AND($R16=TRUE,$J12=TRUE,H14=TRUE)</formula>
    </cfRule>
  </conditionalFormatting>
  <conditionalFormatting sqref="R23:T24">
    <cfRule type="expression" dxfId="2549" priority="565">
      <formula>AND(H26=TRUE,J24=TRUE)</formula>
    </cfRule>
  </conditionalFormatting>
  <conditionalFormatting sqref="R26:T27">
    <cfRule type="expression" dxfId="2548" priority="551">
      <formula>AND(H26=TRUE,J24=TRUE,$R25=TRUE)</formula>
    </cfRule>
  </conditionalFormatting>
  <conditionalFormatting sqref="R29:T30">
    <cfRule type="expression" dxfId="2547" priority="559">
      <formula>AND($R28=TRUE,$J24=TRUE,H26=TRUE)</formula>
    </cfRule>
  </conditionalFormatting>
  <conditionalFormatting sqref="R35:T36">
    <cfRule type="expression" dxfId="2546" priority="545">
      <formula>AND(H38=TRUE,J36=TRUE)</formula>
    </cfRule>
  </conditionalFormatting>
  <conditionalFormatting sqref="R38:T39">
    <cfRule type="expression" dxfId="2545" priority="532">
      <formula>AND(H38=TRUE,J36=TRUE,$R37=TRUE)</formula>
    </cfRule>
  </conditionalFormatting>
  <conditionalFormatting sqref="R47:T48">
    <cfRule type="expression" dxfId="2544" priority="526">
      <formula>AND(H50=TRUE,J48=TRUE)</formula>
    </cfRule>
  </conditionalFormatting>
  <conditionalFormatting sqref="R50:T51">
    <cfRule type="expression" dxfId="2543" priority="513">
      <formula>AND(H50=TRUE,J48=TRUE,$R49=TRUE)</formula>
    </cfRule>
  </conditionalFormatting>
  <conditionalFormatting sqref="R59:T60">
    <cfRule type="expression" dxfId="2542" priority="507">
      <formula>AND(H62=TRUE,J60=TRUE)</formula>
    </cfRule>
  </conditionalFormatting>
  <conditionalFormatting sqref="R62:T63">
    <cfRule type="expression" dxfId="2541" priority="494">
      <formula>AND(H62=TRUE,J60=TRUE,$R61=TRUE)</formula>
    </cfRule>
  </conditionalFormatting>
  <conditionalFormatting sqref="R71:T72">
    <cfRule type="expression" dxfId="2540" priority="488">
      <formula>AND(H74=TRUE,J72=TRUE)</formula>
    </cfRule>
  </conditionalFormatting>
  <conditionalFormatting sqref="R74:T75">
    <cfRule type="expression" dxfId="2539" priority="475">
      <formula>AND(H74=TRUE,J72=TRUE,$R73=TRUE)</formula>
    </cfRule>
  </conditionalFormatting>
  <conditionalFormatting sqref="R83:T84">
    <cfRule type="expression" dxfId="2538" priority="469">
      <formula>AND(H86=TRUE,J84=TRUE)</formula>
    </cfRule>
  </conditionalFormatting>
  <conditionalFormatting sqref="R86:T87">
    <cfRule type="expression" dxfId="2537" priority="460">
      <formula>AND(H86=TRUE,J84=TRUE,$R85=TRUE)</formula>
    </cfRule>
  </conditionalFormatting>
  <conditionalFormatting sqref="R95:T96">
    <cfRule type="expression" dxfId="2536" priority="454">
      <formula>AND(H98=TRUE,J96=TRUE)</formula>
    </cfRule>
  </conditionalFormatting>
  <conditionalFormatting sqref="R98:T99">
    <cfRule type="expression" dxfId="2535" priority="441">
      <formula>AND(H98=TRUE,J96=TRUE,$R97=TRUE)</formula>
    </cfRule>
  </conditionalFormatting>
  <conditionalFormatting sqref="R107:T108">
    <cfRule type="expression" dxfId="2534" priority="435">
      <formula>AND(H110=TRUE,J108=TRUE)</formula>
    </cfRule>
  </conditionalFormatting>
  <conditionalFormatting sqref="R110:T111">
    <cfRule type="expression" dxfId="2533" priority="422">
      <formula>AND(H110=TRUE,J108=TRUE,$R109=TRUE)</formula>
    </cfRule>
  </conditionalFormatting>
  <conditionalFormatting sqref="R119:T120">
    <cfRule type="expression" dxfId="2532" priority="416">
      <formula>AND(H122=TRUE,J120=TRUE)</formula>
    </cfRule>
  </conditionalFormatting>
  <conditionalFormatting sqref="R122:T123">
    <cfRule type="expression" dxfId="2531" priority="403">
      <formula>AND(H122=TRUE,J120=TRUE,$R121=TRUE)</formula>
    </cfRule>
  </conditionalFormatting>
  <conditionalFormatting sqref="R131:T132">
    <cfRule type="expression" dxfId="2530" priority="399">
      <formula>AND(H134=TRUE,J132=TRUE)</formula>
    </cfRule>
  </conditionalFormatting>
  <conditionalFormatting sqref="R134:T135">
    <cfRule type="expression" dxfId="2529" priority="388">
      <formula>AND(H134=TRUE,J132=TRUE,$R133=TRUE)</formula>
    </cfRule>
  </conditionalFormatting>
  <conditionalFormatting sqref="R143:T144">
    <cfRule type="expression" dxfId="2528" priority="378">
      <formula>AND(H146=TRUE,J144=TRUE)</formula>
    </cfRule>
  </conditionalFormatting>
  <conditionalFormatting sqref="R146:T147">
    <cfRule type="expression" dxfId="2527" priority="365">
      <formula>AND(H146=TRUE,J144=TRUE,$R145=TRUE)</formula>
    </cfRule>
  </conditionalFormatting>
  <conditionalFormatting sqref="R155:T156">
    <cfRule type="expression" dxfId="2526" priority="359">
      <formula>AND(H158=TRUE,J156=TRUE)</formula>
    </cfRule>
  </conditionalFormatting>
  <conditionalFormatting sqref="R158:T159">
    <cfRule type="expression" dxfId="2525" priority="346">
      <formula>AND(H158=TRUE,J156=TRUE,$R157=TRUE)</formula>
    </cfRule>
  </conditionalFormatting>
  <conditionalFormatting sqref="R167:T168">
    <cfRule type="expression" dxfId="2524" priority="340">
      <formula>AND(H170=TRUE,J168=TRUE)</formula>
    </cfRule>
  </conditionalFormatting>
  <conditionalFormatting sqref="R170:T171">
    <cfRule type="expression" dxfId="2523" priority="327">
      <formula>AND(H170=TRUE,J168=TRUE,$R169=TRUE)</formula>
    </cfRule>
  </conditionalFormatting>
  <conditionalFormatting sqref="R179:T180">
    <cfRule type="expression" dxfId="2522" priority="321">
      <formula>AND(H182=TRUE,J180=TRUE)</formula>
    </cfRule>
  </conditionalFormatting>
  <conditionalFormatting sqref="R182:T183">
    <cfRule type="expression" dxfId="2521" priority="308">
      <formula>AND(H182=TRUE,J180=TRUE,$R181=TRUE)</formula>
    </cfRule>
  </conditionalFormatting>
  <conditionalFormatting sqref="R191:T192">
    <cfRule type="expression" dxfId="2520" priority="302">
      <formula>AND(H194=TRUE,J192=TRUE)</formula>
    </cfRule>
  </conditionalFormatting>
  <conditionalFormatting sqref="R194:T195">
    <cfRule type="expression" dxfId="2519" priority="289">
      <formula>AND(H194=TRUE,J192=TRUE,$R193=TRUE)</formula>
    </cfRule>
  </conditionalFormatting>
  <conditionalFormatting sqref="R203:T204">
    <cfRule type="expression" dxfId="2518" priority="283">
      <formula>AND(H206=TRUE,J204=TRUE)</formula>
    </cfRule>
  </conditionalFormatting>
  <conditionalFormatting sqref="R206:T207">
    <cfRule type="expression" dxfId="2517" priority="268">
      <formula>AND(H206=TRUE,J204=TRUE,$R205=TRUE)</formula>
    </cfRule>
  </conditionalFormatting>
  <conditionalFormatting sqref="R215:T216">
    <cfRule type="expression" dxfId="2516" priority="262">
      <formula>AND(H218=TRUE,J216=TRUE)</formula>
    </cfRule>
  </conditionalFormatting>
  <conditionalFormatting sqref="R218:T219">
    <cfRule type="expression" dxfId="2515" priority="249">
      <formula>AND(H218=TRUE,J216=TRUE,$R217=TRUE)</formula>
    </cfRule>
  </conditionalFormatting>
  <conditionalFormatting sqref="R227:T228">
    <cfRule type="expression" dxfId="2514" priority="243">
      <formula>AND(H230=TRUE,J228=TRUE)</formula>
    </cfRule>
  </conditionalFormatting>
  <conditionalFormatting sqref="R230:T231">
    <cfRule type="expression" dxfId="2513" priority="230">
      <formula>AND(H230=TRUE,J228=TRUE,$R229=TRUE)</formula>
    </cfRule>
  </conditionalFormatting>
  <conditionalFormatting sqref="R239:T240">
    <cfRule type="expression" dxfId="2512" priority="224">
      <formula>AND(H242=TRUE,J240=TRUE)</formula>
    </cfRule>
  </conditionalFormatting>
  <conditionalFormatting sqref="R242:T243">
    <cfRule type="expression" dxfId="2511" priority="211">
      <formula>AND(H242=TRUE,J240=TRUE,$R241=TRUE)</formula>
    </cfRule>
  </conditionalFormatting>
  <conditionalFormatting sqref="S13">
    <cfRule type="expression" dxfId="2510" priority="6603">
      <formula>AND(H15=TRUE,J13=TRUE)</formula>
    </cfRule>
    <cfRule type="expression" dxfId="2509" priority="6604">
      <formula>AND(H14=TRUE,J12=TRUE)</formula>
    </cfRule>
  </conditionalFormatting>
  <conditionalFormatting sqref="S25">
    <cfRule type="expression" dxfId="2508" priority="568">
      <formula>AND(H26=TRUE,J24=TRUE)</formula>
    </cfRule>
    <cfRule type="expression" dxfId="2507" priority="567">
      <formula>AND(H27=TRUE,J25=TRUE)</formula>
    </cfRule>
  </conditionalFormatting>
  <conditionalFormatting sqref="S28 S16 S40 S52 S64 S76 S88 S100 S112 S124 S136 S148 S160 S172 S184 S196 S208 S220 S232 S244">
    <cfRule type="expression" dxfId="2506" priority="4396">
      <formula>AND(H17=TRUE,J15=TRUE)</formula>
    </cfRule>
  </conditionalFormatting>
  <conditionalFormatting sqref="S28 S16 S40 S52 S64 S76 S88 S100 S112 S124 S136 S148 S160 S172 S184 S196 S220 S232 S244">
    <cfRule type="expression" dxfId="2505" priority="6311">
      <formula>AND(H14=TRUE,J12=TRUE)</formula>
    </cfRule>
  </conditionalFormatting>
  <conditionalFormatting sqref="S37">
    <cfRule type="expression" dxfId="2504" priority="547">
      <formula>AND(H39=TRUE,J37=TRUE)</formula>
    </cfRule>
    <cfRule type="expression" dxfId="2503" priority="548">
      <formula>AND(H38=TRUE,J36=TRUE)</formula>
    </cfRule>
  </conditionalFormatting>
  <conditionalFormatting sqref="S49">
    <cfRule type="expression" dxfId="2502" priority="528">
      <formula>AND(H51=TRUE,J49=TRUE)</formula>
    </cfRule>
    <cfRule type="expression" dxfId="2501" priority="529">
      <formula>AND(H50=TRUE,J48=TRUE)</formula>
    </cfRule>
  </conditionalFormatting>
  <conditionalFormatting sqref="S61">
    <cfRule type="expression" dxfId="2500" priority="509">
      <formula>AND(H63=TRUE,J61=TRUE)</formula>
    </cfRule>
    <cfRule type="expression" dxfId="2499" priority="510">
      <formula>AND(H62=TRUE,J60=TRUE)</formula>
    </cfRule>
  </conditionalFormatting>
  <conditionalFormatting sqref="S73">
    <cfRule type="expression" dxfId="2498" priority="491">
      <formula>AND(H74=TRUE,J72=TRUE)</formula>
    </cfRule>
    <cfRule type="expression" dxfId="2497" priority="490">
      <formula>AND(H75=TRUE,J73=TRUE)</formula>
    </cfRule>
  </conditionalFormatting>
  <conditionalFormatting sqref="S85">
    <cfRule type="expression" dxfId="2496" priority="472">
      <formula>AND(H86=TRUE,J84=TRUE)</formula>
    </cfRule>
    <cfRule type="expression" dxfId="2495" priority="471">
      <formula>AND(H87=TRUE,J85=TRUE)</formula>
    </cfRule>
  </conditionalFormatting>
  <conditionalFormatting sqref="S97">
    <cfRule type="expression" dxfId="2494" priority="457">
      <formula>AND(H98=TRUE,J96=TRUE)</formula>
    </cfRule>
    <cfRule type="expression" dxfId="2493" priority="456">
      <formula>AND(H99=TRUE,J97=TRUE)</formula>
    </cfRule>
  </conditionalFormatting>
  <conditionalFormatting sqref="S109">
    <cfRule type="expression" dxfId="2492" priority="437">
      <formula>AND(H111=TRUE,J109=TRUE)</formula>
    </cfRule>
    <cfRule type="expression" dxfId="2491" priority="438">
      <formula>AND(H110=TRUE,J108=TRUE)</formula>
    </cfRule>
  </conditionalFormatting>
  <conditionalFormatting sqref="S121">
    <cfRule type="expression" dxfId="2490" priority="419">
      <formula>AND(H122=TRUE,J120=TRUE)</formula>
    </cfRule>
    <cfRule type="expression" dxfId="2489" priority="418">
      <formula>AND(H123=TRUE,J121=TRUE)</formula>
    </cfRule>
  </conditionalFormatting>
  <conditionalFormatting sqref="S133">
    <cfRule type="expression" dxfId="2488" priority="1363">
      <formula>AND(H134=TRUE,J132=TRUE)</formula>
    </cfRule>
    <cfRule type="expression" dxfId="2487" priority="1362">
      <formula>AND(H135=TRUE,J133=TRUE)</formula>
    </cfRule>
  </conditionalFormatting>
  <conditionalFormatting sqref="S145">
    <cfRule type="expression" dxfId="2486" priority="380">
      <formula>AND(H147=TRUE,J145=TRUE)</formula>
    </cfRule>
    <cfRule type="expression" dxfId="2485" priority="381">
      <formula>AND(H146=TRUE,J144=TRUE)</formula>
    </cfRule>
  </conditionalFormatting>
  <conditionalFormatting sqref="S157">
    <cfRule type="expression" dxfId="2484" priority="361">
      <formula>AND(H159=TRUE,J157=TRUE)</formula>
    </cfRule>
    <cfRule type="expression" dxfId="2483" priority="362">
      <formula>AND(H158=TRUE,J156=TRUE)</formula>
    </cfRule>
  </conditionalFormatting>
  <conditionalFormatting sqref="S169">
    <cfRule type="expression" dxfId="2482" priority="342">
      <formula>AND(H171=TRUE,J169=TRUE)</formula>
    </cfRule>
    <cfRule type="expression" dxfId="2481" priority="343">
      <formula>AND(H170=TRUE,J168=TRUE)</formula>
    </cfRule>
  </conditionalFormatting>
  <conditionalFormatting sqref="S181">
    <cfRule type="expression" dxfId="2480" priority="323">
      <formula>AND(H183=TRUE,J181=TRUE)</formula>
    </cfRule>
    <cfRule type="expression" dxfId="2479" priority="324">
      <formula>AND(H182=TRUE,J180=TRUE)</formula>
    </cfRule>
  </conditionalFormatting>
  <conditionalFormatting sqref="S193">
    <cfRule type="expression" dxfId="2478" priority="305">
      <formula>AND(H194=TRUE,J192=TRUE)</formula>
    </cfRule>
    <cfRule type="expression" dxfId="2477" priority="304">
      <formula>AND(H195=TRUE,J193=TRUE)</formula>
    </cfRule>
  </conditionalFormatting>
  <conditionalFormatting sqref="S205">
    <cfRule type="expression" dxfId="2476" priority="286">
      <formula>AND(H206=TRUE,J204=TRUE)</formula>
    </cfRule>
    <cfRule type="expression" dxfId="2475" priority="285">
      <formula>AND(H207=TRUE,J205=TRUE)</formula>
    </cfRule>
  </conditionalFormatting>
  <conditionalFormatting sqref="S208">
    <cfRule type="expression" dxfId="2474" priority="277">
      <formula>AND(H206=TRUE,J204=TRUE)</formula>
    </cfRule>
  </conditionalFormatting>
  <conditionalFormatting sqref="S217">
    <cfRule type="expression" dxfId="2473" priority="265">
      <formula>AND(H218=TRUE,J216=TRUE)</formula>
    </cfRule>
    <cfRule type="expression" dxfId="2472" priority="264">
      <formula>AND(H219=TRUE,J217=TRUE)</formula>
    </cfRule>
  </conditionalFormatting>
  <conditionalFormatting sqref="S229">
    <cfRule type="expression" dxfId="2471" priority="246">
      <formula>AND(H230=TRUE,J228=TRUE)</formula>
    </cfRule>
    <cfRule type="expression" dxfId="2470" priority="245">
      <formula>AND(H231=TRUE,J229=TRUE)</formula>
    </cfRule>
  </conditionalFormatting>
  <conditionalFormatting sqref="S241">
    <cfRule type="expression" dxfId="2469" priority="227">
      <formula>AND(H242=TRUE,J240=TRUE)</formula>
    </cfRule>
    <cfRule type="expression" dxfId="2468" priority="226">
      <formula>AND(H243=TRUE,J241=TRUE)</formula>
    </cfRule>
  </conditionalFormatting>
  <conditionalFormatting sqref="T10 T82">
    <cfRule type="expression" dxfId="2467" priority="1307">
      <formula>AND(H14=TRUE,J12=TRUE)</formula>
    </cfRule>
  </conditionalFormatting>
  <conditionalFormatting sqref="T13">
    <cfRule type="expression" dxfId="2466" priority="1744">
      <formula>AND($R16=TRUE,$J12=TRUE,H14=TRUE)</formula>
    </cfRule>
  </conditionalFormatting>
  <conditionalFormatting sqref="T16">
    <cfRule type="expression" dxfId="2465" priority="949">
      <formula>AND($R$16=TRUE,$J$12=TRUE,$H$14=TRUE)</formula>
    </cfRule>
  </conditionalFormatting>
  <conditionalFormatting sqref="T22">
    <cfRule type="expression" dxfId="2464" priority="556">
      <formula>AND(H26=TRUE,J24=TRUE)</formula>
    </cfRule>
  </conditionalFormatting>
  <conditionalFormatting sqref="T25">
    <cfRule type="expression" dxfId="2463" priority="207">
      <formula>AND($R$25=TRUE,$J$24=TRUE,$H$26=TRUE)</formula>
    </cfRule>
  </conditionalFormatting>
  <conditionalFormatting sqref="T28">
    <cfRule type="expression" dxfId="2462" priority="208">
      <formula>AND($R$28=TRUE,$J$24=TRUE,$H$26=TRUE)</formula>
    </cfRule>
  </conditionalFormatting>
  <conditionalFormatting sqref="T34">
    <cfRule type="expression" dxfId="2461" priority="537">
      <formula>AND(H38=TRUE,J36=TRUE)</formula>
    </cfRule>
  </conditionalFormatting>
  <conditionalFormatting sqref="T37">
    <cfRule type="expression" dxfId="2460" priority="533">
      <formula>AND($R$37=TRUE,$J$36=TRUE,$H$38=TRUE)</formula>
    </cfRule>
  </conditionalFormatting>
  <conditionalFormatting sqref="T40">
    <cfRule type="expression" dxfId="2459" priority="534">
      <formula>AND($R$40=TRUE,$J$36=TRUE,$H$38=TRUE)</formula>
    </cfRule>
  </conditionalFormatting>
  <conditionalFormatting sqref="T46">
    <cfRule type="expression" dxfId="2458" priority="518">
      <formula>AND(H50=TRUE,J48=TRUE)</formula>
    </cfRule>
  </conditionalFormatting>
  <conditionalFormatting sqref="T49">
    <cfRule type="expression" dxfId="2457" priority="136">
      <formula>AND($R$49=TRUE,$J$48=TRUE,$H$50=TRUE)</formula>
    </cfRule>
  </conditionalFormatting>
  <conditionalFormatting sqref="T52">
    <cfRule type="expression" dxfId="2456" priority="515">
      <formula>AND($R$52=TRUE,$J$48=TRUE,$H$50=TRUE)</formula>
    </cfRule>
  </conditionalFormatting>
  <conditionalFormatting sqref="T58">
    <cfRule type="expression" dxfId="2455" priority="499">
      <formula>AND(H62=TRUE,J60=TRUE)</formula>
    </cfRule>
  </conditionalFormatting>
  <conditionalFormatting sqref="T61">
    <cfRule type="expression" dxfId="2454" priority="496">
      <formula>AND($R$61=TRUE,$J$60=TRUE,$H$62=TRUE)</formula>
    </cfRule>
  </conditionalFormatting>
  <conditionalFormatting sqref="T64">
    <cfRule type="expression" dxfId="2453" priority="133">
      <formula>AND($R$64=TRUE,$J$60=TRUE,$H$62=TRUE)</formula>
    </cfRule>
  </conditionalFormatting>
  <conditionalFormatting sqref="T70">
    <cfRule type="expression" dxfId="2452" priority="480">
      <formula>AND(H74=TRUE,J72=TRUE)</formula>
    </cfRule>
  </conditionalFormatting>
  <conditionalFormatting sqref="T73">
    <cfRule type="expression" dxfId="2451" priority="132">
      <formula>AND($R$73=TRUE,$J$72=TRUE,$H$74=TRUE)</formula>
    </cfRule>
  </conditionalFormatting>
  <conditionalFormatting sqref="T76">
    <cfRule type="expression" dxfId="2450" priority="131">
      <formula>AND($R$76=TRUE,$J$72=TRUE,$H$74=TRUE)</formula>
    </cfRule>
  </conditionalFormatting>
  <conditionalFormatting sqref="T85">
    <cfRule type="expression" dxfId="2449" priority="127">
      <formula>AND($R$85=TRUE,$J$84=TRUE,$H$86=TRUE)</formula>
    </cfRule>
  </conditionalFormatting>
  <conditionalFormatting sqref="T88">
    <cfRule type="expression" dxfId="2448" priority="126">
      <formula>AND($R$88=TRUE,$J$84=TRUE,$H$86=TRUE)</formula>
    </cfRule>
  </conditionalFormatting>
  <conditionalFormatting sqref="T94">
    <cfRule type="expression" dxfId="2447" priority="446">
      <formula>AND(H98=TRUE,J96=TRUE)</formula>
    </cfRule>
  </conditionalFormatting>
  <conditionalFormatting sqref="T97">
    <cfRule type="expression" dxfId="2446" priority="125">
      <formula>AND($R$97=TRUE,$J$96=TRUE,$H$98=TRUE)</formula>
    </cfRule>
  </conditionalFormatting>
  <conditionalFormatting sqref="T100">
    <cfRule type="expression" dxfId="2445" priority="124">
      <formula>AND($R$100=TRUE,$J$96=TRUE,$H$98=TRUE)</formula>
    </cfRule>
  </conditionalFormatting>
  <conditionalFormatting sqref="T106">
    <cfRule type="expression" dxfId="2444" priority="427">
      <formula>AND(H110=TRUE,J108=TRUE)</formula>
    </cfRule>
  </conditionalFormatting>
  <conditionalFormatting sqref="T109">
    <cfRule type="expression" dxfId="2443" priority="119">
      <formula>AND($R$109=TRUE,$J$108=TRUE,$H$110=TRUE)</formula>
    </cfRule>
  </conditionalFormatting>
  <conditionalFormatting sqref="T112">
    <cfRule type="expression" dxfId="2442" priority="118">
      <formula>AND($R$112=TRUE,$J$108=TRUE,$H$110=TRUE)</formula>
    </cfRule>
  </conditionalFormatting>
  <conditionalFormatting sqref="T118">
    <cfRule type="expression" dxfId="2441" priority="408">
      <formula>AND(H122=TRUE,J120=TRUE)</formula>
    </cfRule>
  </conditionalFormatting>
  <conditionalFormatting sqref="T121">
    <cfRule type="expression" dxfId="2440" priority="117">
      <formula>AND($R$121=TRUE,$J$120=TRUE,$H$122=TRUE)</formula>
    </cfRule>
  </conditionalFormatting>
  <conditionalFormatting sqref="T124">
    <cfRule type="expression" dxfId="2439" priority="116">
      <formula>AND($R$124=TRUE,$J$120=TRUE,$H$122=TRUE)</formula>
    </cfRule>
  </conditionalFormatting>
  <conditionalFormatting sqref="T130">
    <cfRule type="expression" dxfId="2438" priority="391">
      <formula>AND(H134=TRUE,J132=TRUE)</formula>
    </cfRule>
  </conditionalFormatting>
  <conditionalFormatting sqref="T133">
    <cfRule type="expression" dxfId="2437" priority="384">
      <formula>AND($R$133=TRUE,$J$132=TRUE,$H$134=TRUE)</formula>
    </cfRule>
  </conditionalFormatting>
  <conditionalFormatting sqref="T136">
    <cfRule type="expression" dxfId="2436" priority="183">
      <formula>AND($R$136=TRUE,$J$132=TRUE,$H$134=TRUE)</formula>
    </cfRule>
  </conditionalFormatting>
  <conditionalFormatting sqref="T142">
    <cfRule type="expression" dxfId="2435" priority="370">
      <formula>AND(H146=TRUE,J144=TRUE)</formula>
    </cfRule>
  </conditionalFormatting>
  <conditionalFormatting sqref="T145">
    <cfRule type="expression" dxfId="2434" priority="121">
      <formula>AND($R$145=TRUE,$J$144=TRUE,$H$146=TRUE)</formula>
    </cfRule>
  </conditionalFormatting>
  <conditionalFormatting sqref="T148">
    <cfRule type="expression" dxfId="2433" priority="120">
      <formula>AND($R$148=TRUE,$J$144=TRUE,$H$146=TRUE)</formula>
    </cfRule>
  </conditionalFormatting>
  <conditionalFormatting sqref="T154">
    <cfRule type="expression" dxfId="2432" priority="351">
      <formula>AND(H158=TRUE,J156=TRUE)</formula>
    </cfRule>
  </conditionalFormatting>
  <conditionalFormatting sqref="T157">
    <cfRule type="expression" dxfId="2431" priority="123">
      <formula>AND($R$157=TRUE,$J$156=TRUE,$H$158=TRUE)</formula>
    </cfRule>
  </conditionalFormatting>
  <conditionalFormatting sqref="T160">
    <cfRule type="expression" dxfId="2430" priority="122">
      <formula>AND($R$160=TRUE,$J$156=TRUE,$H$158=TRUE)</formula>
    </cfRule>
  </conditionalFormatting>
  <conditionalFormatting sqref="T166">
    <cfRule type="expression" dxfId="2429" priority="332">
      <formula>AND(H170=TRUE,J168=TRUE)</formula>
    </cfRule>
  </conditionalFormatting>
  <conditionalFormatting sqref="T169">
    <cfRule type="expression" dxfId="2428" priority="129">
      <formula>AND($R$169=TRUE,$J$168=TRUE,$H$170=TRUE)</formula>
    </cfRule>
  </conditionalFormatting>
  <conditionalFormatting sqref="T172">
    <cfRule type="expression" dxfId="2427" priority="128">
      <formula>AND($R$172=TRUE,$J$168=TRUE,$H$170=TRUE)</formula>
    </cfRule>
  </conditionalFormatting>
  <conditionalFormatting sqref="T178">
    <cfRule type="expression" dxfId="2426" priority="313">
      <formula>AND(H182=TRUE,J180=TRUE)</formula>
    </cfRule>
  </conditionalFormatting>
  <conditionalFormatting sqref="T181">
    <cfRule type="expression" dxfId="2425" priority="138">
      <formula>AND($R$181=TRUE,$J$180=TRUE,$H$182=TRUE)</formula>
    </cfRule>
  </conditionalFormatting>
  <conditionalFormatting sqref="T184">
    <cfRule type="expression" dxfId="2424" priority="310">
      <formula>AND($R$184=TRUE,$J$180=TRUE,$H$182=TRUE)</formula>
    </cfRule>
  </conditionalFormatting>
  <conditionalFormatting sqref="T190">
    <cfRule type="expression" dxfId="2423" priority="294">
      <formula>AND(H194=TRUE,J192=TRUE)</formula>
    </cfRule>
  </conditionalFormatting>
  <conditionalFormatting sqref="T193">
    <cfRule type="expression" dxfId="2422" priority="291">
      <formula>AND($R$193=TRUE,$J$192=TRUE,$H$194=TRUE)</formula>
    </cfRule>
  </conditionalFormatting>
  <conditionalFormatting sqref="T196">
    <cfRule type="expression" dxfId="2421" priority="140">
      <formula>AND($R$196=TRUE,$J$192=TRUE,$H$194=TRUE)</formula>
    </cfRule>
  </conditionalFormatting>
  <conditionalFormatting sqref="T202">
    <cfRule type="expression" dxfId="2420" priority="273">
      <formula>AND(H206=TRUE,J204=TRUE)</formula>
    </cfRule>
  </conditionalFormatting>
  <conditionalFormatting sqref="T205">
    <cfRule type="expression" dxfId="2419" priority="269">
      <formula>AND($R$205=TRUE,$J$204=TRUE,$H$206=TRUE)</formula>
    </cfRule>
  </conditionalFormatting>
  <conditionalFormatting sqref="T208">
    <cfRule type="expression" dxfId="2418" priority="270">
      <formula>AND($R$208=TRUE,$J$204=TRUE,$H$206=TRUE)</formula>
    </cfRule>
  </conditionalFormatting>
  <conditionalFormatting sqref="T214">
    <cfRule type="expression" dxfId="2417" priority="254">
      <formula>AND(H218=TRUE,J216=TRUE)</formula>
    </cfRule>
  </conditionalFormatting>
  <conditionalFormatting sqref="T217">
    <cfRule type="expression" dxfId="2416" priority="251">
      <formula>AND($R$217=TRUE,$J$216=TRUE,$H$218=TRUE)</formula>
    </cfRule>
  </conditionalFormatting>
  <conditionalFormatting sqref="T220">
    <cfRule type="expression" dxfId="2415" priority="250">
      <formula>AND($R$220=TRUE,$J$216=TRUE,$H$218=TRUE)</formula>
    </cfRule>
  </conditionalFormatting>
  <conditionalFormatting sqref="T226">
    <cfRule type="expression" dxfId="2414" priority="235">
      <formula>AND(H230=TRUE,J228=TRUE)</formula>
    </cfRule>
  </conditionalFormatting>
  <conditionalFormatting sqref="T229">
    <cfRule type="expression" dxfId="2413" priority="148">
      <formula>AND($R$229=TRUE,$J$228=TRUE,$H$230=TRUE)</formula>
    </cfRule>
  </conditionalFormatting>
  <conditionalFormatting sqref="T232">
    <cfRule type="expression" dxfId="2412" priority="232">
      <formula>AND($R$232=TRUE,$J$228=TRUE,$H$230=TRUE)</formula>
    </cfRule>
  </conditionalFormatting>
  <conditionalFormatting sqref="T238">
    <cfRule type="expression" dxfId="2411" priority="216">
      <formula>AND(H242=TRUE,J240=TRUE)</formula>
    </cfRule>
  </conditionalFormatting>
  <conditionalFormatting sqref="T241">
    <cfRule type="expression" dxfId="2410" priority="213">
      <formula>AND($R$241=TRUE,$J$240=TRUE,$H$242=TRUE)</formula>
    </cfRule>
  </conditionalFormatting>
  <conditionalFormatting sqref="T244">
    <cfRule type="expression" dxfId="2409" priority="212">
      <formula>AND($R$244=TRUE,$J$240=TRUE,$H$242=TRUE)</formula>
    </cfRule>
  </conditionalFormatting>
  <conditionalFormatting sqref="U13">
    <cfRule type="expression" dxfId="2408" priority="6319">
      <formula>AND(H14=TRUE,J13=TRUE)</formula>
    </cfRule>
  </conditionalFormatting>
  <conditionalFormatting sqref="U25">
    <cfRule type="expression" dxfId="2407" priority="561">
      <formula>AND(H26=TRUE,J25=TRUE)</formula>
    </cfRule>
  </conditionalFormatting>
  <conditionalFormatting sqref="U27 U15 U39 U51 U63 U75 U87 U99 U111 U123 U135 U147 U159 U171 U183 U195 U207 U219 U231 U243">
    <cfRule type="expression" dxfId="2406" priority="4493">
      <formula>AND(H14=TRUE,J13=TRUE)</formula>
    </cfRule>
  </conditionalFormatting>
  <conditionalFormatting sqref="U29 U17 U41 U53 U65 U77 U89 U101 U113 U125 U137 U149 U161 U173 U185 U197 U209 U221 U233 U245">
    <cfRule type="expression" dxfId="2405" priority="4494">
      <formula>AND(H14=TRUE,J13=TRUE)</formula>
    </cfRule>
  </conditionalFormatting>
  <conditionalFormatting sqref="U37">
    <cfRule type="expression" dxfId="2404" priority="541">
      <formula>AND(H38=TRUE,J37=TRUE)</formula>
    </cfRule>
  </conditionalFormatting>
  <conditionalFormatting sqref="U49">
    <cfRule type="expression" dxfId="2403" priority="522">
      <formula>AND(H50=TRUE,J49=TRUE)</formula>
    </cfRule>
  </conditionalFormatting>
  <conditionalFormatting sqref="U61">
    <cfRule type="expression" dxfId="2402" priority="503">
      <formula>AND(H62=TRUE,J61=TRUE)</formula>
    </cfRule>
  </conditionalFormatting>
  <conditionalFormatting sqref="U73">
    <cfRule type="expression" dxfId="2401" priority="484">
      <formula>AND(H74=TRUE,J73=TRUE)</formula>
    </cfRule>
  </conditionalFormatting>
  <conditionalFormatting sqref="U85">
    <cfRule type="expression" dxfId="2400" priority="466">
      <formula>AND(H86=TRUE,J85=TRUE)</formula>
    </cfRule>
  </conditionalFormatting>
  <conditionalFormatting sqref="U97">
    <cfRule type="expression" dxfId="2399" priority="450">
      <formula>AND(H98=TRUE,J97=TRUE)</formula>
    </cfRule>
  </conditionalFormatting>
  <conditionalFormatting sqref="U109">
    <cfRule type="expression" dxfId="2398" priority="431">
      <formula>AND(H110=TRUE,J109=TRUE)</formula>
    </cfRule>
  </conditionalFormatting>
  <conditionalFormatting sqref="U121">
    <cfRule type="expression" dxfId="2397" priority="412">
      <formula>AND(H122=TRUE,J121=TRUE)</formula>
    </cfRule>
  </conditionalFormatting>
  <conditionalFormatting sqref="U133">
    <cfRule type="expression" dxfId="2396" priority="395">
      <formula>AND(H134=TRUE,J133=TRUE)</formula>
    </cfRule>
  </conditionalFormatting>
  <conditionalFormatting sqref="U145">
    <cfRule type="expression" dxfId="2395" priority="374">
      <formula>AND(H146=TRUE,J145=TRUE)</formula>
    </cfRule>
  </conditionalFormatting>
  <conditionalFormatting sqref="U157">
    <cfRule type="expression" dxfId="2394" priority="355">
      <formula>AND(H158=TRUE,J157=TRUE)</formula>
    </cfRule>
  </conditionalFormatting>
  <conditionalFormatting sqref="U169">
    <cfRule type="expression" dxfId="2393" priority="336">
      <formula>AND(H170=TRUE,J169=TRUE)</formula>
    </cfRule>
  </conditionalFormatting>
  <conditionalFormatting sqref="U181">
    <cfRule type="expression" dxfId="2392" priority="317">
      <formula>AND(H182=TRUE,J181=TRUE)</formula>
    </cfRule>
  </conditionalFormatting>
  <conditionalFormatting sqref="U193">
    <cfRule type="expression" dxfId="2391" priority="298">
      <formula>AND(H194=TRUE,J193=TRUE)</formula>
    </cfRule>
  </conditionalFormatting>
  <conditionalFormatting sqref="U205">
    <cfRule type="expression" dxfId="2390" priority="279">
      <formula>AND(H206=TRUE,J205=TRUE)</formula>
    </cfRule>
  </conditionalFormatting>
  <conditionalFormatting sqref="U217">
    <cfRule type="expression" dxfId="2389" priority="258">
      <formula>AND(H218=TRUE,J217=TRUE)</formula>
    </cfRule>
  </conditionalFormatting>
  <conditionalFormatting sqref="U229">
    <cfRule type="expression" dxfId="2388" priority="239">
      <formula>AND(H230=TRUE,J229=TRUE)</formula>
    </cfRule>
  </conditionalFormatting>
  <conditionalFormatting sqref="U241">
    <cfRule type="expression" dxfId="2387" priority="220">
      <formula>AND(H242=TRUE,J241=TRUE)</formula>
    </cfRule>
  </conditionalFormatting>
  <conditionalFormatting sqref="U3:V3">
    <cfRule type="expression" dxfId="2386" priority="6495">
      <formula>OR((AND(H14,J13)=TRUE),(AND(H26,J25)=TRUE),(AND(H38,J37)=TRUE),(AND(H50,J49)=TRUE),(AND(H62,J61)=TRUE),(AND(H74,J73)=TRUE),(AND(H86,J85)=TRUE),(AND(H98,J97)=TRUE),(AND(H110,J109)=TRUE),(AND(H122,J121)=TRUE),(AND(H134,J133)=TRUE),(AND(H146,J145)=TRUE),(AND(H158,J157)=TRUE),(AND(H170,J169)=TRUE),(AND(H182,J181)=TRUE),(AND(H194,J193)=TRUE),(AND(H206,J72)=TRUE),(AND(H218,J217)=TRUE),(AND(H230,J229)=TRUE),(AND(H242,J241)=TRUE))</formula>
    </cfRule>
  </conditionalFormatting>
  <conditionalFormatting sqref="U10:V10">
    <cfRule type="expression" dxfId="2385" priority="993">
      <formula>AND(J13=TRUE,H14=TRUE)</formula>
    </cfRule>
  </conditionalFormatting>
  <conditionalFormatting sqref="U12:V12">
    <cfRule type="expression" dxfId="2384" priority="2053">
      <formula>AND($J13=TRUE,H14=TRUE)</formula>
    </cfRule>
  </conditionalFormatting>
  <conditionalFormatting sqref="U16:V16">
    <cfRule type="expression" dxfId="2383" priority="1334">
      <formula>AND(U15=TRUE,J13=TRUE,H14=TRUE)</formula>
    </cfRule>
  </conditionalFormatting>
  <conditionalFormatting sqref="U18:V18">
    <cfRule type="expression" dxfId="2382" priority="1333">
      <formula>AND(U17=TRUE,J13=TRUE,H14=TRUE)</formula>
    </cfRule>
  </conditionalFormatting>
  <conditionalFormatting sqref="U22:V22">
    <cfRule type="expression" dxfId="2381" priority="554">
      <formula>AND(J25=TRUE,H26=TRUE)</formula>
    </cfRule>
  </conditionalFormatting>
  <conditionalFormatting sqref="U24:V24">
    <cfRule type="expression" dxfId="2380" priority="560">
      <formula>AND($J25=TRUE,H26=TRUE)</formula>
    </cfRule>
  </conditionalFormatting>
  <conditionalFormatting sqref="U28:V28">
    <cfRule type="expression" dxfId="2379" priority="558">
      <formula>AND(U27=TRUE,J25=TRUE,H26=TRUE)</formula>
    </cfRule>
  </conditionalFormatting>
  <conditionalFormatting sqref="U30:V30">
    <cfRule type="expression" dxfId="2378" priority="557">
      <formula>AND(U29=TRUE,J25=TRUE,H26=TRUE)</formula>
    </cfRule>
  </conditionalFormatting>
  <conditionalFormatting sqref="U34:V34">
    <cfRule type="expression" dxfId="2377" priority="535">
      <formula>AND(J37=TRUE,H38=TRUE)</formula>
    </cfRule>
  </conditionalFormatting>
  <conditionalFormatting sqref="U36:V36">
    <cfRule type="expression" dxfId="2376" priority="540">
      <formula>AND($J37=TRUE,H38=TRUE)</formula>
    </cfRule>
  </conditionalFormatting>
  <conditionalFormatting sqref="U40:V40">
    <cfRule type="expression" dxfId="2375" priority="539">
      <formula>AND(U39=TRUE,J37=TRUE,H38=TRUE)</formula>
    </cfRule>
  </conditionalFormatting>
  <conditionalFormatting sqref="U42:V42">
    <cfRule type="expression" dxfId="2374" priority="538">
      <formula>AND(U41=TRUE,J37=TRUE,H38=TRUE)</formula>
    </cfRule>
  </conditionalFormatting>
  <conditionalFormatting sqref="U46:V46">
    <cfRule type="expression" dxfId="2373" priority="516">
      <formula>AND(J49=TRUE,H50=TRUE)</formula>
    </cfRule>
  </conditionalFormatting>
  <conditionalFormatting sqref="U48:V48">
    <cfRule type="expression" dxfId="2372" priority="521">
      <formula>AND($J49=TRUE,H50=TRUE)</formula>
    </cfRule>
  </conditionalFormatting>
  <conditionalFormatting sqref="U52:V52">
    <cfRule type="expression" dxfId="2371" priority="520">
      <formula>AND(U51=TRUE,J49=TRUE,H50=TRUE)</formula>
    </cfRule>
  </conditionalFormatting>
  <conditionalFormatting sqref="U54:V54">
    <cfRule type="expression" dxfId="2370" priority="519">
      <formula>AND(U53=TRUE,J49=TRUE,H50=TRUE)</formula>
    </cfRule>
  </conditionalFormatting>
  <conditionalFormatting sqref="U58:V58">
    <cfRule type="expression" dxfId="2369" priority="497">
      <formula>AND(J61=TRUE,H62=TRUE)</formula>
    </cfRule>
  </conditionalFormatting>
  <conditionalFormatting sqref="U60:V60">
    <cfRule type="expression" dxfId="2368" priority="502">
      <formula>AND($J61=TRUE,H62=TRUE)</formula>
    </cfRule>
  </conditionalFormatting>
  <conditionalFormatting sqref="U64:V64">
    <cfRule type="expression" dxfId="2367" priority="501">
      <formula>AND(U63=TRUE,J61=TRUE,H62=TRUE)</formula>
    </cfRule>
  </conditionalFormatting>
  <conditionalFormatting sqref="U66:V66">
    <cfRule type="expression" dxfId="2366" priority="500">
      <formula>AND(U65=TRUE,J61=TRUE,H62=TRUE)</formula>
    </cfRule>
  </conditionalFormatting>
  <conditionalFormatting sqref="U70:V70">
    <cfRule type="expression" dxfId="2365" priority="478">
      <formula>AND(J73=TRUE,H74=TRUE)</formula>
    </cfRule>
  </conditionalFormatting>
  <conditionalFormatting sqref="U72:V72">
    <cfRule type="expression" dxfId="2364" priority="483">
      <formula>AND($J73=TRUE,H74=TRUE)</formula>
    </cfRule>
  </conditionalFormatting>
  <conditionalFormatting sqref="U76:V76">
    <cfRule type="expression" dxfId="2363" priority="482">
      <formula>AND(U75=TRUE,J73=TRUE,H74=TRUE)</formula>
    </cfRule>
  </conditionalFormatting>
  <conditionalFormatting sqref="U78:V78">
    <cfRule type="expression" dxfId="2362" priority="481">
      <formula>AND(U77=TRUE,J73=TRUE,H74=TRUE)</formula>
    </cfRule>
  </conditionalFormatting>
  <conditionalFormatting sqref="U82:V82">
    <cfRule type="expression" dxfId="2361" priority="461">
      <formula>AND(J85=TRUE,H86=TRUE)</formula>
    </cfRule>
  </conditionalFormatting>
  <conditionalFormatting sqref="U84:V84">
    <cfRule type="expression" dxfId="2360" priority="465">
      <formula>AND($J85=TRUE,H86=TRUE)</formula>
    </cfRule>
  </conditionalFormatting>
  <conditionalFormatting sqref="U88:V88">
    <cfRule type="expression" dxfId="2359" priority="464">
      <formula>AND(U87=TRUE,J85=TRUE,H86=TRUE)</formula>
    </cfRule>
  </conditionalFormatting>
  <conditionalFormatting sqref="U90:V90">
    <cfRule type="expression" dxfId="2358" priority="463">
      <formula>AND(U89=TRUE,J85=TRUE,H86=TRUE)</formula>
    </cfRule>
  </conditionalFormatting>
  <conditionalFormatting sqref="U94:V94">
    <cfRule type="expression" dxfId="2357" priority="444">
      <formula>AND(J97=TRUE,H98=TRUE)</formula>
    </cfRule>
  </conditionalFormatting>
  <conditionalFormatting sqref="U96:V96">
    <cfRule type="expression" dxfId="2356" priority="449">
      <formula>AND($J97=TRUE,H98=TRUE)</formula>
    </cfRule>
  </conditionalFormatting>
  <conditionalFormatting sqref="U100:V100">
    <cfRule type="expression" dxfId="2355" priority="448">
      <formula>AND(U99=TRUE,J97=TRUE,H98=TRUE)</formula>
    </cfRule>
  </conditionalFormatting>
  <conditionalFormatting sqref="U102:V102">
    <cfRule type="expression" dxfId="2354" priority="447">
      <formula>AND(U101=TRUE,J97=TRUE,H98=TRUE)</formula>
    </cfRule>
  </conditionalFormatting>
  <conditionalFormatting sqref="U106:V106">
    <cfRule type="expression" dxfId="2353" priority="425">
      <formula>AND(J109=TRUE,H110=TRUE)</formula>
    </cfRule>
  </conditionalFormatting>
  <conditionalFormatting sqref="U108:V108">
    <cfRule type="expression" dxfId="2352" priority="430">
      <formula>AND($J109=TRUE,H110=TRUE)</formula>
    </cfRule>
  </conditionalFormatting>
  <conditionalFormatting sqref="U112:V112">
    <cfRule type="expression" dxfId="2351" priority="429">
      <formula>AND(U111=TRUE,J109=TRUE,H110=TRUE)</formula>
    </cfRule>
  </conditionalFormatting>
  <conditionalFormatting sqref="U114:V114">
    <cfRule type="expression" dxfId="2350" priority="428">
      <formula>AND(U113=TRUE,J109=TRUE,H110=TRUE)</formula>
    </cfRule>
  </conditionalFormatting>
  <conditionalFormatting sqref="U118:V118">
    <cfRule type="expression" dxfId="2349" priority="406">
      <formula>AND(J121=TRUE,H122=TRUE)</formula>
    </cfRule>
  </conditionalFormatting>
  <conditionalFormatting sqref="U120:V120">
    <cfRule type="expression" dxfId="2348" priority="411">
      <formula>AND($J121=TRUE,H122=TRUE)</formula>
    </cfRule>
  </conditionalFormatting>
  <conditionalFormatting sqref="U124:V124">
    <cfRule type="expression" dxfId="2347" priority="410">
      <formula>AND(U123=TRUE,J121=TRUE,H122=TRUE)</formula>
    </cfRule>
  </conditionalFormatting>
  <conditionalFormatting sqref="U126:V126">
    <cfRule type="expression" dxfId="2346" priority="409">
      <formula>AND(U125=TRUE,J121=TRUE,H122=TRUE)</formula>
    </cfRule>
  </conditionalFormatting>
  <conditionalFormatting sqref="U130:V130">
    <cfRule type="expression" dxfId="2345" priority="389">
      <formula>AND(J133=TRUE,H134=TRUE)</formula>
    </cfRule>
  </conditionalFormatting>
  <conditionalFormatting sqref="U132:V132">
    <cfRule type="expression" dxfId="2344" priority="394">
      <formula>AND($J133=TRUE,H134=TRUE)</formula>
    </cfRule>
  </conditionalFormatting>
  <conditionalFormatting sqref="U136:V136">
    <cfRule type="expression" dxfId="2343" priority="393">
      <formula>AND(U135=TRUE,J133=TRUE,H134=TRUE)</formula>
    </cfRule>
  </conditionalFormatting>
  <conditionalFormatting sqref="U138:V138">
    <cfRule type="expression" dxfId="2342" priority="392">
      <formula>AND(U137=TRUE,J133=TRUE,H134=TRUE)</formula>
    </cfRule>
  </conditionalFormatting>
  <conditionalFormatting sqref="U142:V142">
    <cfRule type="expression" dxfId="2341" priority="368">
      <formula>AND(J145=TRUE,H146=TRUE)</formula>
    </cfRule>
  </conditionalFormatting>
  <conditionalFormatting sqref="U144:V144">
    <cfRule type="expression" dxfId="2340" priority="373">
      <formula>AND($J145=TRUE,H146=TRUE)</formula>
    </cfRule>
  </conditionalFormatting>
  <conditionalFormatting sqref="U148:V148">
    <cfRule type="expression" dxfId="2339" priority="372">
      <formula>AND(U147=TRUE,J145=TRUE,H146=TRUE)</formula>
    </cfRule>
  </conditionalFormatting>
  <conditionalFormatting sqref="U150:V150">
    <cfRule type="expression" dxfId="2338" priority="371">
      <formula>AND(U149=TRUE,J145=TRUE,H146=TRUE)</formula>
    </cfRule>
  </conditionalFormatting>
  <conditionalFormatting sqref="U154:V154">
    <cfRule type="expression" dxfId="2337" priority="349">
      <formula>AND(J157=TRUE,H158=TRUE)</formula>
    </cfRule>
  </conditionalFormatting>
  <conditionalFormatting sqref="U156:V156">
    <cfRule type="expression" dxfId="2336" priority="354">
      <formula>AND($J157=TRUE,H158=TRUE)</formula>
    </cfRule>
  </conditionalFormatting>
  <conditionalFormatting sqref="U160:V160">
    <cfRule type="expression" dxfId="2335" priority="353">
      <formula>AND(U159=TRUE,J157=TRUE,H158=TRUE)</formula>
    </cfRule>
  </conditionalFormatting>
  <conditionalFormatting sqref="U162:V162">
    <cfRule type="expression" dxfId="2334" priority="352">
      <formula>AND(U161=TRUE,J157=TRUE,H158=TRUE)</formula>
    </cfRule>
  </conditionalFormatting>
  <conditionalFormatting sqref="U166:V166">
    <cfRule type="expression" dxfId="2333" priority="330">
      <formula>AND(J169=TRUE,H170=TRUE)</formula>
    </cfRule>
  </conditionalFormatting>
  <conditionalFormatting sqref="U168:V168">
    <cfRule type="expression" dxfId="2332" priority="335">
      <formula>AND($J169=TRUE,H170=TRUE)</formula>
    </cfRule>
  </conditionalFormatting>
  <conditionalFormatting sqref="U172:V172">
    <cfRule type="expression" dxfId="2331" priority="334">
      <formula>AND(U171=TRUE,J169=TRUE,H170=TRUE)</formula>
    </cfRule>
  </conditionalFormatting>
  <conditionalFormatting sqref="U174:V174">
    <cfRule type="expression" dxfId="2330" priority="333">
      <formula>AND(U173=TRUE,J169=TRUE,H170=TRUE)</formula>
    </cfRule>
  </conditionalFormatting>
  <conditionalFormatting sqref="U178:V178">
    <cfRule type="expression" dxfId="2329" priority="311">
      <formula>AND(J181=TRUE,H182=TRUE)</formula>
    </cfRule>
  </conditionalFormatting>
  <conditionalFormatting sqref="U180:V180">
    <cfRule type="expression" dxfId="2328" priority="316">
      <formula>AND($J181=TRUE,H182=TRUE)</formula>
    </cfRule>
  </conditionalFormatting>
  <conditionalFormatting sqref="U184:V184">
    <cfRule type="expression" dxfId="2327" priority="315">
      <formula>AND(U183=TRUE,J181=TRUE,H182=TRUE)</formula>
    </cfRule>
  </conditionalFormatting>
  <conditionalFormatting sqref="U186:V186">
    <cfRule type="expression" dxfId="2326" priority="314">
      <formula>AND(U185=TRUE,J181=TRUE,H182=TRUE)</formula>
    </cfRule>
  </conditionalFormatting>
  <conditionalFormatting sqref="U190:V190">
    <cfRule type="expression" dxfId="2325" priority="292">
      <formula>AND(J193=TRUE,H194=TRUE)</formula>
    </cfRule>
  </conditionalFormatting>
  <conditionalFormatting sqref="U192:V192">
    <cfRule type="expression" dxfId="2324" priority="297">
      <formula>AND($J193=TRUE,H194=TRUE)</formula>
    </cfRule>
  </conditionalFormatting>
  <conditionalFormatting sqref="U196:V196">
    <cfRule type="expression" dxfId="2323" priority="296">
      <formula>AND(U195=TRUE,J193=TRUE,H194=TRUE)</formula>
    </cfRule>
  </conditionalFormatting>
  <conditionalFormatting sqref="U198:V198">
    <cfRule type="expression" dxfId="2322" priority="295">
      <formula>AND(U197=TRUE,J193=TRUE,H194=TRUE)</formula>
    </cfRule>
  </conditionalFormatting>
  <conditionalFormatting sqref="U202:V202">
    <cfRule type="expression" dxfId="2321" priority="271">
      <formula>AND(J205=TRUE,H206=TRUE)</formula>
    </cfRule>
  </conditionalFormatting>
  <conditionalFormatting sqref="U204:V204">
    <cfRule type="expression" dxfId="2320" priority="276">
      <formula>AND($J205=TRUE,H206=TRUE)</formula>
    </cfRule>
  </conditionalFormatting>
  <conditionalFormatting sqref="U208:V208">
    <cfRule type="expression" dxfId="2319" priority="275">
      <formula>AND(U207=TRUE,J205=TRUE,H206=TRUE)</formula>
    </cfRule>
  </conditionalFormatting>
  <conditionalFormatting sqref="U210:V210">
    <cfRule type="expression" dxfId="2318" priority="274">
      <formula>AND(U209=TRUE,J205=TRUE,H206=TRUE)</formula>
    </cfRule>
  </conditionalFormatting>
  <conditionalFormatting sqref="U214:V214">
    <cfRule type="expression" dxfId="2317" priority="252">
      <formula>AND(J217=TRUE,H218=TRUE)</formula>
    </cfRule>
  </conditionalFormatting>
  <conditionalFormatting sqref="U216:V216">
    <cfRule type="expression" dxfId="2316" priority="257">
      <formula>AND($J217=TRUE,H218=TRUE)</formula>
    </cfRule>
  </conditionalFormatting>
  <conditionalFormatting sqref="U220:V220">
    <cfRule type="expression" dxfId="2315" priority="256">
      <formula>AND(U219=TRUE,J217=TRUE,H218=TRUE)</formula>
    </cfRule>
  </conditionalFormatting>
  <conditionalFormatting sqref="U222:V222">
    <cfRule type="expression" dxfId="2314" priority="255">
      <formula>AND(U221=TRUE,J217=TRUE,H218=TRUE)</formula>
    </cfRule>
  </conditionalFormatting>
  <conditionalFormatting sqref="U226:V226">
    <cfRule type="expression" dxfId="2313" priority="233">
      <formula>AND(J229=TRUE,H230=TRUE)</formula>
    </cfRule>
  </conditionalFormatting>
  <conditionalFormatting sqref="U228:V228">
    <cfRule type="expression" dxfId="2312" priority="238">
      <formula>AND($J229=TRUE,H230=TRUE)</formula>
    </cfRule>
  </conditionalFormatting>
  <conditionalFormatting sqref="U232:V232">
    <cfRule type="expression" dxfId="2311" priority="237">
      <formula>AND(U231=TRUE,J229=TRUE,H230=TRUE)</formula>
    </cfRule>
  </conditionalFormatting>
  <conditionalFormatting sqref="U234:V234">
    <cfRule type="expression" dxfId="2310" priority="236">
      <formula>AND(U233=TRUE,J229=TRUE,H230=TRUE)</formula>
    </cfRule>
  </conditionalFormatting>
  <conditionalFormatting sqref="U238:V238">
    <cfRule type="expression" dxfId="2309" priority="214">
      <formula>AND(J241=TRUE,H242=TRUE)</formula>
    </cfRule>
  </conditionalFormatting>
  <conditionalFormatting sqref="U240:V240">
    <cfRule type="expression" dxfId="2308" priority="219">
      <formula>AND($J241=TRUE,H242=TRUE)</formula>
    </cfRule>
  </conditionalFormatting>
  <conditionalFormatting sqref="U244:V244">
    <cfRule type="expression" dxfId="2307" priority="218">
      <formula>AND(U243=TRUE,J241=TRUE,H242=TRUE)</formula>
    </cfRule>
  </conditionalFormatting>
  <conditionalFormatting sqref="U246:V246">
    <cfRule type="expression" dxfId="2306" priority="217">
      <formula>AND(U245=TRUE,J241=TRUE,H242=TRUE)</formula>
    </cfRule>
  </conditionalFormatting>
  <conditionalFormatting sqref="U14:W14">
    <cfRule type="expression" dxfId="2305" priority="6325">
      <formula>AND(H14=TRUE,J13=TRUE)</formula>
    </cfRule>
  </conditionalFormatting>
  <conditionalFormatting sqref="U26:W26">
    <cfRule type="expression" dxfId="2304" priority="563">
      <formula>AND(H26=TRUE,J25=TRUE)</formula>
    </cfRule>
  </conditionalFormatting>
  <conditionalFormatting sqref="U38:W38">
    <cfRule type="expression" dxfId="2303" priority="543">
      <formula>AND(H38=TRUE,J37=TRUE)</formula>
    </cfRule>
  </conditionalFormatting>
  <conditionalFormatting sqref="U50:W50">
    <cfRule type="expression" dxfId="2302" priority="524">
      <formula>AND(H50=TRUE,J49=TRUE)</formula>
    </cfRule>
  </conditionalFormatting>
  <conditionalFormatting sqref="U62:W62">
    <cfRule type="expression" dxfId="2301" priority="505">
      <formula>AND(H62=TRUE,J61=TRUE)</formula>
    </cfRule>
  </conditionalFormatting>
  <conditionalFormatting sqref="U74:W74">
    <cfRule type="expression" dxfId="2300" priority="486">
      <formula>AND(H74=TRUE,J73=TRUE)</formula>
    </cfRule>
  </conditionalFormatting>
  <conditionalFormatting sqref="U86:W86">
    <cfRule type="expression" dxfId="2299" priority="468">
      <formula>AND(H86=TRUE,J85=TRUE)</formula>
    </cfRule>
  </conditionalFormatting>
  <conditionalFormatting sqref="U98:W98">
    <cfRule type="expression" dxfId="2298" priority="452">
      <formula>AND(H98=TRUE,J97=TRUE)</formula>
    </cfRule>
  </conditionalFormatting>
  <conditionalFormatting sqref="U110:W110">
    <cfRule type="expression" dxfId="2297" priority="433">
      <formula>AND(H110=TRUE,J109=TRUE)</formula>
    </cfRule>
  </conditionalFormatting>
  <conditionalFormatting sqref="U122:W122">
    <cfRule type="expression" dxfId="2296" priority="414">
      <formula>AND(H122=TRUE,J121=TRUE)</formula>
    </cfRule>
  </conditionalFormatting>
  <conditionalFormatting sqref="U134:W134">
    <cfRule type="expression" dxfId="2295" priority="397">
      <formula>AND(H134=TRUE,J133=TRUE)</formula>
    </cfRule>
  </conditionalFormatting>
  <conditionalFormatting sqref="U146:W146">
    <cfRule type="expression" dxfId="2294" priority="376">
      <formula>AND(H146=TRUE,J145=TRUE)</formula>
    </cfRule>
  </conditionalFormatting>
  <conditionalFormatting sqref="U158:W158">
    <cfRule type="expression" dxfId="2293" priority="357">
      <formula>AND(H158=TRUE,J157=TRUE)</formula>
    </cfRule>
  </conditionalFormatting>
  <conditionalFormatting sqref="U170:W170">
    <cfRule type="expression" dxfId="2292" priority="338">
      <formula>AND(H170=TRUE,J169=TRUE)</formula>
    </cfRule>
  </conditionalFormatting>
  <conditionalFormatting sqref="U182:W182">
    <cfRule type="expression" dxfId="2291" priority="319">
      <formula>AND(H182=TRUE,J181=TRUE)</formula>
    </cfRule>
  </conditionalFormatting>
  <conditionalFormatting sqref="U194:W194">
    <cfRule type="expression" dxfId="2290" priority="300">
      <formula>AND(H194=TRUE,J193=TRUE)</formula>
    </cfRule>
  </conditionalFormatting>
  <conditionalFormatting sqref="U206:W206">
    <cfRule type="expression" dxfId="2289" priority="281">
      <formula>AND(H206=TRUE,J205=TRUE)</formula>
    </cfRule>
  </conditionalFormatting>
  <conditionalFormatting sqref="U218:W218">
    <cfRule type="expression" dxfId="2288" priority="260">
      <formula>AND(H218=TRUE,J217=TRUE)</formula>
    </cfRule>
  </conditionalFormatting>
  <conditionalFormatting sqref="U230:W230">
    <cfRule type="expression" dxfId="2287" priority="241">
      <formula>AND(H230=TRUE,J229=TRUE)</formula>
    </cfRule>
  </conditionalFormatting>
  <conditionalFormatting sqref="U242:W242">
    <cfRule type="expression" dxfId="2286" priority="222">
      <formula>AND(H242=TRUE,J241=TRUE)</formula>
    </cfRule>
  </conditionalFormatting>
  <conditionalFormatting sqref="V11">
    <cfRule type="expression" dxfId="2285" priority="994">
      <formula>AND($J13=TRUE,$H14=TRUE)</formula>
    </cfRule>
  </conditionalFormatting>
  <conditionalFormatting sqref="V13">
    <cfRule type="expression" dxfId="2284" priority="6320">
      <formula>AND(H14=TRUE,J13=TRUE)</formula>
    </cfRule>
  </conditionalFormatting>
  <conditionalFormatting sqref="V23">
    <cfRule type="expression" dxfId="2283" priority="555">
      <formula>AND($J25=TRUE,$H26=TRUE)</formula>
    </cfRule>
  </conditionalFormatting>
  <conditionalFormatting sqref="V25">
    <cfRule type="expression" dxfId="2282" priority="562">
      <formula>AND(H26=TRUE,J25=TRUE)</formula>
    </cfRule>
  </conditionalFormatting>
  <conditionalFormatting sqref="V27 V15 V39 V51 V63 V75 V87 V99 V111 V123 V135 V147 V159 V171 V183 V195 V207 V219 V231 V243">
    <cfRule type="expression" dxfId="2281" priority="4634">
      <formula>AND(H14=TRUE,J13=TRUE)</formula>
    </cfRule>
  </conditionalFormatting>
  <conditionalFormatting sqref="V29 V17 V41 V53 V65 V77 V89 V101 V113 V125 V137 V149 V161 V173 V185 V197 V209 V221 V233 V245">
    <cfRule type="expression" dxfId="2280" priority="4635">
      <formula>AND(H14=TRUE,J13=TRUE)</formula>
    </cfRule>
  </conditionalFormatting>
  <conditionalFormatting sqref="V35">
    <cfRule type="expression" dxfId="2279" priority="536">
      <formula>AND($J37=TRUE,$H38=TRUE)</formula>
    </cfRule>
  </conditionalFormatting>
  <conditionalFormatting sqref="V37">
    <cfRule type="expression" dxfId="2278" priority="542">
      <formula>AND(H38=TRUE,J37=TRUE)</formula>
    </cfRule>
  </conditionalFormatting>
  <conditionalFormatting sqref="V47">
    <cfRule type="expression" dxfId="2277" priority="517">
      <formula>AND($J49=TRUE,$H50=TRUE)</formula>
    </cfRule>
  </conditionalFormatting>
  <conditionalFormatting sqref="V49">
    <cfRule type="expression" dxfId="2276" priority="523">
      <formula>AND(H50=TRUE,J49=TRUE)</formula>
    </cfRule>
  </conditionalFormatting>
  <conditionalFormatting sqref="V59">
    <cfRule type="expression" dxfId="2275" priority="498">
      <formula>AND($J61=TRUE,$H62=TRUE)</formula>
    </cfRule>
  </conditionalFormatting>
  <conditionalFormatting sqref="V61">
    <cfRule type="expression" dxfId="2274" priority="504">
      <formula>AND(H62=TRUE,J61=TRUE)</formula>
    </cfRule>
  </conditionalFormatting>
  <conditionalFormatting sqref="V71">
    <cfRule type="expression" dxfId="2273" priority="479">
      <formula>AND($J73=TRUE,$H74=TRUE)</formula>
    </cfRule>
  </conditionalFormatting>
  <conditionalFormatting sqref="V73">
    <cfRule type="expression" dxfId="2272" priority="485">
      <formula>AND(H74=TRUE,J73=TRUE)</formula>
    </cfRule>
  </conditionalFormatting>
  <conditionalFormatting sqref="V83">
    <cfRule type="expression" dxfId="2271" priority="462">
      <formula>AND($J85=TRUE,$H86=TRUE)</formula>
    </cfRule>
  </conditionalFormatting>
  <conditionalFormatting sqref="V85">
    <cfRule type="expression" dxfId="2270" priority="467">
      <formula>AND(H86=TRUE,J85=TRUE)</formula>
    </cfRule>
  </conditionalFormatting>
  <conditionalFormatting sqref="V95">
    <cfRule type="expression" dxfId="2269" priority="445">
      <formula>AND($J97=TRUE,$H98=TRUE)</formula>
    </cfRule>
  </conditionalFormatting>
  <conditionalFormatting sqref="V97">
    <cfRule type="expression" dxfId="2268" priority="451">
      <formula>AND(H98=TRUE,J97=TRUE)</formula>
    </cfRule>
  </conditionalFormatting>
  <conditionalFormatting sqref="V107">
    <cfRule type="expression" dxfId="2267" priority="426">
      <formula>AND($J109=TRUE,$H110=TRUE)</formula>
    </cfRule>
  </conditionalFormatting>
  <conditionalFormatting sqref="V109">
    <cfRule type="expression" dxfId="2266" priority="432">
      <formula>AND(H110=TRUE,J109=TRUE)</formula>
    </cfRule>
  </conditionalFormatting>
  <conditionalFormatting sqref="V119">
    <cfRule type="expression" dxfId="2265" priority="407">
      <formula>AND($J121=TRUE,$H122=TRUE)</formula>
    </cfRule>
  </conditionalFormatting>
  <conditionalFormatting sqref="V121">
    <cfRule type="expression" dxfId="2264" priority="413">
      <formula>AND(H122=TRUE,J121=TRUE)</formula>
    </cfRule>
  </conditionalFormatting>
  <conditionalFormatting sqref="V131">
    <cfRule type="expression" dxfId="2263" priority="390">
      <formula>AND($J133=TRUE,$H134=TRUE)</formula>
    </cfRule>
  </conditionalFormatting>
  <conditionalFormatting sqref="V133">
    <cfRule type="expression" dxfId="2262" priority="396">
      <formula>AND(H134=TRUE,J133=TRUE)</formula>
    </cfRule>
  </conditionalFormatting>
  <conditionalFormatting sqref="V143">
    <cfRule type="expression" dxfId="2261" priority="369">
      <formula>AND($J145=TRUE,$H146=TRUE)</formula>
    </cfRule>
  </conditionalFormatting>
  <conditionalFormatting sqref="V145">
    <cfRule type="expression" dxfId="2260" priority="375">
      <formula>AND(H146=TRUE,J145=TRUE)</formula>
    </cfRule>
  </conditionalFormatting>
  <conditionalFormatting sqref="V155">
    <cfRule type="expression" dxfId="2259" priority="350">
      <formula>AND($J157=TRUE,$H158=TRUE)</formula>
    </cfRule>
  </conditionalFormatting>
  <conditionalFormatting sqref="V157">
    <cfRule type="expression" dxfId="2258" priority="356">
      <formula>AND(H158=TRUE,J157=TRUE)</formula>
    </cfRule>
  </conditionalFormatting>
  <conditionalFormatting sqref="V167">
    <cfRule type="expression" dxfId="2257" priority="331">
      <formula>AND($J169=TRUE,$H170=TRUE)</formula>
    </cfRule>
  </conditionalFormatting>
  <conditionalFormatting sqref="V169">
    <cfRule type="expression" dxfId="2256" priority="337">
      <formula>AND(H170=TRUE,J169=TRUE)</formula>
    </cfRule>
  </conditionalFormatting>
  <conditionalFormatting sqref="V179">
    <cfRule type="expression" dxfId="2255" priority="312">
      <formula>AND($J181=TRUE,$H182=TRUE)</formula>
    </cfRule>
  </conditionalFormatting>
  <conditionalFormatting sqref="V181">
    <cfRule type="expression" dxfId="2254" priority="318">
      <formula>AND(H182=TRUE,J181=TRUE)</formula>
    </cfRule>
  </conditionalFormatting>
  <conditionalFormatting sqref="V191">
    <cfRule type="expression" dxfId="2253" priority="293">
      <formula>AND($J193=TRUE,$H194=TRUE)</formula>
    </cfRule>
  </conditionalFormatting>
  <conditionalFormatting sqref="V193">
    <cfRule type="expression" dxfId="2252" priority="299">
      <formula>AND(H194=TRUE,J193=TRUE)</formula>
    </cfRule>
  </conditionalFormatting>
  <conditionalFormatting sqref="V203">
    <cfRule type="expression" dxfId="2251" priority="272">
      <formula>AND($J205=TRUE,$H206=TRUE)</formula>
    </cfRule>
  </conditionalFormatting>
  <conditionalFormatting sqref="V205">
    <cfRule type="expression" dxfId="2250" priority="280">
      <formula>AND(H206=TRUE,J205=TRUE)</formula>
    </cfRule>
  </conditionalFormatting>
  <conditionalFormatting sqref="V215">
    <cfRule type="expression" dxfId="2249" priority="253">
      <formula>AND($J217=TRUE,$H218=TRUE)</formula>
    </cfRule>
  </conditionalFormatting>
  <conditionalFormatting sqref="V217">
    <cfRule type="expression" dxfId="2248" priority="259">
      <formula>AND(H218=TRUE,J217=TRUE)</formula>
    </cfRule>
  </conditionalFormatting>
  <conditionalFormatting sqref="V227">
    <cfRule type="expression" dxfId="2247" priority="234">
      <formula>AND($J229=TRUE,$H230=TRUE)</formula>
    </cfRule>
  </conditionalFormatting>
  <conditionalFormatting sqref="V229">
    <cfRule type="expression" dxfId="2246" priority="240">
      <formula>AND(H230=TRUE,J229=TRUE)</formula>
    </cfRule>
  </conditionalFormatting>
  <conditionalFormatting sqref="V239">
    <cfRule type="expression" dxfId="2245" priority="215">
      <formula>AND($J241=TRUE,$H242=TRUE)</formula>
    </cfRule>
  </conditionalFormatting>
  <conditionalFormatting sqref="V241">
    <cfRule type="expression" dxfId="2244" priority="221">
      <formula>AND(H242=TRUE,J241=TRUE)</formula>
    </cfRule>
  </conditionalFormatting>
  <conditionalFormatting sqref="X3">
    <cfRule type="expression" dxfId="2243" priority="6496">
      <formula>OR(E13,E25,E37,E49,E61,E73,E85,E97,E109,E121,E133,E145,E157,E169,E181,E193,E205,E217,E229,E241)=TRUE</formula>
    </cfRule>
  </conditionalFormatting>
  <conditionalFormatting sqref="X12">
    <cfRule type="expression" dxfId="2241" priority="3676">
      <formula>E13=TRUE</formula>
    </cfRule>
  </conditionalFormatting>
  <conditionalFormatting sqref="X13">
    <cfRule type="expression" dxfId="2240" priority="3742">
      <formula>E13=TRUE</formula>
    </cfRule>
  </conditionalFormatting>
  <conditionalFormatting sqref="X14">
    <cfRule type="expression" dxfId="2239" priority="3741">
      <formula>E13=TRUE</formula>
    </cfRule>
  </conditionalFormatting>
  <conditionalFormatting sqref="X24">
    <cfRule type="expression" dxfId="2237" priority="3593">
      <formula>E25=TRUE</formula>
    </cfRule>
  </conditionalFormatting>
  <conditionalFormatting sqref="X25">
    <cfRule type="expression" dxfId="2236" priority="3602">
      <formula>E25=TRUE</formula>
    </cfRule>
  </conditionalFormatting>
  <conditionalFormatting sqref="X26">
    <cfRule type="expression" dxfId="2235" priority="3601">
      <formula>E25=TRUE</formula>
    </cfRule>
  </conditionalFormatting>
  <conditionalFormatting sqref="X36">
    <cfRule type="expression" dxfId="2233" priority="3530">
      <formula>E37=TRUE</formula>
    </cfRule>
  </conditionalFormatting>
  <conditionalFormatting sqref="X37">
    <cfRule type="expression" dxfId="2232" priority="3539">
      <formula>E37=TRUE</formula>
    </cfRule>
  </conditionalFormatting>
  <conditionalFormatting sqref="X38">
    <cfRule type="expression" dxfId="2231" priority="3538">
      <formula>E37=TRUE</formula>
    </cfRule>
  </conditionalFormatting>
  <conditionalFormatting sqref="X48">
    <cfRule type="expression" dxfId="2229" priority="3468">
      <formula>E49=TRUE</formula>
    </cfRule>
  </conditionalFormatting>
  <conditionalFormatting sqref="X49">
    <cfRule type="expression" dxfId="2228" priority="3477">
      <formula>E49=TRUE</formula>
    </cfRule>
  </conditionalFormatting>
  <conditionalFormatting sqref="X50">
    <cfRule type="expression" dxfId="2227" priority="3476">
      <formula>E49=TRUE</formula>
    </cfRule>
  </conditionalFormatting>
  <conditionalFormatting sqref="X60">
    <cfRule type="expression" dxfId="2225" priority="3406">
      <formula>E61=TRUE</formula>
    </cfRule>
  </conditionalFormatting>
  <conditionalFormatting sqref="X61">
    <cfRule type="expression" dxfId="2224" priority="3415">
      <formula>E61=TRUE</formula>
    </cfRule>
  </conditionalFormatting>
  <conditionalFormatting sqref="X62">
    <cfRule type="expression" dxfId="2223" priority="3414">
      <formula>E61=TRUE</formula>
    </cfRule>
  </conditionalFormatting>
  <conditionalFormatting sqref="X72">
    <cfRule type="expression" dxfId="2221" priority="3344">
      <formula>E73=TRUE</formula>
    </cfRule>
  </conditionalFormatting>
  <conditionalFormatting sqref="X73">
    <cfRule type="expression" dxfId="2220" priority="3353">
      <formula>E73=TRUE</formula>
    </cfRule>
  </conditionalFormatting>
  <conditionalFormatting sqref="X74">
    <cfRule type="expression" dxfId="2219" priority="3352">
      <formula>E73=TRUE</formula>
    </cfRule>
  </conditionalFormatting>
  <conditionalFormatting sqref="X84">
    <cfRule type="expression" dxfId="2218" priority="3282">
      <formula>E85=TRUE</formula>
    </cfRule>
  </conditionalFormatting>
  <conditionalFormatting sqref="X85">
    <cfRule type="expression" dxfId="2217" priority="3291">
      <formula>E85=TRUE</formula>
    </cfRule>
  </conditionalFormatting>
  <conditionalFormatting sqref="X86">
    <cfRule type="expression" dxfId="2216" priority="3290">
      <formula>E85=TRUE</formula>
    </cfRule>
  </conditionalFormatting>
  <conditionalFormatting sqref="X96">
    <cfRule type="expression" dxfId="2214" priority="3220">
      <formula>E97=TRUE</formula>
    </cfRule>
  </conditionalFormatting>
  <conditionalFormatting sqref="X97">
    <cfRule type="expression" dxfId="2213" priority="3229">
      <formula>E97=TRUE</formula>
    </cfRule>
  </conditionalFormatting>
  <conditionalFormatting sqref="X98">
    <cfRule type="expression" dxfId="2212" priority="3228">
      <formula>E97=TRUE</formula>
    </cfRule>
  </conditionalFormatting>
  <conditionalFormatting sqref="X108">
    <cfRule type="expression" dxfId="2210" priority="3132">
      <formula>E109=TRUE</formula>
    </cfRule>
  </conditionalFormatting>
  <conditionalFormatting sqref="X109">
    <cfRule type="expression" dxfId="2209" priority="3141">
      <formula>E109=TRUE</formula>
    </cfRule>
  </conditionalFormatting>
  <conditionalFormatting sqref="X110">
    <cfRule type="expression" dxfId="2208" priority="3140">
      <formula>E109=TRUE</formula>
    </cfRule>
  </conditionalFormatting>
  <conditionalFormatting sqref="X120">
    <cfRule type="expression" dxfId="2206" priority="3070">
      <formula>E121=TRUE</formula>
    </cfRule>
  </conditionalFormatting>
  <conditionalFormatting sqref="X121">
    <cfRule type="expression" dxfId="2205" priority="3079">
      <formula>E121=TRUE</formula>
    </cfRule>
  </conditionalFormatting>
  <conditionalFormatting sqref="X122">
    <cfRule type="expression" dxfId="2204" priority="3078">
      <formula>E121=TRUE</formula>
    </cfRule>
  </conditionalFormatting>
  <conditionalFormatting sqref="X132">
    <cfRule type="expression" dxfId="2202" priority="3008">
      <formula>E133=TRUE</formula>
    </cfRule>
  </conditionalFormatting>
  <conditionalFormatting sqref="X133">
    <cfRule type="expression" dxfId="2201" priority="3017">
      <formula>E133=TRUE</formula>
    </cfRule>
  </conditionalFormatting>
  <conditionalFormatting sqref="X134">
    <cfRule type="expression" dxfId="2200" priority="3016">
      <formula>E133=TRUE</formula>
    </cfRule>
  </conditionalFormatting>
  <conditionalFormatting sqref="X144">
    <cfRule type="expression" dxfId="2198" priority="2946">
      <formula>E145=TRUE</formula>
    </cfRule>
  </conditionalFormatting>
  <conditionalFormatting sqref="X145">
    <cfRule type="expression" dxfId="2197" priority="2955">
      <formula>E145=TRUE</formula>
    </cfRule>
  </conditionalFormatting>
  <conditionalFormatting sqref="X146">
    <cfRule type="expression" dxfId="2196" priority="2954">
      <formula>E145=TRUE</formula>
    </cfRule>
  </conditionalFormatting>
  <conditionalFormatting sqref="X156">
    <cfRule type="expression" dxfId="2194" priority="2884">
      <formula>E157=TRUE</formula>
    </cfRule>
  </conditionalFormatting>
  <conditionalFormatting sqref="X157">
    <cfRule type="expression" dxfId="2193" priority="2893">
      <formula>E157=TRUE</formula>
    </cfRule>
  </conditionalFormatting>
  <conditionalFormatting sqref="X158">
    <cfRule type="expression" dxfId="2192" priority="2892">
      <formula>E157=TRUE</formula>
    </cfRule>
  </conditionalFormatting>
  <conditionalFormatting sqref="X168">
    <cfRule type="expression" dxfId="2190" priority="2822">
      <formula>E169=TRUE</formula>
    </cfRule>
  </conditionalFormatting>
  <conditionalFormatting sqref="X169">
    <cfRule type="expression" dxfId="2189" priority="2831">
      <formula>E169=TRUE</formula>
    </cfRule>
  </conditionalFormatting>
  <conditionalFormatting sqref="X170">
    <cfRule type="expression" dxfId="2188" priority="2830">
      <formula>E169=TRUE</formula>
    </cfRule>
  </conditionalFormatting>
  <conditionalFormatting sqref="X180">
    <cfRule type="expression" dxfId="2186" priority="2760">
      <formula>E181=TRUE</formula>
    </cfRule>
  </conditionalFormatting>
  <conditionalFormatting sqref="X181">
    <cfRule type="expression" dxfId="2185" priority="2769">
      <formula>E181=TRUE</formula>
    </cfRule>
  </conditionalFormatting>
  <conditionalFormatting sqref="X182">
    <cfRule type="expression" dxfId="2184" priority="2768">
      <formula>E181=TRUE</formula>
    </cfRule>
  </conditionalFormatting>
  <conditionalFormatting sqref="X192">
    <cfRule type="expression" dxfId="2182" priority="2698">
      <formula>E193=TRUE</formula>
    </cfRule>
  </conditionalFormatting>
  <conditionalFormatting sqref="X193">
    <cfRule type="expression" dxfId="2181" priority="2707">
      <formula>E193=TRUE</formula>
    </cfRule>
  </conditionalFormatting>
  <conditionalFormatting sqref="X194">
    <cfRule type="expression" dxfId="2180" priority="2706">
      <formula>E193=TRUE</formula>
    </cfRule>
  </conditionalFormatting>
  <conditionalFormatting sqref="X204">
    <cfRule type="expression" dxfId="2178" priority="2636">
      <formula>E205=TRUE</formula>
    </cfRule>
  </conditionalFormatting>
  <conditionalFormatting sqref="X205">
    <cfRule type="expression" dxfId="2177" priority="2645">
      <formula>E205=TRUE</formula>
    </cfRule>
  </conditionalFormatting>
  <conditionalFormatting sqref="X206">
    <cfRule type="expression" dxfId="2176" priority="2644">
      <formula>E205=TRUE</formula>
    </cfRule>
  </conditionalFormatting>
  <conditionalFormatting sqref="X216">
    <cfRule type="expression" dxfId="2174" priority="2574">
      <formula>E217=TRUE</formula>
    </cfRule>
  </conditionalFormatting>
  <conditionalFormatting sqref="X217">
    <cfRule type="expression" dxfId="2173" priority="2583">
      <formula>E217=TRUE</formula>
    </cfRule>
  </conditionalFormatting>
  <conditionalFormatting sqref="X218">
    <cfRule type="expression" dxfId="2172" priority="2582">
      <formula>E217=TRUE</formula>
    </cfRule>
  </conditionalFormatting>
  <conditionalFormatting sqref="X228">
    <cfRule type="expression" dxfId="2170" priority="2512">
      <formula>E229=TRUE</formula>
    </cfRule>
  </conditionalFormatting>
  <conditionalFormatting sqref="X229">
    <cfRule type="expression" dxfId="2169" priority="2521">
      <formula>E229=TRUE</formula>
    </cfRule>
  </conditionalFormatting>
  <conditionalFormatting sqref="X230">
    <cfRule type="expression" dxfId="2168" priority="2520">
      <formula>E229=TRUE</formula>
    </cfRule>
  </conditionalFormatting>
  <conditionalFormatting sqref="X240">
    <cfRule type="expression" dxfId="2166" priority="2450">
      <formula>E241=TRUE</formula>
    </cfRule>
  </conditionalFormatting>
  <conditionalFormatting sqref="X241">
    <cfRule type="expression" dxfId="2165" priority="2459">
      <formula>E241=TRUE</formula>
    </cfRule>
  </conditionalFormatting>
  <conditionalFormatting sqref="X242">
    <cfRule type="expression" dxfId="2164" priority="2458">
      <formula>E241=TRUE</formula>
    </cfRule>
  </conditionalFormatting>
  <conditionalFormatting sqref="Y10:Y11 Y82:Y83">
    <cfRule type="expression" dxfId="2163" priority="3158">
      <formula>E13=TRUE</formula>
    </cfRule>
  </conditionalFormatting>
  <conditionalFormatting sqref="Y12">
    <cfRule type="expression" dxfId="2162" priority="3746">
      <formula>E13=TRUE</formula>
    </cfRule>
  </conditionalFormatting>
  <conditionalFormatting sqref="Y13">
    <cfRule type="expression" dxfId="2161" priority="3745">
      <formula>E13=TRUE</formula>
    </cfRule>
  </conditionalFormatting>
  <conditionalFormatting sqref="Y14">
    <cfRule type="expression" dxfId="2160" priority="3744">
      <formula>E13=TRUE</formula>
    </cfRule>
  </conditionalFormatting>
  <conditionalFormatting sqref="Y22:Y23">
    <cfRule type="expression" dxfId="2159" priority="3554">
      <formula>E25=TRUE</formula>
    </cfRule>
  </conditionalFormatting>
  <conditionalFormatting sqref="Y24">
    <cfRule type="expression" dxfId="2158" priority="3605">
      <formula>E25=TRUE</formula>
    </cfRule>
  </conditionalFormatting>
  <conditionalFormatting sqref="Y25">
    <cfRule type="expression" dxfId="2157" priority="3604">
      <formula>E25=TRUE</formula>
    </cfRule>
  </conditionalFormatting>
  <conditionalFormatting sqref="Y26">
    <cfRule type="expression" dxfId="2156" priority="3603">
      <formula>E25=TRUE</formula>
    </cfRule>
  </conditionalFormatting>
  <conditionalFormatting sqref="Y34:Y35">
    <cfRule type="expression" dxfId="2155" priority="3157">
      <formula>E37=TRUE</formula>
    </cfRule>
  </conditionalFormatting>
  <conditionalFormatting sqref="Y36">
    <cfRule type="expression" dxfId="2154" priority="3542">
      <formula>E37=TRUE</formula>
    </cfRule>
  </conditionalFormatting>
  <conditionalFormatting sqref="Y37">
    <cfRule type="expression" dxfId="2153" priority="3541">
      <formula>E37=TRUE</formula>
    </cfRule>
  </conditionalFormatting>
  <conditionalFormatting sqref="Y38">
    <cfRule type="expression" dxfId="2152" priority="3540">
      <formula>E37=TRUE</formula>
    </cfRule>
  </conditionalFormatting>
  <conditionalFormatting sqref="Y46:Y47">
    <cfRule type="expression" dxfId="2151" priority="3156">
      <formula>E49=TRUE</formula>
    </cfRule>
  </conditionalFormatting>
  <conditionalFormatting sqref="Y48">
    <cfRule type="expression" dxfId="2150" priority="3480">
      <formula>E49=TRUE</formula>
    </cfRule>
  </conditionalFormatting>
  <conditionalFormatting sqref="Y49">
    <cfRule type="expression" dxfId="2149" priority="3479">
      <formula>E49=TRUE</formula>
    </cfRule>
  </conditionalFormatting>
  <conditionalFormatting sqref="Y50">
    <cfRule type="expression" dxfId="2148" priority="3478">
      <formula>E49=TRUE</formula>
    </cfRule>
  </conditionalFormatting>
  <conditionalFormatting sqref="Y58:Y59">
    <cfRule type="expression" dxfId="2147" priority="3155">
      <formula>E61=TRUE</formula>
    </cfRule>
  </conditionalFormatting>
  <conditionalFormatting sqref="Y60">
    <cfRule type="expression" dxfId="2146" priority="3418">
      <formula>E61=TRUE</formula>
    </cfRule>
  </conditionalFormatting>
  <conditionalFormatting sqref="Y61">
    <cfRule type="expression" dxfId="2145" priority="3417">
      <formula>E61=TRUE</formula>
    </cfRule>
  </conditionalFormatting>
  <conditionalFormatting sqref="Y62">
    <cfRule type="expression" dxfId="2144" priority="3416">
      <formula>E61=TRUE</formula>
    </cfRule>
  </conditionalFormatting>
  <conditionalFormatting sqref="Y70:Y71">
    <cfRule type="expression" dxfId="2143" priority="3154">
      <formula>E73=TRUE</formula>
    </cfRule>
  </conditionalFormatting>
  <conditionalFormatting sqref="Y72">
    <cfRule type="expression" dxfId="2142" priority="3356">
      <formula>E73=TRUE</formula>
    </cfRule>
  </conditionalFormatting>
  <conditionalFormatting sqref="Y73">
    <cfRule type="expression" dxfId="2141" priority="3355">
      <formula>E73=TRUE</formula>
    </cfRule>
  </conditionalFormatting>
  <conditionalFormatting sqref="Y74">
    <cfRule type="expression" dxfId="2140" priority="3354">
      <formula>E73=TRUE</formula>
    </cfRule>
  </conditionalFormatting>
  <conditionalFormatting sqref="Y84">
    <cfRule type="expression" dxfId="2139" priority="3294">
      <formula>E85=TRUE</formula>
    </cfRule>
  </conditionalFormatting>
  <conditionalFormatting sqref="Y85">
    <cfRule type="expression" dxfId="2138" priority="3293">
      <formula>E85=TRUE</formula>
    </cfRule>
  </conditionalFormatting>
  <conditionalFormatting sqref="Y86">
    <cfRule type="expression" dxfId="2137" priority="3292">
      <formula>E85=TRUE</formula>
    </cfRule>
  </conditionalFormatting>
  <conditionalFormatting sqref="Y94:Y95">
    <cfRule type="expression" dxfId="2136" priority="3152">
      <formula>E97=TRUE</formula>
    </cfRule>
  </conditionalFormatting>
  <conditionalFormatting sqref="Y96">
    <cfRule type="expression" dxfId="2135" priority="3232">
      <formula>E97=TRUE</formula>
    </cfRule>
  </conditionalFormatting>
  <conditionalFormatting sqref="Y97">
    <cfRule type="expression" dxfId="2134" priority="3231">
      <formula>E97=TRUE</formula>
    </cfRule>
  </conditionalFormatting>
  <conditionalFormatting sqref="Y98">
    <cfRule type="expression" dxfId="2133" priority="3230">
      <formula>E97=TRUE</formula>
    </cfRule>
  </conditionalFormatting>
  <conditionalFormatting sqref="Y106:Y107">
    <cfRule type="expression" dxfId="2132" priority="3090">
      <formula>E109=TRUE</formula>
    </cfRule>
  </conditionalFormatting>
  <conditionalFormatting sqref="Y108">
    <cfRule type="expression" dxfId="2131" priority="3144">
      <formula>E109=TRUE</formula>
    </cfRule>
  </conditionalFormatting>
  <conditionalFormatting sqref="Y109">
    <cfRule type="expression" dxfId="2130" priority="3143">
      <formula>E109=TRUE</formula>
    </cfRule>
  </conditionalFormatting>
  <conditionalFormatting sqref="Y110">
    <cfRule type="expression" dxfId="2129" priority="3142">
      <formula>E109=TRUE</formula>
    </cfRule>
  </conditionalFormatting>
  <conditionalFormatting sqref="Y118:Y119">
    <cfRule type="expression" dxfId="2128" priority="3028">
      <formula>E121=TRUE</formula>
    </cfRule>
  </conditionalFormatting>
  <conditionalFormatting sqref="Y120">
    <cfRule type="expression" dxfId="2127" priority="3082">
      <formula>E121=TRUE</formula>
    </cfRule>
  </conditionalFormatting>
  <conditionalFormatting sqref="Y121">
    <cfRule type="expression" dxfId="2126" priority="3081">
      <formula>E121=TRUE</formula>
    </cfRule>
  </conditionalFormatting>
  <conditionalFormatting sqref="Y122">
    <cfRule type="expression" dxfId="2125" priority="3080">
      <formula>E121=TRUE</formula>
    </cfRule>
  </conditionalFormatting>
  <conditionalFormatting sqref="Y130:Y131">
    <cfRule type="expression" dxfId="2124" priority="2966">
      <formula>E133=TRUE</formula>
    </cfRule>
  </conditionalFormatting>
  <conditionalFormatting sqref="Y132">
    <cfRule type="expression" dxfId="2123" priority="3020">
      <formula>E133=TRUE</formula>
    </cfRule>
  </conditionalFormatting>
  <conditionalFormatting sqref="Y133">
    <cfRule type="expression" dxfId="2122" priority="3019">
      <formula>E133=TRUE</formula>
    </cfRule>
  </conditionalFormatting>
  <conditionalFormatting sqref="Y134">
    <cfRule type="expression" dxfId="2121" priority="3018">
      <formula>E133=TRUE</formula>
    </cfRule>
  </conditionalFormatting>
  <conditionalFormatting sqref="Y142:Y143">
    <cfRule type="expression" dxfId="2120" priority="2904">
      <formula>E145=TRUE</formula>
    </cfRule>
  </conditionalFormatting>
  <conditionalFormatting sqref="Y144">
    <cfRule type="expression" dxfId="2119" priority="2958">
      <formula>E145=TRUE</formula>
    </cfRule>
  </conditionalFormatting>
  <conditionalFormatting sqref="Y145">
    <cfRule type="expression" dxfId="2118" priority="2957">
      <formula>E145=TRUE</formula>
    </cfRule>
  </conditionalFormatting>
  <conditionalFormatting sqref="Y146">
    <cfRule type="expression" dxfId="2117" priority="2956">
      <formula>E145=TRUE</formula>
    </cfRule>
  </conditionalFormatting>
  <conditionalFormatting sqref="Y154:Y155">
    <cfRule type="expression" dxfId="2116" priority="2842">
      <formula>E157=TRUE</formula>
    </cfRule>
  </conditionalFormatting>
  <conditionalFormatting sqref="Y156">
    <cfRule type="expression" dxfId="2115" priority="2896">
      <formula>E157=TRUE</formula>
    </cfRule>
  </conditionalFormatting>
  <conditionalFormatting sqref="Y157">
    <cfRule type="expression" dxfId="2114" priority="2895">
      <formula>E157=TRUE</formula>
    </cfRule>
  </conditionalFormatting>
  <conditionalFormatting sqref="Y158">
    <cfRule type="expression" dxfId="2113" priority="2894">
      <formula>E157=TRUE</formula>
    </cfRule>
  </conditionalFormatting>
  <conditionalFormatting sqref="Y166:Y167">
    <cfRule type="expression" dxfId="2112" priority="2780">
      <formula>E169=TRUE</formula>
    </cfRule>
  </conditionalFormatting>
  <conditionalFormatting sqref="Y168">
    <cfRule type="expression" dxfId="2111" priority="2834">
      <formula>E169=TRUE</formula>
    </cfRule>
  </conditionalFormatting>
  <conditionalFormatting sqref="Y169">
    <cfRule type="expression" dxfId="2110" priority="2833">
      <formula>E169=TRUE</formula>
    </cfRule>
  </conditionalFormatting>
  <conditionalFormatting sqref="Y170">
    <cfRule type="expression" dxfId="2109" priority="2832">
      <formula>E169=TRUE</formula>
    </cfRule>
  </conditionalFormatting>
  <conditionalFormatting sqref="Y178:Y179">
    <cfRule type="expression" dxfId="2108" priority="2718">
      <formula>E181=TRUE</formula>
    </cfRule>
  </conditionalFormatting>
  <conditionalFormatting sqref="Y180">
    <cfRule type="expression" dxfId="2107" priority="2772">
      <formula>E181=TRUE</formula>
    </cfRule>
  </conditionalFormatting>
  <conditionalFormatting sqref="Y181">
    <cfRule type="expression" dxfId="2106" priority="2771">
      <formula>E181=TRUE</formula>
    </cfRule>
  </conditionalFormatting>
  <conditionalFormatting sqref="Y182">
    <cfRule type="expression" dxfId="2105" priority="2770">
      <formula>E181=TRUE</formula>
    </cfRule>
  </conditionalFormatting>
  <conditionalFormatting sqref="Y190:Y191">
    <cfRule type="expression" dxfId="2104" priority="2656">
      <formula>E193=TRUE</formula>
    </cfRule>
  </conditionalFormatting>
  <conditionalFormatting sqref="Y192">
    <cfRule type="expression" dxfId="2103" priority="2710">
      <formula>E193=TRUE</formula>
    </cfRule>
  </conditionalFormatting>
  <conditionalFormatting sqref="Y193">
    <cfRule type="expression" dxfId="2102" priority="2709">
      <formula>E193=TRUE</formula>
    </cfRule>
  </conditionalFormatting>
  <conditionalFormatting sqref="Y194">
    <cfRule type="expression" dxfId="2101" priority="2708">
      <formula>E193=TRUE</formula>
    </cfRule>
  </conditionalFormatting>
  <conditionalFormatting sqref="Y202:Y203">
    <cfRule type="expression" dxfId="2100" priority="2594">
      <formula>E205=TRUE</formula>
    </cfRule>
  </conditionalFormatting>
  <conditionalFormatting sqref="Y204">
    <cfRule type="expression" dxfId="2099" priority="2648">
      <formula>E205=TRUE</formula>
    </cfRule>
  </conditionalFormatting>
  <conditionalFormatting sqref="Y205">
    <cfRule type="expression" dxfId="2098" priority="2647">
      <formula>E205=TRUE</formula>
    </cfRule>
  </conditionalFormatting>
  <conditionalFormatting sqref="Y206">
    <cfRule type="expression" dxfId="2097" priority="2646">
      <formula>E205=TRUE</formula>
    </cfRule>
  </conditionalFormatting>
  <conditionalFormatting sqref="Y214:Y215">
    <cfRule type="expression" dxfId="2096" priority="2532">
      <formula>E217=TRUE</formula>
    </cfRule>
  </conditionalFormatting>
  <conditionalFormatting sqref="Y216">
    <cfRule type="expression" dxfId="2095" priority="2586">
      <formula>E217=TRUE</formula>
    </cfRule>
  </conditionalFormatting>
  <conditionalFormatting sqref="Y217">
    <cfRule type="expression" dxfId="2094" priority="2585">
      <formula>E217=TRUE</formula>
    </cfRule>
  </conditionalFormatting>
  <conditionalFormatting sqref="Y218">
    <cfRule type="expression" dxfId="2093" priority="2584">
      <formula>E217=TRUE</formula>
    </cfRule>
  </conditionalFormatting>
  <conditionalFormatting sqref="Y226:Y227">
    <cfRule type="expression" dxfId="2092" priority="2470">
      <formula>E229=TRUE</formula>
    </cfRule>
  </conditionalFormatting>
  <conditionalFormatting sqref="Y228">
    <cfRule type="expression" dxfId="2091" priority="2524">
      <formula>E229=TRUE</formula>
    </cfRule>
  </conditionalFormatting>
  <conditionalFormatting sqref="Y229">
    <cfRule type="expression" dxfId="2090" priority="2523">
      <formula>E229=TRUE</formula>
    </cfRule>
  </conditionalFormatting>
  <conditionalFormatting sqref="Y230">
    <cfRule type="expression" dxfId="2089" priority="2522">
      <formula>E229=TRUE</formula>
    </cfRule>
  </conditionalFormatting>
  <conditionalFormatting sqref="Y238:Y239">
    <cfRule type="expression" dxfId="2088" priority="2408">
      <formula>E241=TRUE</formula>
    </cfRule>
  </conditionalFormatting>
  <conditionalFormatting sqref="Y240">
    <cfRule type="expression" dxfId="2087" priority="2462">
      <formula>E241=TRUE</formula>
    </cfRule>
  </conditionalFormatting>
  <conditionalFormatting sqref="Y241">
    <cfRule type="expression" dxfId="2086" priority="2461">
      <formula>E241=TRUE</formula>
    </cfRule>
  </conditionalFormatting>
  <conditionalFormatting sqref="Y242">
    <cfRule type="expression" dxfId="2085" priority="2460">
      <formula>E241=TRUE</formula>
    </cfRule>
  </conditionalFormatting>
  <conditionalFormatting sqref="Z12">
    <cfRule type="expression" dxfId="2084" priority="1397">
      <formula>AND($X12=TRUE,$E13=TRUE)</formula>
    </cfRule>
  </conditionalFormatting>
  <conditionalFormatting sqref="Z13">
    <cfRule type="expression" dxfId="2083" priority="1396">
      <formula>AND($X13=TRUE,$E13=TRUE)</formula>
    </cfRule>
  </conditionalFormatting>
  <conditionalFormatting sqref="Z14:Z15">
    <cfRule type="expression" dxfId="2082" priority="1395">
      <formula>AND($X14=TRUE,$E13=TRUE)</formula>
    </cfRule>
  </conditionalFormatting>
  <conditionalFormatting sqref="Z24">
    <cfRule type="expression" dxfId="2081" priority="1391">
      <formula>AND($X24=TRUE,$E25=TRUE)</formula>
    </cfRule>
  </conditionalFormatting>
  <conditionalFormatting sqref="Z25">
    <cfRule type="expression" dxfId="2080" priority="1390">
      <formula>AND($X25=TRUE,$E25=TRUE)</formula>
    </cfRule>
  </conditionalFormatting>
  <conditionalFormatting sqref="Z26:Z27">
    <cfRule type="expression" dxfId="2079" priority="1389">
      <formula>AND($X26=TRUE,$E25=TRUE)</formula>
    </cfRule>
  </conditionalFormatting>
  <conditionalFormatting sqref="Z36">
    <cfRule type="expression" dxfId="2078" priority="1388">
      <formula>AND($X36=TRUE,$E37=TRUE)</formula>
    </cfRule>
  </conditionalFormatting>
  <conditionalFormatting sqref="Z37">
    <cfRule type="expression" dxfId="2077" priority="1387">
      <formula>AND($X37=TRUE,$E37=TRUE)</formula>
    </cfRule>
  </conditionalFormatting>
  <conditionalFormatting sqref="Z38:Z39">
    <cfRule type="expression" dxfId="2076" priority="1386">
      <formula>AND($X38=TRUE,$E37=TRUE)</formula>
    </cfRule>
  </conditionalFormatting>
  <conditionalFormatting sqref="Z48">
    <cfRule type="expression" dxfId="2075" priority="1385">
      <formula>AND($X48=TRUE,$E49=TRUE)</formula>
    </cfRule>
  </conditionalFormatting>
  <conditionalFormatting sqref="Z49">
    <cfRule type="expression" dxfId="2074" priority="1384">
      <formula>AND($X49=TRUE,$E49=TRUE)</formula>
    </cfRule>
  </conditionalFormatting>
  <conditionalFormatting sqref="Z50:Z51">
    <cfRule type="expression" dxfId="2073" priority="1383">
      <formula>AND($X50=TRUE,$E49=TRUE)</formula>
    </cfRule>
  </conditionalFormatting>
  <conditionalFormatting sqref="Z60">
    <cfRule type="expression" dxfId="2072" priority="1382">
      <formula>AND($X60=TRUE,$E61=TRUE)</formula>
    </cfRule>
  </conditionalFormatting>
  <conditionalFormatting sqref="Z61">
    <cfRule type="expression" dxfId="2071" priority="1381">
      <formula>AND($X61=TRUE,$E61=TRUE)</formula>
    </cfRule>
  </conditionalFormatting>
  <conditionalFormatting sqref="Z62:Z63">
    <cfRule type="expression" dxfId="2070" priority="1380">
      <formula>AND($X62=TRUE,$E61=TRUE)</formula>
    </cfRule>
  </conditionalFormatting>
  <conditionalFormatting sqref="Z72">
    <cfRule type="expression" dxfId="2069" priority="1379">
      <formula>AND($X72=TRUE,$E73=TRUE)</formula>
    </cfRule>
  </conditionalFormatting>
  <conditionalFormatting sqref="Z73">
    <cfRule type="expression" dxfId="2068" priority="1378">
      <formula>AND($X73=TRUE,$E73=TRUE)</formula>
    </cfRule>
  </conditionalFormatting>
  <conditionalFormatting sqref="Z74:Z75">
    <cfRule type="expression" dxfId="2067" priority="1377">
      <formula>AND($X74=TRUE,$E73=TRUE)</formula>
    </cfRule>
  </conditionalFormatting>
  <conditionalFormatting sqref="Z84">
    <cfRule type="expression" dxfId="2066" priority="1376">
      <formula>AND($X84=TRUE,$E85=TRUE)</formula>
    </cfRule>
  </conditionalFormatting>
  <conditionalFormatting sqref="Z85">
    <cfRule type="expression" dxfId="2065" priority="1375">
      <formula>AND($X85=TRUE,$E85=TRUE)</formula>
    </cfRule>
  </conditionalFormatting>
  <conditionalFormatting sqref="Z86:Z87">
    <cfRule type="expression" dxfId="2064" priority="1374">
      <formula>AND($X86=TRUE,$E85=TRUE)</formula>
    </cfRule>
  </conditionalFormatting>
  <conditionalFormatting sqref="Z96">
    <cfRule type="expression" dxfId="2063" priority="1373">
      <formula>AND($X96=TRUE,$E97=TRUE)</formula>
    </cfRule>
  </conditionalFormatting>
  <conditionalFormatting sqref="Z97">
    <cfRule type="expression" dxfId="2062" priority="1372">
      <formula>AND($X97=TRUE,$E97=TRUE)</formula>
    </cfRule>
  </conditionalFormatting>
  <conditionalFormatting sqref="Z98:Z99">
    <cfRule type="expression" dxfId="2061" priority="1371">
      <formula>AND($X98=TRUE,$E97=TRUE)</formula>
    </cfRule>
  </conditionalFormatting>
  <conditionalFormatting sqref="Z108">
    <cfRule type="expression" dxfId="2060" priority="1370">
      <formula>AND($X108=TRUE,$E109=TRUE)</formula>
    </cfRule>
  </conditionalFormatting>
  <conditionalFormatting sqref="Z109">
    <cfRule type="expression" dxfId="2059" priority="1369">
      <formula>AND($X109=TRUE,$E109=TRUE)</formula>
    </cfRule>
  </conditionalFormatting>
  <conditionalFormatting sqref="Z110:Z111">
    <cfRule type="expression" dxfId="2058" priority="1368">
      <formula>AND($X110=TRUE,$E109=TRUE)</formula>
    </cfRule>
  </conditionalFormatting>
  <conditionalFormatting sqref="Z120">
    <cfRule type="expression" dxfId="2057" priority="1367">
      <formula>AND($X120=TRUE,$E121=TRUE)</formula>
    </cfRule>
  </conditionalFormatting>
  <conditionalFormatting sqref="Z121">
    <cfRule type="expression" dxfId="2056" priority="1366">
      <formula>AND($X121=TRUE,$E121=TRUE)</formula>
    </cfRule>
  </conditionalFormatting>
  <conditionalFormatting sqref="Z122:Z123">
    <cfRule type="expression" dxfId="2055" priority="1365">
      <formula>AND($X122=TRUE,$E121=TRUE)</formula>
    </cfRule>
  </conditionalFormatting>
  <conditionalFormatting sqref="Z132">
    <cfRule type="expression" dxfId="2054" priority="1442">
      <formula>AND($X132=TRUE,$E133=TRUE)</formula>
    </cfRule>
  </conditionalFormatting>
  <conditionalFormatting sqref="Z133">
    <cfRule type="expression" dxfId="2053" priority="1413">
      <formula>AND($X133=TRUE,$E133=TRUE)</formula>
    </cfRule>
  </conditionalFormatting>
  <conditionalFormatting sqref="Z134:Z135">
    <cfRule type="expression" dxfId="2052" priority="1364">
      <formula>AND($X134=TRUE,$E133=TRUE)</formula>
    </cfRule>
  </conditionalFormatting>
  <conditionalFormatting sqref="Z144">
    <cfRule type="expression" dxfId="2051" priority="1361">
      <formula>AND($X144=TRUE,$E145=TRUE)</formula>
    </cfRule>
  </conditionalFormatting>
  <conditionalFormatting sqref="Z145">
    <cfRule type="expression" dxfId="2050" priority="1360">
      <formula>AND($X145=TRUE,$E145=TRUE)</formula>
    </cfRule>
  </conditionalFormatting>
  <conditionalFormatting sqref="Z146:Z147">
    <cfRule type="expression" dxfId="2049" priority="1359">
      <formula>AND($X146=TRUE,$E145=TRUE)</formula>
    </cfRule>
  </conditionalFormatting>
  <conditionalFormatting sqref="Z156">
    <cfRule type="expression" dxfId="2048" priority="1358">
      <formula>AND($X156=TRUE,$E157=TRUE)</formula>
    </cfRule>
  </conditionalFormatting>
  <conditionalFormatting sqref="Z157">
    <cfRule type="expression" dxfId="2047" priority="1357">
      <formula>AND($X157=TRUE,$E157=TRUE)</formula>
    </cfRule>
  </conditionalFormatting>
  <conditionalFormatting sqref="Z158:Z159">
    <cfRule type="expression" dxfId="2046" priority="1356">
      <formula>AND($X158=TRUE,$E157=TRUE)</formula>
    </cfRule>
  </conditionalFormatting>
  <conditionalFormatting sqref="Z168">
    <cfRule type="expression" dxfId="2045" priority="1355">
      <formula>AND($X168=TRUE,$E169=TRUE)</formula>
    </cfRule>
  </conditionalFormatting>
  <conditionalFormatting sqref="Z169">
    <cfRule type="expression" dxfId="2044" priority="1354">
      <formula>AND($X169=TRUE,$E169=TRUE)</formula>
    </cfRule>
  </conditionalFormatting>
  <conditionalFormatting sqref="Z170:Z171">
    <cfRule type="expression" dxfId="2043" priority="1353">
      <formula>AND($X170=TRUE,$E169=TRUE)</formula>
    </cfRule>
  </conditionalFormatting>
  <conditionalFormatting sqref="Z180">
    <cfRule type="expression" dxfId="2042" priority="1352">
      <formula>AND($X180=TRUE,$E181=TRUE)</formula>
    </cfRule>
  </conditionalFormatting>
  <conditionalFormatting sqref="Z181">
    <cfRule type="expression" dxfId="2041" priority="1351">
      <formula>AND($X181=TRUE,$E181=TRUE)</formula>
    </cfRule>
  </conditionalFormatting>
  <conditionalFormatting sqref="Z182:Z183">
    <cfRule type="expression" dxfId="2040" priority="1350">
      <formula>AND($X182=TRUE,$E181=TRUE)</formula>
    </cfRule>
  </conditionalFormatting>
  <conditionalFormatting sqref="Z192">
    <cfRule type="expression" dxfId="2039" priority="1349">
      <formula>AND($X192=TRUE,$E193=TRUE)</formula>
    </cfRule>
  </conditionalFormatting>
  <conditionalFormatting sqref="Z193">
    <cfRule type="expression" dxfId="2038" priority="1348">
      <formula>AND($X193=TRUE,$E193=TRUE)</formula>
    </cfRule>
  </conditionalFormatting>
  <conditionalFormatting sqref="Z194:Z195">
    <cfRule type="expression" dxfId="2037" priority="1347">
      <formula>AND($X194=TRUE,$E193=TRUE)</formula>
    </cfRule>
  </conditionalFormatting>
  <conditionalFormatting sqref="Z204">
    <cfRule type="expression" dxfId="2036" priority="1346">
      <formula>AND($X204=TRUE,$E205=TRUE)</formula>
    </cfRule>
  </conditionalFormatting>
  <conditionalFormatting sqref="Z205">
    <cfRule type="expression" dxfId="2035" priority="1345">
      <formula>AND($X205=TRUE,$E205=TRUE)</formula>
    </cfRule>
  </conditionalFormatting>
  <conditionalFormatting sqref="Z206:Z207">
    <cfRule type="expression" dxfId="2034" priority="1344">
      <formula>AND($X206=TRUE,$E205=TRUE)</formula>
    </cfRule>
  </conditionalFormatting>
  <conditionalFormatting sqref="Z216">
    <cfRule type="expression" dxfId="2033" priority="1343">
      <formula>AND($X216=TRUE,$E217=TRUE)</formula>
    </cfRule>
  </conditionalFormatting>
  <conditionalFormatting sqref="Z217">
    <cfRule type="expression" dxfId="2032" priority="1342">
      <formula>AND($X217=TRUE,$E217=TRUE)</formula>
    </cfRule>
  </conditionalFormatting>
  <conditionalFormatting sqref="Z218:Z219">
    <cfRule type="expression" dxfId="2031" priority="1341">
      <formula>AND($X218=TRUE,$E217=TRUE)</formula>
    </cfRule>
  </conditionalFormatting>
  <conditionalFormatting sqref="Z228">
    <cfRule type="expression" dxfId="2030" priority="1340">
      <formula>AND($X228=TRUE,$E229=TRUE)</formula>
    </cfRule>
  </conditionalFormatting>
  <conditionalFormatting sqref="Z229">
    <cfRule type="expression" dxfId="2029" priority="1339">
      <formula>AND($X229=TRUE,$E229=TRUE)</formula>
    </cfRule>
  </conditionalFormatting>
  <conditionalFormatting sqref="Z230:Z231">
    <cfRule type="expression" dxfId="2028" priority="1338">
      <formula>AND($X230=TRUE,$E229=TRUE)</formula>
    </cfRule>
  </conditionalFormatting>
  <conditionalFormatting sqref="Z240">
    <cfRule type="expression" dxfId="2027" priority="1337">
      <formula>AND($X240=TRUE,$E241=TRUE)</formula>
    </cfRule>
  </conditionalFormatting>
  <conditionalFormatting sqref="Z241">
    <cfRule type="expression" dxfId="2026" priority="1336">
      <formula>AND($X241=TRUE,$E241=TRUE)</formula>
    </cfRule>
  </conditionalFormatting>
  <conditionalFormatting sqref="Z242:Z243">
    <cfRule type="expression" dxfId="2025" priority="1335">
      <formula>AND($X242=TRUE,$E241=TRUE)</formula>
    </cfRule>
  </conditionalFormatting>
  <conditionalFormatting sqref="AC25:AD25 AC13:AD13 AC37:AD37 AC49:AD49 AC61:AD61 AC73:AD73 AC85:AD85 AC97:AD97 AC109:AD109 AC121:AD121 AC133:AD133 AC145:AD145 AC157:AD157 AC169:AD169 AC181:AD181 AC193:AD193 AC205:AD205 AC217:AD217 AC229:AD229 AC241:AD241">
    <cfRule type="expression" dxfId="1942" priority="5424">
      <formula>AND(#REF!=TRUE,Q13=TRUE)</formula>
    </cfRule>
  </conditionalFormatting>
  <conditionalFormatting sqref="AD22 AD10">
    <cfRule type="expression" dxfId="1904" priority="7060">
      <formula>AB12=TRUE</formula>
    </cfRule>
  </conditionalFormatting>
  <conditionalFormatting sqref="AD23:AE24">
    <cfRule type="expression" dxfId="1903" priority="3607">
      <formula>AA24=TRUE</formula>
    </cfRule>
  </conditionalFormatting>
  <conditionalFormatting sqref="AE11:AE12">
    <cfRule type="expression" dxfId="1902" priority="77">
      <formula>AB12=TRUE</formula>
    </cfRule>
  </conditionalFormatting>
  <conditionalFormatting sqref="AE35:AE36">
    <cfRule type="expression" dxfId="1899" priority="113">
      <formula>AB36=TRUE</formula>
    </cfRule>
  </conditionalFormatting>
  <conditionalFormatting sqref="AE47:AE48">
    <cfRule type="expression" dxfId="1897" priority="111">
      <formula>AB48=TRUE</formula>
    </cfRule>
  </conditionalFormatting>
  <conditionalFormatting sqref="AE59:AE60">
    <cfRule type="expression" dxfId="1895" priority="109">
      <formula>AB60=TRUE</formula>
    </cfRule>
  </conditionalFormatting>
  <conditionalFormatting sqref="AE71:AE72">
    <cfRule type="expression" dxfId="1893" priority="107">
      <formula>AB72=TRUE</formula>
    </cfRule>
  </conditionalFormatting>
  <conditionalFormatting sqref="AE83:AE84">
    <cfRule type="expression" dxfId="1891" priority="104">
      <formula>AB84=TRUE</formula>
    </cfRule>
  </conditionalFormatting>
  <conditionalFormatting sqref="AE95:AE96">
    <cfRule type="expression" dxfId="1889" priority="103">
      <formula>AB96=TRUE</formula>
    </cfRule>
  </conditionalFormatting>
  <conditionalFormatting sqref="AE107:AE108">
    <cfRule type="expression" dxfId="1887" priority="101">
      <formula>AB108=TRUE</formula>
    </cfRule>
  </conditionalFormatting>
  <conditionalFormatting sqref="AE119:AE120">
    <cfRule type="expression" dxfId="1885" priority="99">
      <formula>AB120=TRUE</formula>
    </cfRule>
  </conditionalFormatting>
  <conditionalFormatting sqref="AE131:AE132">
    <cfRule type="expression" dxfId="1883" priority="115">
      <formula>AB132=TRUE</formula>
    </cfRule>
  </conditionalFormatting>
  <conditionalFormatting sqref="AE143:AE144">
    <cfRule type="expression" dxfId="1881" priority="96">
      <formula>AB144=TRUE</formula>
    </cfRule>
  </conditionalFormatting>
  <conditionalFormatting sqref="AE155:AE156">
    <cfRule type="expression" dxfId="1879" priority="95">
      <formula>AB156=TRUE</formula>
    </cfRule>
  </conditionalFormatting>
  <conditionalFormatting sqref="AE167:AE168">
    <cfRule type="expression" dxfId="1877" priority="93">
      <formula>AB168=TRUE</formula>
    </cfRule>
  </conditionalFormatting>
  <conditionalFormatting sqref="AE179:AE180">
    <cfRule type="expression" dxfId="1875" priority="91">
      <formula>AB180=TRUE</formula>
    </cfRule>
  </conditionalFormatting>
  <conditionalFormatting sqref="AE191:AE192">
    <cfRule type="expression" dxfId="1873" priority="89">
      <formula>AB192=TRUE</formula>
    </cfRule>
  </conditionalFormatting>
  <conditionalFormatting sqref="AE203:AE204">
    <cfRule type="expression" dxfId="1871" priority="87">
      <formula>AB204=TRUE</formula>
    </cfRule>
  </conditionalFormatting>
  <conditionalFormatting sqref="AE215:AE216">
    <cfRule type="expression" dxfId="1869" priority="85">
      <formula>AB216=TRUE</formula>
    </cfRule>
  </conditionalFormatting>
  <conditionalFormatting sqref="AE227:AE228">
    <cfRule type="expression" dxfId="1867" priority="83">
      <formula>AB228=TRUE</formula>
    </cfRule>
  </conditionalFormatting>
  <conditionalFormatting sqref="AE239:AE240">
    <cfRule type="expression" dxfId="1865" priority="81">
      <formula>AB240=TRUE</formula>
    </cfRule>
  </conditionalFormatting>
  <conditionalFormatting sqref="AE34:AF35">
    <cfRule type="expression" dxfId="1861" priority="112">
      <formula>AB36=TRUE</formula>
    </cfRule>
  </conditionalFormatting>
  <conditionalFormatting sqref="AE46:AF47">
    <cfRule type="expression" dxfId="1859" priority="110">
      <formula>AB48=TRUE</formula>
    </cfRule>
  </conditionalFormatting>
  <conditionalFormatting sqref="AE58:AF59">
    <cfRule type="expression" dxfId="1857" priority="108">
      <formula>AB60=TRUE</formula>
    </cfRule>
  </conditionalFormatting>
  <conditionalFormatting sqref="AE70:AF71">
    <cfRule type="expression" dxfId="1855" priority="106">
      <formula>AB72=TRUE</formula>
    </cfRule>
  </conditionalFormatting>
  <conditionalFormatting sqref="AE82:AF83">
    <cfRule type="expression" dxfId="1853" priority="78">
      <formula>AB84=TRUE</formula>
    </cfRule>
  </conditionalFormatting>
  <conditionalFormatting sqref="AE94:AF95">
    <cfRule type="expression" dxfId="1851" priority="102">
      <formula>AB96=TRUE</formula>
    </cfRule>
  </conditionalFormatting>
  <conditionalFormatting sqref="AE106:AF107">
    <cfRule type="expression" dxfId="1849" priority="100">
      <formula>AB108=TRUE</formula>
    </cfRule>
  </conditionalFormatting>
  <conditionalFormatting sqref="AE118:AF119">
    <cfRule type="expression" dxfId="1847" priority="98">
      <formula>AB120=TRUE</formula>
    </cfRule>
  </conditionalFormatting>
  <conditionalFormatting sqref="AE130:AF131">
    <cfRule type="expression" dxfId="1845" priority="114">
      <formula>AB132=TRUE</formula>
    </cfRule>
  </conditionalFormatting>
  <conditionalFormatting sqref="AE142:AF143">
    <cfRule type="expression" dxfId="1843" priority="79">
      <formula>AB144=TRUE</formula>
    </cfRule>
  </conditionalFormatting>
  <conditionalFormatting sqref="AE154:AF155">
    <cfRule type="expression" dxfId="1841" priority="94">
      <formula>AB156=TRUE</formula>
    </cfRule>
  </conditionalFormatting>
  <conditionalFormatting sqref="AE166:AF167">
    <cfRule type="expression" dxfId="1839" priority="92">
      <formula>AB168=TRUE</formula>
    </cfRule>
  </conditionalFormatting>
  <conditionalFormatting sqref="AE178:AF179">
    <cfRule type="expression" dxfId="1837" priority="90">
      <formula>AB180=TRUE</formula>
    </cfRule>
  </conditionalFormatting>
  <conditionalFormatting sqref="AE190:AF191">
    <cfRule type="expression" dxfId="1835" priority="88">
      <formula>AB192=TRUE</formula>
    </cfRule>
  </conditionalFormatting>
  <conditionalFormatting sqref="AE202:AF203">
    <cfRule type="expression" dxfId="1833" priority="86">
      <formula>AB204=TRUE</formula>
    </cfRule>
  </conditionalFormatting>
  <conditionalFormatting sqref="AE214:AF215">
    <cfRule type="expression" dxfId="1831" priority="84">
      <formula>AB216=TRUE</formula>
    </cfRule>
  </conditionalFormatting>
  <conditionalFormatting sqref="AE226:AF227">
    <cfRule type="expression" dxfId="1829" priority="82">
      <formula>AB228=TRUE</formula>
    </cfRule>
  </conditionalFormatting>
  <conditionalFormatting sqref="AE238:AF239">
    <cfRule type="expression" dxfId="1827" priority="80">
      <formula>AB240=TRUE</formula>
    </cfRule>
  </conditionalFormatting>
  <conditionalFormatting sqref="AF12">
    <cfRule type="expression" dxfId="1825" priority="3749">
      <formula>AC12=TRUE</formula>
    </cfRule>
  </conditionalFormatting>
  <conditionalFormatting sqref="AF22 AE23:AF23 AE11 AF10:AF11">
    <cfRule type="expression" dxfId="1823" priority="3168">
      <formula>AB12=TRUE</formula>
    </cfRule>
  </conditionalFormatting>
  <conditionalFormatting sqref="AF36">
    <cfRule type="expression" dxfId="1820" priority="3544">
      <formula>AC36=TRUE</formula>
    </cfRule>
  </conditionalFormatting>
  <conditionalFormatting sqref="AF48">
    <cfRule type="expression" dxfId="1819" priority="3482">
      <formula>AC48=TRUE</formula>
    </cfRule>
  </conditionalFormatting>
  <conditionalFormatting sqref="AF60">
    <cfRule type="expression" dxfId="1817" priority="3420">
      <formula>AC60=TRUE</formula>
    </cfRule>
  </conditionalFormatting>
  <conditionalFormatting sqref="AF72">
    <cfRule type="expression" dxfId="1814" priority="3358">
      <formula>AC72=TRUE</formula>
    </cfRule>
  </conditionalFormatting>
  <conditionalFormatting sqref="AF84">
    <cfRule type="expression" dxfId="1812" priority="3296">
      <formula>AC84=TRUE</formula>
    </cfRule>
  </conditionalFormatting>
  <conditionalFormatting sqref="AF96">
    <cfRule type="expression" dxfId="1810" priority="3234">
      <formula>AC96=TRUE</formula>
    </cfRule>
  </conditionalFormatting>
  <conditionalFormatting sqref="AF108">
    <cfRule type="expression" dxfId="1808" priority="3146">
      <formula>AC108=TRUE</formula>
    </cfRule>
  </conditionalFormatting>
  <conditionalFormatting sqref="AF120">
    <cfRule type="expression" dxfId="1807" priority="3084">
      <formula>AC120=TRUE</formula>
    </cfRule>
  </conditionalFormatting>
  <conditionalFormatting sqref="AF132">
    <cfRule type="expression" dxfId="1804" priority="3022">
      <formula>AC132=TRUE</formula>
    </cfRule>
  </conditionalFormatting>
  <conditionalFormatting sqref="AF144">
    <cfRule type="expression" dxfId="1802" priority="2960">
      <formula>AC144=TRUE</formula>
    </cfRule>
  </conditionalFormatting>
  <conditionalFormatting sqref="AF156">
    <cfRule type="expression" dxfId="1801" priority="2898">
      <formula>AC156=TRUE</formula>
    </cfRule>
  </conditionalFormatting>
  <conditionalFormatting sqref="AF168">
    <cfRule type="expression" dxfId="1798" priority="2836">
      <formula>AC168=TRUE</formula>
    </cfRule>
  </conditionalFormatting>
  <conditionalFormatting sqref="AF180">
    <cfRule type="expression" dxfId="1796" priority="2774">
      <formula>AC180=TRUE</formula>
    </cfRule>
  </conditionalFormatting>
  <conditionalFormatting sqref="AF192">
    <cfRule type="expression" dxfId="1795" priority="2712">
      <formula>AC192=TRUE</formula>
    </cfRule>
  </conditionalFormatting>
  <conditionalFormatting sqref="AF204">
    <cfRule type="expression" dxfId="1793" priority="2650">
      <formula>AC204=TRUE</formula>
    </cfRule>
  </conditionalFormatting>
  <conditionalFormatting sqref="AF216">
    <cfRule type="expression" dxfId="1791" priority="2588">
      <formula>AC216=TRUE</formula>
    </cfRule>
  </conditionalFormatting>
  <conditionalFormatting sqref="AF228">
    <cfRule type="expression" dxfId="1788" priority="2526">
      <formula>AC228=TRUE</formula>
    </cfRule>
  </conditionalFormatting>
  <conditionalFormatting sqref="AF240">
    <cfRule type="expression" dxfId="1787" priority="2464">
      <formula>AC240=TRUE</formula>
    </cfRule>
  </conditionalFormatting>
  <dataValidations count="4">
    <dataValidation type="list" allowBlank="1" showInputMessage="1" showErrorMessage="1" sqref="G12 G132 G24 G192 G36 G144 G48 G240 G60 G156 G72 G204 G84 G168 G96 G228 G108 G180 G120 G216" xr:uid="{8FD946B3-BE92-4B8B-938A-9D03DE2EE59B}">
      <formula1>Sens</formula1>
    </dataValidation>
    <dataValidation type="list" allowBlank="1" showInputMessage="1" showErrorMessage="1" sqref="G12 G24 G36 G48 G60 G72 G84 G96 G108 G120 G132 G144 G156 G168 G180 G192 G204 G216 G228 G240" xr:uid="{49EE9C96-4C7F-4F54-B9F9-847AEDE54C8C}">
      <formula1>sett</formula1>
    </dataValidation>
    <dataValidation type="list" allowBlank="1" showInputMessage="1" showErrorMessage="1" sqref="U12:V12 U204:V204 U228:V228 U216:V216 U24:V24 U36:V36 U48:V48 U60:V60 U72:V72 U84:V84 U96:V96 U108:V108 U120:V120 U132:V132 U144:V144 U156:V156 U168:V168 U180:V180 U192:V192 U240:V240" xr:uid="{C4065148-BEAE-479D-A6F5-6438C665DB78}">
      <formula1>OutL</formula1>
    </dataValidation>
    <dataValidation type="list" allowBlank="1" showInputMessage="1" showErrorMessage="1" sqref="AC14 AC26 AC38 AC50 AC62 AC74 AC86 AC98 AC110 AC122 AC134 AC146 AC158 AC170 AC182 AC194 AC206 AC218 AC230 AC242" xr:uid="{B79224D4-FF42-4AAE-9909-4F58DBB9619E}">
      <formula1>emaillabel</formula1>
    </dataValidation>
  </dataValidations>
  <hyperlinks>
    <hyperlink ref="J6:K6" r:id="rId1" location="what-happens-to-existing-encryption-when-a-labels-applied" display="What happens to existing encryption when a label's applied" xr:uid="{A4DDE3FD-015F-49CE-B278-B6726A9844A3}"/>
    <hyperlink ref="J5" r:id="rId2" display="https://learn.microsoft.com/en-us/purview/encryption-sensitivity-labels" xr:uid="{15528E42-F15F-4D74-98B1-83E6BFEDD829}"/>
    <hyperlink ref="J5:K5" r:id="rId3" display="Restrict access to content by using sensitivity labels to apply encryption" xr:uid="{85C0FDA2-245D-4460-B6DD-99A04323264F}"/>
    <hyperlink ref="H5:I5" r:id="rId4" location="configure-encryption-settings" display="Configure encryption settings" xr:uid="{695F0979-6D78-4C2C-BE54-E3E105DA483F}"/>
    <hyperlink ref="H6:I6" r:id="rId5" location="how-to-configure-a-label-for-encryption" display="How to configure a label for encryption" xr:uid="{A322670E-0D63-413C-AB41-636634E598BE}"/>
    <hyperlink ref="E5:F5" r:id="rId6" location="create-and-configure-sensitivity-labels" display="Create and configure sensitivity labels" xr:uid="{9971C747-AD49-41F9-A130-4FE4FD3DD19D}"/>
    <hyperlink ref="L5:N5" r:id="rId7" location="assign-permissions-now" display="Assign permissions now" xr:uid="{41AAB1B5-B114-4C43-87E0-67CF4DCCFF70}"/>
    <hyperlink ref="O6:Q6" r:id="rId8" location="rights-management-use-license-for-offline-access" display="Rights Management use license for offline access" xr:uid="{6A2AA057-42E0-48B9-9A37-C432AB0B64CA}"/>
    <hyperlink ref="O5:Q5" r:id="rId9" location="assign-permissions-now" display="Assign permissions now" xr:uid="{6B510F50-5407-4236-B850-38E3F2AAEDB9}"/>
    <hyperlink ref="R5" r:id="rId10" location="usage-rights-and-descriptions" xr:uid="{F3AB1F78-96AE-4B07-90E7-79FF54AFC55E}"/>
    <hyperlink ref="U5:V5" r:id="rId11" location="let-users-assign-permissions" display="Let users assign permissions" xr:uid="{1D9F68B7-CE9E-475A-8645-4783A14E8853}"/>
    <hyperlink ref="X5:Z5" r:id="rId12" location="what-sensitivity-labels-can-do" display="What sensitivity labels can do" xr:uid="{40B46DBE-3D73-4B10-A8F8-2DBC509A0399}"/>
    <hyperlink ref="AB5:AE5" r:id="rId13" display="Automatically apply a sensitivity label to Microsoft 365 data" xr:uid="{C43645CB-ABAA-443E-9B43-322E666F370D}"/>
    <hyperlink ref="AB6:AE6" r:id="rId14" location="how-to-configure-auto-labeling-policies-for-sharepoint-onedrive-and-exchange" display="Service-Side Auto Labeling (Which is used on the Yellow tab of the same name.)" xr:uid="{5657F31B-C2A1-45D1-86D5-E006C3495EFB}"/>
    <hyperlink ref="AB7" r:id="rId15" location="how-automatic-or-recommended-labels-are-applied" xr:uid="{01A6DA84-0E4C-46C6-A65F-A93F05942E3C}"/>
  </hyperlinks>
  <pageMargins left="0.7" right="0.7" top="0.75" bottom="0.75" header="0.3" footer="0.3"/>
  <pageSetup orientation="portrait" horizontalDpi="300" verticalDpi="300" r:id="rId16"/>
  <extLst>
    <ext xmlns:x14="http://schemas.microsoft.com/office/spreadsheetml/2009/9/main" uri="{78C0D931-6437-407d-A8EE-F0AAD7539E65}">
      <x14:conditionalFormattings>
        <x14:conditionalFormatting xmlns:xm="http://schemas.microsoft.com/office/excel/2006/main">
          <x14:cfRule type="expression" priority="2126" id="{18BE2822-ED04-4D2C-867E-2A3BD55D5A25}">
            <xm:f>$C10=INputs!$P$3</xm:f>
            <x14:dxf>
              <font>
                <color theme="2" tint="-0.24994659260841701"/>
              </font>
            </x14:dxf>
          </x14:cfRule>
          <x14:cfRule type="expression" priority="2107" id="{EA8942A0-91F4-4AB6-8237-0A34C747BBDC}">
            <xm:f>$C10=INputs!$P$4</xm:f>
            <x14:dxf>
              <font>
                <color theme="2" tint="-0.24994659260841701"/>
              </font>
            </x14:dxf>
          </x14:cfRule>
          <xm:sqref>C10:C11 C22:C23 C34:C35 C46:C47 C58:C59 C70:C71 C82:C83 C94:C95 C106:C107 C118:C119 C130:C131 C142:C143 C154:C155 C166:C167 C178:C179 C190:C191 C202:C203 C214:C215 C226:C227 C238:C239</xm:sqref>
        </x14:conditionalFormatting>
        <x14:conditionalFormatting xmlns:xm="http://schemas.microsoft.com/office/excel/2006/main">
          <x14:cfRule type="expression" priority="75" id="{3B3CF707-7196-41D9-A606-09E4388B86D4}">
            <xm:f>AND('Sensitivity Labels'!$F$11=FALSE,'Sensitivity Labels'!$F$13=FALSE)</xm:f>
            <x14:dxf>
              <font>
                <color theme="2" tint="-0.499984740745262"/>
              </font>
              <fill>
                <patternFill>
                  <bgColor theme="2" tint="-0.499984740745262"/>
                </patternFill>
              </fill>
              <border>
                <left/>
                <right/>
                <top/>
                <bottom/>
                <vertical/>
                <horizontal/>
              </border>
            </x14:dxf>
          </x14:cfRule>
          <x14:cfRule type="expression" priority="76" id="{9724CA9B-CF42-4DA1-8FC4-BFC3C5F931F7}">
            <xm:f>OR(INputs!$C$3=INputs!$A$3,INputs!$C$3=INputs!$A$4)</xm:f>
            <x14:dxf>
              <font>
                <color theme="2" tint="-0.499984740745262"/>
              </font>
              <fill>
                <patternFill>
                  <bgColor theme="2" tint="-0.499984740745262"/>
                </patternFill>
              </fill>
              <border>
                <left/>
                <right/>
                <top/>
                <bottom/>
                <vertical/>
                <horizontal/>
              </border>
            </x14:dxf>
          </x14:cfRule>
          <xm:sqref>D10:AF18</xm:sqref>
        </x14:conditionalFormatting>
        <x14:conditionalFormatting xmlns:xm="http://schemas.microsoft.com/office/excel/2006/main">
          <x14:cfRule type="expression" priority="151" id="{7ABFC5CC-99B4-471B-B689-FDD7E7C7E733}">
            <xm:f>AND('Sensitivity Labels'!$F$19=FALSE,'Sensitivity Labels'!$F$21=FALSE)</xm:f>
            <x14:dxf>
              <font>
                <color theme="2" tint="-0.499984740745262"/>
              </font>
              <fill>
                <patternFill>
                  <bgColor theme="2" tint="-0.499984740745262"/>
                </patternFill>
              </fill>
              <border>
                <left/>
                <right/>
                <top/>
                <bottom/>
                <vertical/>
                <horizontal/>
              </border>
            </x14:dxf>
          </x14:cfRule>
          <x14:cfRule type="expression" priority="152" id="{CE9CE9C8-EA98-4249-8E96-A67C042445D4}">
            <xm:f>OR(INputs!$C$4=INputs!$A$3,INputs!$C$4=INputs!$A$4)</xm:f>
            <x14:dxf>
              <font>
                <color theme="2" tint="-0.499984740745262"/>
              </font>
              <fill>
                <patternFill>
                  <bgColor theme="2" tint="-0.499984740745262"/>
                </patternFill>
              </fill>
              <border>
                <left/>
                <right/>
                <top/>
                <bottom/>
                <vertical/>
                <horizontal/>
              </border>
            </x14:dxf>
          </x14:cfRule>
          <xm:sqref>D22:AF30</xm:sqref>
        </x14:conditionalFormatting>
        <x14:conditionalFormatting xmlns:xm="http://schemas.microsoft.com/office/excel/2006/main">
          <x14:cfRule type="expression" priority="72" id="{9799F26C-77B8-4A82-9410-D4B468E5EA74}">
            <xm:f>OR(INputs!$C$5=INputs!$A$3,INputs!$C$5=INputs!$A$4)</xm:f>
            <x14:dxf>
              <font>
                <color theme="2" tint="-0.499984740745262"/>
              </font>
              <fill>
                <patternFill>
                  <bgColor theme="2" tint="-0.499984740745262"/>
                </patternFill>
              </fill>
              <border>
                <left/>
                <right/>
                <top/>
                <bottom/>
                <vertical/>
                <horizontal/>
              </border>
            </x14:dxf>
          </x14:cfRule>
          <x14:cfRule type="expression" priority="71" id="{7B4E59C8-79C6-4954-B839-7EF710B3FCC7}">
            <xm:f>AND('Sensitivity Labels'!$F$27=FALSE,'Sensitivity Labels'!$F$29=FALSE)</xm:f>
            <x14:dxf>
              <font>
                <color theme="2" tint="-0.499984740745262"/>
              </font>
              <fill>
                <patternFill>
                  <bgColor theme="2" tint="-0.499984740745262"/>
                </patternFill>
              </fill>
              <border>
                <left/>
                <right/>
                <top/>
                <bottom/>
                <vertical/>
                <horizontal/>
              </border>
            </x14:dxf>
          </x14:cfRule>
          <xm:sqref>D34:AF42</xm:sqref>
        </x14:conditionalFormatting>
        <x14:conditionalFormatting xmlns:xm="http://schemas.microsoft.com/office/excel/2006/main">
          <x14:cfRule type="expression" priority="68" id="{B1CEE714-60D5-4229-B487-E0E65A257686}">
            <xm:f>OR(INputs!$C$6=INputs!$A$3,INputs!$C$6=INputs!$A$4)</xm:f>
            <x14:dxf>
              <font>
                <color theme="2" tint="-0.499984740745262"/>
              </font>
              <fill>
                <patternFill>
                  <bgColor theme="2" tint="-0.499984740745262"/>
                </patternFill>
              </fill>
              <border>
                <left/>
                <right/>
                <top/>
                <bottom/>
                <vertical/>
                <horizontal/>
              </border>
            </x14:dxf>
          </x14:cfRule>
          <x14:cfRule type="expression" priority="67" id="{BB52AC16-7C30-43A4-8508-7ABD47FD768A}">
            <xm:f>AND('Sensitivity Labels'!$F$35=FALSE,'Sensitivity Labels'!$F$37=FALSE)</xm:f>
            <x14:dxf>
              <font>
                <color theme="2" tint="-0.499984740745262"/>
              </font>
              <fill>
                <patternFill>
                  <bgColor theme="2" tint="-0.499984740745262"/>
                </patternFill>
              </fill>
              <border>
                <left/>
                <right/>
                <top/>
                <bottom/>
                <vertical/>
                <horizontal/>
              </border>
            </x14:dxf>
          </x14:cfRule>
          <xm:sqref>D46:AF54</xm:sqref>
        </x14:conditionalFormatting>
        <x14:conditionalFormatting xmlns:xm="http://schemas.microsoft.com/office/excel/2006/main">
          <x14:cfRule type="expression" priority="64" id="{CEC27C9E-890B-4C02-9AE2-3B61C6EEF14B}">
            <xm:f>OR(INputs!$C$7=INputs!$A$3,INputs!$C$7=INputs!$A$4)</xm:f>
            <x14:dxf>
              <font>
                <color theme="2" tint="-0.499984740745262"/>
              </font>
              <fill>
                <patternFill>
                  <bgColor theme="2" tint="-0.499984740745262"/>
                </patternFill>
              </fill>
              <border>
                <left/>
                <right/>
                <top/>
                <bottom/>
                <vertical/>
                <horizontal/>
              </border>
            </x14:dxf>
          </x14:cfRule>
          <x14:cfRule type="expression" priority="63" id="{C71DC0D6-B3A6-468B-B3A0-42C75127BF0D}">
            <xm:f>AND('Sensitivity Labels'!$F$43=FALSE,'Sensitivity Labels'!$F$45=FALSE)</xm:f>
            <x14:dxf>
              <font>
                <color theme="2" tint="-0.499984740745262"/>
              </font>
              <fill>
                <patternFill>
                  <bgColor theme="2" tint="-0.499984740745262"/>
                </patternFill>
              </fill>
              <border>
                <left/>
                <right/>
                <top/>
                <bottom/>
                <vertical/>
                <horizontal/>
              </border>
            </x14:dxf>
          </x14:cfRule>
          <xm:sqref>D58:AF66</xm:sqref>
        </x14:conditionalFormatting>
        <x14:conditionalFormatting xmlns:xm="http://schemas.microsoft.com/office/excel/2006/main">
          <x14:cfRule type="expression" priority="60" id="{613DDB1A-F4D5-4E12-8C69-D909A3CE94A3}">
            <xm:f>OR(INputs!$C$8=INputs!$A$3,INputs!$C$8=INputs!$A$4)</xm:f>
            <x14:dxf>
              <font>
                <color theme="2" tint="-0.499984740745262"/>
              </font>
              <fill>
                <patternFill>
                  <bgColor theme="2" tint="-0.499984740745262"/>
                </patternFill>
              </fill>
              <border>
                <left/>
                <right/>
                <top/>
                <bottom/>
                <vertical/>
                <horizontal/>
              </border>
            </x14:dxf>
          </x14:cfRule>
          <x14:cfRule type="expression" priority="59" id="{EDA7C48E-D002-40A8-AC66-304604EBBEAA}">
            <xm:f>AND('Sensitivity Labels'!$F$51=FALSE,'Sensitivity Labels'!$F$53=FALSE)</xm:f>
            <x14:dxf>
              <font>
                <color theme="2" tint="-0.499984740745262"/>
              </font>
              <fill>
                <patternFill>
                  <bgColor theme="2" tint="-0.499984740745262"/>
                </patternFill>
              </fill>
              <border>
                <left/>
                <right/>
                <top/>
                <bottom/>
                <vertical/>
                <horizontal/>
              </border>
            </x14:dxf>
          </x14:cfRule>
          <xm:sqref>D70:AF78</xm:sqref>
        </x14:conditionalFormatting>
        <x14:conditionalFormatting xmlns:xm="http://schemas.microsoft.com/office/excel/2006/main">
          <x14:cfRule type="expression" priority="55" id="{3BD5F5BF-EAB9-497E-BB9D-530F1CF5D6C4}">
            <xm:f>AND('Sensitivity Labels'!$F$59=FALSE,'Sensitivity Labels'!$F$61=FALSE)</xm:f>
            <x14:dxf>
              <font>
                <color theme="2" tint="-0.499984740745262"/>
              </font>
              <fill>
                <patternFill>
                  <bgColor theme="2" tint="-0.499984740745262"/>
                </patternFill>
              </fill>
              <border>
                <left/>
                <right/>
                <top/>
                <bottom/>
                <vertical/>
                <horizontal/>
              </border>
            </x14:dxf>
          </x14:cfRule>
          <x14:cfRule type="expression" priority="56" id="{0A982D68-62AB-4C6A-B58A-DA6557E79633}">
            <xm:f>OR(INputs!$C$9=INputs!$A$3,INputs!$C$9=INputs!$A$4)</xm:f>
            <x14:dxf>
              <font>
                <color theme="2" tint="-0.499984740745262"/>
              </font>
              <fill>
                <patternFill>
                  <bgColor theme="2" tint="-0.499984740745262"/>
                </patternFill>
              </fill>
              <border>
                <left/>
                <right/>
                <top/>
                <bottom/>
                <vertical/>
                <horizontal/>
              </border>
            </x14:dxf>
          </x14:cfRule>
          <xm:sqref>D82:AF90</xm:sqref>
        </x14:conditionalFormatting>
        <x14:conditionalFormatting xmlns:xm="http://schemas.microsoft.com/office/excel/2006/main">
          <x14:cfRule type="expression" priority="52" id="{4AE19D4E-7DA5-4BE4-A677-71475407CADA}">
            <xm:f>OR(INputs!$C$10=INputs!$A$3,INputs!$C$10=INputs!$A$4)</xm:f>
            <x14:dxf>
              <font>
                <color theme="2" tint="-0.499984740745262"/>
              </font>
              <fill>
                <patternFill>
                  <bgColor theme="2" tint="-0.499984740745262"/>
                </patternFill>
              </fill>
              <border>
                <left/>
                <right/>
                <top/>
                <bottom/>
                <vertical/>
                <horizontal/>
              </border>
            </x14:dxf>
          </x14:cfRule>
          <x14:cfRule type="expression" priority="51" id="{A3A49FB3-D7D4-4B6A-AC8A-1CC2AD5450BA}">
            <xm:f>AND('Sensitivity Labels'!$F$67=FALSE,'Sensitivity Labels'!$F$69=FALSE)</xm:f>
            <x14:dxf>
              <font>
                <color theme="2" tint="-0.499984740745262"/>
              </font>
              <fill>
                <patternFill>
                  <bgColor theme="2" tint="-0.499984740745262"/>
                </patternFill>
              </fill>
              <border>
                <left/>
                <right/>
                <top/>
                <bottom/>
                <vertical/>
                <horizontal/>
              </border>
            </x14:dxf>
          </x14:cfRule>
          <xm:sqref>D94:AF102</xm:sqref>
        </x14:conditionalFormatting>
        <x14:conditionalFormatting xmlns:xm="http://schemas.microsoft.com/office/excel/2006/main">
          <x14:cfRule type="expression" priority="47" id="{0D22E7DF-E965-4F8A-B852-A86837820699}">
            <xm:f>AND('Sensitivity Labels'!$F$75=FALSE,'Sensitivity Labels'!$F$77=FALSE)</xm:f>
            <x14:dxf>
              <font>
                <color theme="2" tint="-0.499984740745262"/>
              </font>
              <fill>
                <patternFill>
                  <bgColor theme="2" tint="-0.499984740745262"/>
                </patternFill>
              </fill>
              <border>
                <left/>
                <right/>
                <top/>
                <bottom/>
                <vertical/>
                <horizontal/>
              </border>
            </x14:dxf>
          </x14:cfRule>
          <x14:cfRule type="expression" priority="48" id="{A00A5372-5BC0-47AB-ADAE-CC162BF2B4E8}">
            <xm:f>OR(INputs!$C$11=INputs!$A$3,INputs!$C$11=INputs!$A$4)</xm:f>
            <x14:dxf>
              <font>
                <color theme="2" tint="-0.499984740745262"/>
              </font>
              <fill>
                <patternFill>
                  <bgColor theme="2" tint="-0.499984740745262"/>
                </patternFill>
              </fill>
              <border>
                <left/>
                <right/>
                <top/>
                <bottom/>
                <vertical/>
                <horizontal/>
              </border>
            </x14:dxf>
          </x14:cfRule>
          <xm:sqref>D106:AF114</xm:sqref>
        </x14:conditionalFormatting>
        <x14:conditionalFormatting xmlns:xm="http://schemas.microsoft.com/office/excel/2006/main">
          <x14:cfRule type="expression" priority="44" id="{5EA91296-0836-4F99-90FB-6E85FFF5F758}">
            <xm:f>OR(INputs!$C$12=INputs!$A$3,INputs!$C$12=INputs!$A$4)</xm:f>
            <x14:dxf>
              <font>
                <color theme="2" tint="-0.499984740745262"/>
              </font>
              <fill>
                <patternFill>
                  <bgColor theme="2" tint="-0.499984740745262"/>
                </patternFill>
              </fill>
              <border>
                <left/>
                <right/>
                <top/>
                <bottom/>
                <vertical/>
                <horizontal/>
              </border>
            </x14:dxf>
          </x14:cfRule>
          <x14:cfRule type="expression" priority="43" id="{B5E52326-8614-409B-8F71-EC295AB57484}">
            <xm:f>AND('Sensitivity Labels'!$F$83=FALSE,'Sensitivity Labels'!$F$85=FALSE)</xm:f>
            <x14:dxf>
              <font>
                <color theme="2" tint="-0.499984740745262"/>
              </font>
              <fill>
                <patternFill>
                  <bgColor theme="2" tint="-0.499984740745262"/>
                </patternFill>
              </fill>
              <border>
                <left/>
                <right/>
                <top/>
                <bottom/>
                <vertical/>
                <horizontal/>
              </border>
            </x14:dxf>
          </x14:cfRule>
          <xm:sqref>D118:AF126</xm:sqref>
        </x14:conditionalFormatting>
        <x14:conditionalFormatting xmlns:xm="http://schemas.microsoft.com/office/excel/2006/main">
          <x14:cfRule type="expression" priority="39" id="{37789379-2A2E-4859-9F39-C2E1335BA329}">
            <xm:f>OR(INputs!$C$13=INputs!$A$3,INputs!$C$13=INputs!$A$4)</xm:f>
            <x14:dxf>
              <font>
                <color theme="2" tint="-0.499984740745262"/>
              </font>
              <fill>
                <patternFill>
                  <bgColor theme="2" tint="-0.499984740745262"/>
                </patternFill>
              </fill>
              <border>
                <left/>
                <right/>
                <top/>
                <bottom/>
                <vertical/>
                <horizontal/>
              </border>
            </x14:dxf>
          </x14:cfRule>
          <x14:cfRule type="expression" priority="40" id="{AC595EF8-E659-429A-AE25-95CDEA03CBB8}">
            <xm:f>AND('Sensitivity Labels'!$F$91=FALSE,'Sensitivity Labels'!$F$93=FALSE)</xm:f>
            <x14:dxf>
              <font>
                <color theme="2" tint="-0.499984740745262"/>
              </font>
              <fill>
                <patternFill>
                  <bgColor theme="2" tint="-0.499984740745262"/>
                </patternFill>
              </fill>
              <border>
                <left/>
                <right/>
                <top/>
                <bottom/>
                <vertical/>
                <horizontal/>
              </border>
            </x14:dxf>
          </x14:cfRule>
          <xm:sqref>D130:AF138</xm:sqref>
        </x14:conditionalFormatting>
        <x14:conditionalFormatting xmlns:xm="http://schemas.microsoft.com/office/excel/2006/main">
          <x14:cfRule type="expression" priority="36" id="{94443718-AF00-4CE9-BF4A-A9C2E1398C9D}">
            <xm:f>AND('Sensitivity Labels'!$F$99=FALSE,'Sensitivity Labels'!$F$101=FALSE)</xm:f>
            <x14:dxf>
              <font>
                <color theme="2" tint="-0.499984740745262"/>
              </font>
              <fill>
                <patternFill>
                  <bgColor theme="2" tint="-0.499984740745262"/>
                </patternFill>
              </fill>
              <border>
                <left/>
                <right/>
                <top/>
                <bottom/>
                <vertical/>
                <horizontal/>
              </border>
            </x14:dxf>
          </x14:cfRule>
          <x14:cfRule type="expression" priority="35" id="{A39E8BFA-F96A-41FF-A4B1-003A92415C05}">
            <xm:f>OR(INputs!$C$14=INputs!$A$3,INputs!$C$14=INputs!$A$4)</xm:f>
            <x14:dxf>
              <font>
                <color theme="2" tint="-0.499984740745262"/>
              </font>
              <fill>
                <patternFill>
                  <bgColor theme="2" tint="-0.499984740745262"/>
                </patternFill>
              </fill>
              <border>
                <left/>
                <right/>
                <top/>
                <bottom/>
                <vertical/>
                <horizontal/>
              </border>
            </x14:dxf>
          </x14:cfRule>
          <xm:sqref>D142:AF150</xm:sqref>
        </x14:conditionalFormatting>
        <x14:conditionalFormatting xmlns:xm="http://schemas.microsoft.com/office/excel/2006/main">
          <x14:cfRule type="expression" priority="32" id="{16A926ED-8F78-42BC-BDA6-05F32C2FA35D}">
            <xm:f>OR(INputs!$C$15=INputs!$A$3,INputs!$C$15=INputs!$A$4)</xm:f>
            <x14:dxf>
              <font>
                <color theme="2" tint="-0.499984740745262"/>
              </font>
              <fill>
                <patternFill>
                  <bgColor theme="2" tint="-0.499984740745262"/>
                </patternFill>
              </fill>
              <border>
                <left/>
                <right/>
                <top/>
                <bottom/>
                <vertical/>
                <horizontal/>
              </border>
            </x14:dxf>
          </x14:cfRule>
          <x14:cfRule type="expression" priority="31" id="{2AC0B195-6651-49B5-BA7E-6645B33C1C46}">
            <xm:f>AND('Sensitivity Labels'!$F$107=FALSE,'Sensitivity Labels'!$F$109=FALSE)</xm:f>
            <x14:dxf>
              <font>
                <color theme="2" tint="-0.499984740745262"/>
              </font>
              <fill>
                <patternFill>
                  <bgColor theme="2" tint="-0.499984740745262"/>
                </patternFill>
              </fill>
              <border>
                <left/>
                <right/>
                <top/>
                <bottom/>
                <vertical/>
                <horizontal/>
              </border>
            </x14:dxf>
          </x14:cfRule>
          <xm:sqref>D154:AF162</xm:sqref>
        </x14:conditionalFormatting>
        <x14:conditionalFormatting xmlns:xm="http://schemas.microsoft.com/office/excel/2006/main">
          <x14:cfRule type="expression" priority="27" id="{5263C273-0F68-48D2-B4B0-F0E5BA805E52}">
            <xm:f>AND('Sensitivity Labels'!$F$115=FALSE,'Sensitivity Labels'!$F$117=FALSE)</xm:f>
            <x14:dxf>
              <font>
                <color theme="2" tint="-0.499984740745262"/>
              </font>
              <fill>
                <patternFill>
                  <bgColor theme="2" tint="-0.499984740745262"/>
                </patternFill>
              </fill>
              <border>
                <left/>
                <right/>
                <top/>
                <bottom/>
                <vertical/>
                <horizontal/>
              </border>
            </x14:dxf>
          </x14:cfRule>
          <x14:cfRule type="expression" priority="28" id="{07A662A0-0733-4249-9238-D3DDB03994BA}">
            <xm:f>OR(INputs!$C$16=INputs!$A$3,INputs!$C$16=INputs!$A$4)</xm:f>
            <x14:dxf>
              <font>
                <color theme="2" tint="-0.499984740745262"/>
              </font>
              <fill>
                <patternFill>
                  <bgColor theme="2" tint="-0.499984740745262"/>
                </patternFill>
              </fill>
              <border>
                <left/>
                <right/>
                <top/>
                <bottom/>
                <vertical/>
                <horizontal/>
              </border>
            </x14:dxf>
          </x14:cfRule>
          <xm:sqref>D166:AF174</xm:sqref>
        </x14:conditionalFormatting>
        <x14:conditionalFormatting xmlns:xm="http://schemas.microsoft.com/office/excel/2006/main">
          <x14:cfRule type="expression" priority="24" id="{DE5A7C6E-39AE-4651-B559-2864EFC72D8B}">
            <xm:f>OR(INputs!$C$17=INputs!$A$3,INputs!$C$17=INputs!$A$4)</xm:f>
            <x14:dxf>
              <font>
                <color theme="2" tint="-0.499984740745262"/>
              </font>
              <fill>
                <patternFill>
                  <bgColor theme="2" tint="-0.499984740745262"/>
                </patternFill>
              </fill>
              <border>
                <left/>
                <right/>
                <top/>
                <bottom/>
                <vertical/>
                <horizontal/>
              </border>
            </x14:dxf>
          </x14:cfRule>
          <x14:cfRule type="expression" priority="23" id="{97BAAFB6-2BB9-4DA2-AD35-E5C247E69C6B}">
            <xm:f>AND('Sensitivity Labels'!$F$123=FALSE,'Sensitivity Labels'!$F$125=FALSE)</xm:f>
            <x14:dxf>
              <font>
                <color theme="2" tint="-0.499984740745262"/>
              </font>
              <fill>
                <patternFill>
                  <bgColor theme="2" tint="-0.499984740745262"/>
                </patternFill>
              </fill>
              <border>
                <left/>
                <right/>
                <top/>
                <bottom/>
                <vertical/>
                <horizontal/>
              </border>
            </x14:dxf>
          </x14:cfRule>
          <xm:sqref>D178:AF186</xm:sqref>
        </x14:conditionalFormatting>
        <x14:conditionalFormatting xmlns:xm="http://schemas.microsoft.com/office/excel/2006/main">
          <x14:cfRule type="expression" priority="20" id="{A094815E-B6CD-43F4-A8AE-07CC93DF37B2}">
            <xm:f>OR(INputs!$C$18=INputs!$A$3,INputs!$C$18=INputs!$A$4)</xm:f>
            <x14:dxf>
              <font>
                <color theme="2" tint="-0.499984740745262"/>
              </font>
              <fill>
                <patternFill>
                  <bgColor theme="2" tint="-0.499984740745262"/>
                </patternFill>
              </fill>
              <border>
                <left/>
                <right/>
                <top/>
                <bottom/>
                <vertical/>
                <horizontal/>
              </border>
            </x14:dxf>
          </x14:cfRule>
          <x14:cfRule type="expression" priority="19" id="{88C6D7D5-0230-4DBD-8005-63FF870BE27A}">
            <xm:f>AND('Sensitivity Labels'!$F$131=FALSE,'Sensitivity Labels'!$F$133=FALSE)</xm:f>
            <x14:dxf>
              <font>
                <color theme="2" tint="-0.499984740745262"/>
              </font>
              <fill>
                <patternFill>
                  <bgColor theme="2" tint="-0.499984740745262"/>
                </patternFill>
              </fill>
              <border>
                <left/>
                <right/>
                <top/>
                <bottom/>
                <vertical/>
                <horizontal/>
              </border>
            </x14:dxf>
          </x14:cfRule>
          <xm:sqref>D190:AF198</xm:sqref>
        </x14:conditionalFormatting>
        <x14:conditionalFormatting xmlns:xm="http://schemas.microsoft.com/office/excel/2006/main">
          <x14:cfRule type="expression" priority="16" id="{A2CCC928-193D-484A-B8B5-9136D83575B9}">
            <xm:f>OR(INputs!$C$19=INputs!$A$3,INputs!$C$19=INputs!$A$4)</xm:f>
            <x14:dxf>
              <font>
                <color theme="2" tint="-0.499984740745262"/>
              </font>
              <fill>
                <patternFill>
                  <bgColor theme="2" tint="-0.499984740745262"/>
                </patternFill>
              </fill>
              <border>
                <left/>
                <right/>
                <top/>
                <bottom/>
                <vertical/>
                <horizontal/>
              </border>
            </x14:dxf>
          </x14:cfRule>
          <x14:cfRule type="expression" priority="15" id="{C7C6E8FA-12EC-4C41-830C-AF19154AA17F}">
            <xm:f>AND('Sensitivity Labels'!$F$139=FALSE,'Sensitivity Labels'!$F$141=FALSE)</xm:f>
            <x14:dxf>
              <font>
                <color theme="2" tint="-0.499984740745262"/>
              </font>
              <fill>
                <patternFill>
                  <bgColor theme="2" tint="-0.499984740745262"/>
                </patternFill>
              </fill>
              <border>
                <left/>
                <right/>
                <top/>
                <bottom/>
                <vertical/>
                <horizontal/>
              </border>
            </x14:dxf>
          </x14:cfRule>
          <xm:sqref>D202:AF210</xm:sqref>
        </x14:conditionalFormatting>
        <x14:conditionalFormatting xmlns:xm="http://schemas.microsoft.com/office/excel/2006/main">
          <x14:cfRule type="expression" priority="12" id="{DC5962F2-A561-42BC-93D8-AB1CC3D1A962}">
            <xm:f>OR(INputs!$C$20=INputs!$A$3,INputs!$C$20=INputs!$A$4)</xm:f>
            <x14:dxf>
              <font>
                <color theme="2" tint="-0.499984740745262"/>
              </font>
              <fill>
                <patternFill>
                  <bgColor theme="2" tint="-0.499984740745262"/>
                </patternFill>
              </fill>
              <border>
                <left/>
                <right/>
                <top/>
                <bottom/>
                <vertical/>
                <horizontal/>
              </border>
            </x14:dxf>
          </x14:cfRule>
          <x14:cfRule type="expression" priority="11" id="{2699CB52-C2DF-4BBC-A96B-516AC7C7DE04}">
            <xm:f>AND('Sensitivity Labels'!$F$147=FALSE,'Sensitivity Labels'!$F$149=FALSE)</xm:f>
            <x14:dxf>
              <font>
                <color theme="2" tint="-0.499984740745262"/>
              </font>
              <fill>
                <patternFill>
                  <bgColor theme="2" tint="-0.499984740745262"/>
                </patternFill>
              </fill>
              <border>
                <left/>
                <right/>
                <top/>
                <bottom/>
                <vertical/>
                <horizontal/>
              </border>
            </x14:dxf>
          </x14:cfRule>
          <xm:sqref>D214:AF222</xm:sqref>
        </x14:conditionalFormatting>
        <x14:conditionalFormatting xmlns:xm="http://schemas.microsoft.com/office/excel/2006/main">
          <x14:cfRule type="expression" priority="8" id="{F0103047-7376-4948-B848-AF3B0A527782}">
            <xm:f>OR(INputs!$C$21=INputs!$A$3,INputs!$C$21=INputs!$A$4)</xm:f>
            <x14:dxf>
              <font>
                <color theme="2" tint="-0.499984740745262"/>
              </font>
              <fill>
                <patternFill>
                  <bgColor theme="2" tint="-0.499984740745262"/>
                </patternFill>
              </fill>
              <border>
                <left/>
                <right/>
                <top/>
                <bottom/>
                <vertical/>
                <horizontal/>
              </border>
            </x14:dxf>
          </x14:cfRule>
          <x14:cfRule type="expression" priority="7" id="{067DB096-64FD-44F8-9CB9-A20B149FA66C}">
            <xm:f>AND('Sensitivity Labels'!$F$155=FALSE,'Sensitivity Labels'!$F$157=FALSE)</xm:f>
            <x14:dxf>
              <font>
                <color theme="2" tint="-0.499984740745262"/>
              </font>
              <fill>
                <patternFill>
                  <bgColor theme="2" tint="-0.499984740745262"/>
                </patternFill>
              </fill>
              <border>
                <left/>
                <right/>
                <top/>
                <bottom/>
                <vertical/>
                <horizontal/>
              </border>
            </x14:dxf>
          </x14:cfRule>
          <xm:sqref>D226:AF234</xm:sqref>
        </x14:conditionalFormatting>
        <x14:conditionalFormatting xmlns:xm="http://schemas.microsoft.com/office/excel/2006/main">
          <x14:cfRule type="expression" priority="3" id="{4510F1E0-FBEE-4504-A079-2A63B33A7243}">
            <xm:f>AND('Sensitivity Labels'!$F$163=FALSE,'Sensitivity Labels'!$F$165=FALSE)</xm:f>
            <x14:dxf>
              <font>
                <color theme="2" tint="-0.499984740745262"/>
              </font>
              <fill>
                <patternFill>
                  <bgColor theme="2" tint="-0.499984740745262"/>
                </patternFill>
              </fill>
              <border>
                <left/>
                <right/>
                <top/>
                <bottom/>
                <vertical/>
                <horizontal/>
              </border>
            </x14:dxf>
          </x14:cfRule>
          <x14:cfRule type="expression" priority="4" id="{76BB304B-7DB1-4D69-B6EF-CDF7E2E88967}">
            <xm:f>OR(INputs!$C$22=INputs!$A$3,INputs!$C$22=INputs!$A$4)</xm:f>
            <x14:dxf>
              <font>
                <color theme="2" tint="-0.499984740745262"/>
              </font>
              <fill>
                <patternFill>
                  <bgColor theme="2" tint="-0.499984740745262"/>
                </patternFill>
              </fill>
              <border>
                <left/>
                <right/>
                <top/>
                <bottom/>
                <vertical/>
                <horizontal/>
              </border>
            </x14:dxf>
          </x14:cfRule>
          <xm:sqref>D238:AF246</xm:sqref>
        </x14:conditionalFormatting>
        <x14:conditionalFormatting xmlns:xm="http://schemas.microsoft.com/office/excel/2006/main">
          <x14:cfRule type="expression" priority="3747" id="{5722F3E9-9F33-48DE-9546-C87948A8E5F5}">
            <xm:f>F12=INputs!$S$4</xm:f>
            <x14:dxf>
              <font>
                <color theme="0" tint="-0.24994659260841701"/>
              </font>
            </x14:dxf>
          </x14:cfRule>
          <xm:sqref>X10:X11 X82:X83</xm:sqref>
        </x14:conditionalFormatting>
        <x14:conditionalFormatting xmlns:xm="http://schemas.microsoft.com/office/excel/2006/main">
          <x14:cfRule type="expression" priority="3606" id="{C0024877-88A2-4556-ABA2-7054DCF2D94B}">
            <xm:f>F24=INputs!$S$4</xm:f>
            <x14:dxf>
              <font>
                <color theme="0" tint="-0.24994659260841701"/>
              </font>
            </x14:dxf>
          </x14:cfRule>
          <xm:sqref>X22:X23</xm:sqref>
        </x14:conditionalFormatting>
        <x14:conditionalFormatting xmlns:xm="http://schemas.microsoft.com/office/excel/2006/main">
          <x14:cfRule type="expression" priority="3543" id="{8EF1C19C-A0B1-424A-B146-D54EBB51DBF5}">
            <xm:f>F36=INputs!$S$4</xm:f>
            <x14:dxf>
              <font>
                <color theme="0" tint="-0.24994659260841701"/>
              </font>
            </x14:dxf>
          </x14:cfRule>
          <xm:sqref>X34:X35</xm:sqref>
        </x14:conditionalFormatting>
        <x14:conditionalFormatting xmlns:xm="http://schemas.microsoft.com/office/excel/2006/main">
          <x14:cfRule type="expression" priority="3481" id="{C4FBC5E8-AF0D-49A2-A5B6-926D08EC9C16}">
            <xm:f>F48=INputs!$S$4</xm:f>
            <x14:dxf>
              <font>
                <color theme="0" tint="-0.24994659260841701"/>
              </font>
            </x14:dxf>
          </x14:cfRule>
          <xm:sqref>X46:X47</xm:sqref>
        </x14:conditionalFormatting>
        <x14:conditionalFormatting xmlns:xm="http://schemas.microsoft.com/office/excel/2006/main">
          <x14:cfRule type="expression" priority="3419" id="{F885AC97-CEE9-49E2-A89E-09572FAC466D}">
            <xm:f>F60=INputs!$S$4</xm:f>
            <x14:dxf>
              <font>
                <color theme="0" tint="-0.24994659260841701"/>
              </font>
            </x14:dxf>
          </x14:cfRule>
          <xm:sqref>X58:X59</xm:sqref>
        </x14:conditionalFormatting>
        <x14:conditionalFormatting xmlns:xm="http://schemas.microsoft.com/office/excel/2006/main">
          <x14:cfRule type="expression" priority="3357" id="{19C11FA5-FBFC-4E25-9B61-EAC29F2C9175}">
            <xm:f>F72=INputs!$S$4</xm:f>
            <x14:dxf>
              <font>
                <color theme="0" tint="-0.24994659260841701"/>
              </font>
            </x14:dxf>
          </x14:cfRule>
          <xm:sqref>X70:X71</xm:sqref>
        </x14:conditionalFormatting>
        <x14:conditionalFormatting xmlns:xm="http://schemas.microsoft.com/office/excel/2006/main">
          <x14:cfRule type="expression" priority="3233" id="{5A55762C-33C3-4ED3-BAE7-8A54258A4FA3}">
            <xm:f>F96=INputs!$S$4</xm:f>
            <x14:dxf>
              <font>
                <color theme="0" tint="-0.24994659260841701"/>
              </font>
            </x14:dxf>
          </x14:cfRule>
          <xm:sqref>X94:X95</xm:sqref>
        </x14:conditionalFormatting>
        <x14:conditionalFormatting xmlns:xm="http://schemas.microsoft.com/office/excel/2006/main">
          <x14:cfRule type="expression" priority="3145" id="{A36E0E27-B64B-41B3-889E-F18D5F2FA697}">
            <xm:f>F108=INputs!$S$4</xm:f>
            <x14:dxf>
              <font>
                <color theme="0" tint="-0.24994659260841701"/>
              </font>
            </x14:dxf>
          </x14:cfRule>
          <xm:sqref>X106:X107</xm:sqref>
        </x14:conditionalFormatting>
        <x14:conditionalFormatting xmlns:xm="http://schemas.microsoft.com/office/excel/2006/main">
          <x14:cfRule type="expression" priority="3083" id="{6C4005E0-3D55-412B-825B-AB9ED0221A7A}">
            <xm:f>F120=INputs!$S$4</xm:f>
            <x14:dxf>
              <font>
                <color theme="0" tint="-0.24994659260841701"/>
              </font>
            </x14:dxf>
          </x14:cfRule>
          <xm:sqref>X118:X119</xm:sqref>
        </x14:conditionalFormatting>
        <x14:conditionalFormatting xmlns:xm="http://schemas.microsoft.com/office/excel/2006/main">
          <x14:cfRule type="expression" priority="3021" id="{B04F02B0-2A71-4DC7-864D-78D87E42740A}">
            <xm:f>F132=INputs!$S$4</xm:f>
            <x14:dxf>
              <font>
                <color theme="0" tint="-0.24994659260841701"/>
              </font>
            </x14:dxf>
          </x14:cfRule>
          <xm:sqref>X130:X131</xm:sqref>
        </x14:conditionalFormatting>
        <x14:conditionalFormatting xmlns:xm="http://schemas.microsoft.com/office/excel/2006/main">
          <x14:cfRule type="expression" priority="2959" id="{B678AE91-DC0D-4000-B7DF-106836A38AD9}">
            <xm:f>F144=INputs!$S$4</xm:f>
            <x14:dxf>
              <font>
                <color theme="0" tint="-0.24994659260841701"/>
              </font>
            </x14:dxf>
          </x14:cfRule>
          <xm:sqref>X142:X143</xm:sqref>
        </x14:conditionalFormatting>
        <x14:conditionalFormatting xmlns:xm="http://schemas.microsoft.com/office/excel/2006/main">
          <x14:cfRule type="expression" priority="2897" id="{9634FC80-19E5-434D-BC62-57ED1A949CBD}">
            <xm:f>F156=INputs!$S$4</xm:f>
            <x14:dxf>
              <font>
                <color theme="0" tint="-0.24994659260841701"/>
              </font>
            </x14:dxf>
          </x14:cfRule>
          <xm:sqref>X154:X155</xm:sqref>
        </x14:conditionalFormatting>
        <x14:conditionalFormatting xmlns:xm="http://schemas.microsoft.com/office/excel/2006/main">
          <x14:cfRule type="expression" priority="2835" id="{31AF7C41-E5DE-4BFB-8A6F-5209FD4C9DE5}">
            <xm:f>F168=INputs!$S$4</xm:f>
            <x14:dxf>
              <font>
                <color theme="0" tint="-0.24994659260841701"/>
              </font>
            </x14:dxf>
          </x14:cfRule>
          <xm:sqref>X166:X167</xm:sqref>
        </x14:conditionalFormatting>
        <x14:conditionalFormatting xmlns:xm="http://schemas.microsoft.com/office/excel/2006/main">
          <x14:cfRule type="expression" priority="2773" id="{CFC21095-7424-4FE9-9C1C-6E83DBCB179D}">
            <xm:f>F180=INputs!$S$4</xm:f>
            <x14:dxf>
              <font>
                <color theme="0" tint="-0.24994659260841701"/>
              </font>
            </x14:dxf>
          </x14:cfRule>
          <xm:sqref>X178:X179</xm:sqref>
        </x14:conditionalFormatting>
        <x14:conditionalFormatting xmlns:xm="http://schemas.microsoft.com/office/excel/2006/main">
          <x14:cfRule type="expression" priority="2711" id="{08F88740-D125-4F40-A3AC-0AF65FB464BB}">
            <xm:f>F192=INputs!$S$4</xm:f>
            <x14:dxf>
              <font>
                <color theme="0" tint="-0.24994659260841701"/>
              </font>
            </x14:dxf>
          </x14:cfRule>
          <xm:sqref>X190:X191</xm:sqref>
        </x14:conditionalFormatting>
        <x14:conditionalFormatting xmlns:xm="http://schemas.microsoft.com/office/excel/2006/main">
          <x14:cfRule type="expression" priority="2649" id="{0E732D9B-5D85-4F92-BFE0-2793ADAF9DBD}">
            <xm:f>F204=INputs!$S$4</xm:f>
            <x14:dxf>
              <font>
                <color theme="0" tint="-0.24994659260841701"/>
              </font>
            </x14:dxf>
          </x14:cfRule>
          <xm:sqref>X202:X203</xm:sqref>
        </x14:conditionalFormatting>
        <x14:conditionalFormatting xmlns:xm="http://schemas.microsoft.com/office/excel/2006/main">
          <x14:cfRule type="expression" priority="2587" id="{6B2FC95C-5E8D-4ED2-B52B-25C9E062D820}">
            <xm:f>F216=INputs!$S$4</xm:f>
            <x14:dxf>
              <font>
                <color theme="0" tint="-0.24994659260841701"/>
              </font>
            </x14:dxf>
          </x14:cfRule>
          <xm:sqref>X214:X215</xm:sqref>
        </x14:conditionalFormatting>
        <x14:conditionalFormatting xmlns:xm="http://schemas.microsoft.com/office/excel/2006/main">
          <x14:cfRule type="expression" priority="2525" id="{651E6915-AAA2-44F9-B3EB-1CB71616EA87}">
            <xm:f>F228=INputs!$S$4</xm:f>
            <x14:dxf>
              <font>
                <color theme="0" tint="-0.24994659260841701"/>
              </font>
            </x14:dxf>
          </x14:cfRule>
          <xm:sqref>X226:X227</xm:sqref>
        </x14:conditionalFormatting>
        <x14:conditionalFormatting xmlns:xm="http://schemas.microsoft.com/office/excel/2006/main">
          <x14:cfRule type="expression" priority="2463" id="{04056550-352E-498D-A1DA-46E6A7CF8761}">
            <xm:f>F240=INputs!$S$4</xm:f>
            <x14:dxf>
              <font>
                <color theme="0" tint="-0.24994659260841701"/>
              </font>
            </x14:dxf>
          </x14:cfRule>
          <xm:sqref>X238:X239</xm:sqref>
        </x14:conditionalFormatting>
        <x14:conditionalFormatting xmlns:xm="http://schemas.microsoft.com/office/excel/2006/main">
          <x14:cfRule type="expression" priority="3740" id="{BB80B33D-EB3F-49B4-A434-C2F9B58E69A3}">
            <xm:f>F12=INputs!$S$4</xm:f>
            <x14:dxf>
              <font>
                <color theme="0" tint="-0.24994659260841701"/>
              </font>
            </x14:dxf>
          </x14:cfRule>
          <xm:sqref>AB10:AB11 AB82:AB83</xm:sqref>
        </x14:conditionalFormatting>
        <x14:conditionalFormatting xmlns:xm="http://schemas.microsoft.com/office/excel/2006/main">
          <x14:cfRule type="expression" priority="3734" id="{1C2F2F80-C610-4B90-895A-4217EEA81C39}">
            <xm:f>F12=INputs!$S$4</xm:f>
            <x14:dxf>
              <font>
                <color theme="1"/>
              </font>
            </x14:dxf>
          </x14:cfRule>
          <xm:sqref>AB12</xm:sqref>
        </x14:conditionalFormatting>
        <x14:conditionalFormatting xmlns:xm="http://schemas.microsoft.com/office/excel/2006/main">
          <x14:cfRule type="expression" priority="3735" id="{5E281A77-8122-4897-92FE-D40E0CDB92A9}">
            <xm:f>F12=INputs!$S$4</xm:f>
            <x14:dxf>
              <font>
                <color theme="1"/>
              </font>
            </x14:dxf>
          </x14:cfRule>
          <xm:sqref>AB13</xm:sqref>
        </x14:conditionalFormatting>
        <x14:conditionalFormatting xmlns:xm="http://schemas.microsoft.com/office/excel/2006/main">
          <x14:cfRule type="expression" priority="3736" id="{B6E28D55-4960-4DB2-82FC-0EACF7F1F402}">
            <xm:f>F12=INputs!$S$4</xm:f>
            <x14:dxf>
              <font>
                <color theme="1"/>
              </font>
            </x14:dxf>
          </x14:cfRule>
          <xm:sqref>AB14</xm:sqref>
        </x14:conditionalFormatting>
        <x14:conditionalFormatting xmlns:xm="http://schemas.microsoft.com/office/excel/2006/main">
          <x14:cfRule type="expression" priority="3600" id="{401FE230-8838-42BD-B03C-B58CD8FEBCE7}">
            <xm:f>F24=INputs!$S$4</xm:f>
            <x14:dxf>
              <font>
                <color theme="0" tint="-0.24994659260841701"/>
              </font>
            </x14:dxf>
          </x14:cfRule>
          <xm:sqref>AB22:AB23</xm:sqref>
        </x14:conditionalFormatting>
        <x14:conditionalFormatting xmlns:xm="http://schemas.microsoft.com/office/excel/2006/main">
          <x14:cfRule type="expression" priority="3595" id="{0DEEA4D3-BB5D-43A1-9897-C8982FC31C14}">
            <xm:f>F24=INputs!$S$4</xm:f>
            <x14:dxf>
              <font>
                <color theme="1"/>
              </font>
            </x14:dxf>
          </x14:cfRule>
          <xm:sqref>AB24</xm:sqref>
        </x14:conditionalFormatting>
        <x14:conditionalFormatting xmlns:xm="http://schemas.microsoft.com/office/excel/2006/main">
          <x14:cfRule type="expression" priority="3596" id="{B0CEDBCB-BF0F-4D1C-AD7C-ED5610AE2905}">
            <xm:f>F24=INputs!$S$4</xm:f>
            <x14:dxf>
              <font>
                <color theme="1"/>
              </font>
            </x14:dxf>
          </x14:cfRule>
          <xm:sqref>AB25</xm:sqref>
        </x14:conditionalFormatting>
        <x14:conditionalFormatting xmlns:xm="http://schemas.microsoft.com/office/excel/2006/main">
          <x14:cfRule type="expression" priority="3597" id="{037AC5A3-2A54-416A-8C5F-0D9CE1B3AD2A}">
            <xm:f>F24=INputs!$S$4</xm:f>
            <x14:dxf>
              <font>
                <color theme="1"/>
              </font>
            </x14:dxf>
          </x14:cfRule>
          <xm:sqref>AB26</xm:sqref>
        </x14:conditionalFormatting>
        <x14:conditionalFormatting xmlns:xm="http://schemas.microsoft.com/office/excel/2006/main">
          <x14:cfRule type="expression" priority="206" id="{BBA2BF10-6A90-4F95-98E1-197CF6B51EFA}">
            <xm:f>F36=INputs!$S$4</xm:f>
            <x14:dxf>
              <font>
                <color theme="0" tint="-0.24994659260841701"/>
              </font>
            </x14:dxf>
          </x14:cfRule>
          <xm:sqref>AB34:AB35</xm:sqref>
        </x14:conditionalFormatting>
        <x14:conditionalFormatting xmlns:xm="http://schemas.microsoft.com/office/excel/2006/main">
          <x14:cfRule type="expression" priority="3532" id="{24CF4AAE-31FD-4094-AFC7-6F5C959211DB}">
            <xm:f>F36=INputs!$S$4</xm:f>
            <x14:dxf>
              <font>
                <color theme="1"/>
              </font>
            </x14:dxf>
          </x14:cfRule>
          <xm:sqref>AB36</xm:sqref>
        </x14:conditionalFormatting>
        <x14:conditionalFormatting xmlns:xm="http://schemas.microsoft.com/office/excel/2006/main">
          <x14:cfRule type="expression" priority="3533" id="{FACF99C1-7538-4F96-BDFE-A2D08B2686DC}">
            <xm:f>F36=INputs!$S$4</xm:f>
            <x14:dxf>
              <font>
                <color theme="1"/>
              </font>
            </x14:dxf>
          </x14:cfRule>
          <xm:sqref>AB37</xm:sqref>
        </x14:conditionalFormatting>
        <x14:conditionalFormatting xmlns:xm="http://schemas.microsoft.com/office/excel/2006/main">
          <x14:cfRule type="expression" priority="3534" id="{883B5485-8FD9-48A3-8EA4-39137F7AB7C7}">
            <xm:f>F36=INputs!$S$4</xm:f>
            <x14:dxf>
              <font>
                <color theme="1"/>
              </font>
            </x14:dxf>
          </x14:cfRule>
          <xm:sqref>AB38</xm:sqref>
        </x14:conditionalFormatting>
        <x14:conditionalFormatting xmlns:xm="http://schemas.microsoft.com/office/excel/2006/main">
          <x14:cfRule type="expression" priority="203" id="{B1657BC6-C6DF-4142-A5BE-F36DF8FE7951}">
            <xm:f>F48=INputs!$S$4</xm:f>
            <x14:dxf>
              <font>
                <color theme="0" tint="-0.24994659260841701"/>
              </font>
            </x14:dxf>
          </x14:cfRule>
          <xm:sqref>AB46:AB47</xm:sqref>
        </x14:conditionalFormatting>
        <x14:conditionalFormatting xmlns:xm="http://schemas.microsoft.com/office/excel/2006/main">
          <x14:cfRule type="expression" priority="3470" id="{29B4F234-A2FC-4855-93B3-1B2737BA1222}">
            <xm:f>F48=INputs!$S$4</xm:f>
            <x14:dxf>
              <font>
                <color theme="1"/>
              </font>
            </x14:dxf>
          </x14:cfRule>
          <xm:sqref>AB48</xm:sqref>
        </x14:conditionalFormatting>
        <x14:conditionalFormatting xmlns:xm="http://schemas.microsoft.com/office/excel/2006/main">
          <x14:cfRule type="expression" priority="3471" id="{2806B8EE-816B-4A55-87CC-5231F7C2517F}">
            <xm:f>F48=INputs!$S$4</xm:f>
            <x14:dxf>
              <font>
                <color theme="1"/>
              </font>
            </x14:dxf>
          </x14:cfRule>
          <xm:sqref>AB49</xm:sqref>
        </x14:conditionalFormatting>
        <x14:conditionalFormatting xmlns:xm="http://schemas.microsoft.com/office/excel/2006/main">
          <x14:cfRule type="expression" priority="3472" id="{D5719282-47F0-4C44-B7BD-A221891CEBA7}">
            <xm:f>F48=INputs!$S$4</xm:f>
            <x14:dxf>
              <font>
                <color theme="1"/>
              </font>
            </x14:dxf>
          </x14:cfRule>
          <xm:sqref>AB50</xm:sqref>
        </x14:conditionalFormatting>
        <x14:conditionalFormatting xmlns:xm="http://schemas.microsoft.com/office/excel/2006/main">
          <x14:cfRule type="expression" priority="200" id="{DCB8EE6A-16AC-48A8-9D1A-B4ABA3A763DF}">
            <xm:f>F60=INputs!$S$4</xm:f>
            <x14:dxf>
              <font>
                <color theme="0" tint="-0.24994659260841701"/>
              </font>
            </x14:dxf>
          </x14:cfRule>
          <xm:sqref>AB58:AB59</xm:sqref>
        </x14:conditionalFormatting>
        <x14:conditionalFormatting xmlns:xm="http://schemas.microsoft.com/office/excel/2006/main">
          <x14:cfRule type="expression" priority="3408" id="{75C21023-C404-4003-9F05-DCF4BE554EA1}">
            <xm:f>F60=INputs!$S$4</xm:f>
            <x14:dxf>
              <font>
                <color theme="1"/>
              </font>
            </x14:dxf>
          </x14:cfRule>
          <xm:sqref>AB60</xm:sqref>
        </x14:conditionalFormatting>
        <x14:conditionalFormatting xmlns:xm="http://schemas.microsoft.com/office/excel/2006/main">
          <x14:cfRule type="expression" priority="3409" id="{49D47D00-637B-4C62-AC8A-AE789872CDFF}">
            <xm:f>F60=INputs!$S$4</xm:f>
            <x14:dxf>
              <font>
                <color theme="1"/>
              </font>
            </x14:dxf>
          </x14:cfRule>
          <xm:sqref>AB61</xm:sqref>
        </x14:conditionalFormatting>
        <x14:conditionalFormatting xmlns:xm="http://schemas.microsoft.com/office/excel/2006/main">
          <x14:cfRule type="expression" priority="3410" id="{C9B44057-2CE5-4973-958E-9E4B77172E82}">
            <xm:f>F60=INputs!$S$4</xm:f>
            <x14:dxf>
              <font>
                <color theme="1"/>
              </font>
            </x14:dxf>
          </x14:cfRule>
          <xm:sqref>AB62</xm:sqref>
        </x14:conditionalFormatting>
        <x14:conditionalFormatting xmlns:xm="http://schemas.microsoft.com/office/excel/2006/main">
          <x14:cfRule type="expression" priority="197" id="{00FC05F8-D0EC-4C2A-8021-FAE6A80AC1D6}">
            <xm:f>F72=INputs!$S$4</xm:f>
            <x14:dxf>
              <font>
                <color theme="0" tint="-0.24994659260841701"/>
              </font>
            </x14:dxf>
          </x14:cfRule>
          <xm:sqref>AB70:AB71</xm:sqref>
        </x14:conditionalFormatting>
        <x14:conditionalFormatting xmlns:xm="http://schemas.microsoft.com/office/excel/2006/main">
          <x14:cfRule type="expression" priority="3346" id="{C75F6B92-D4E4-4D80-9432-5359B55F59FE}">
            <xm:f>F72=INputs!$S$4</xm:f>
            <x14:dxf>
              <font>
                <color theme="1"/>
              </font>
            </x14:dxf>
          </x14:cfRule>
          <xm:sqref>AB72</xm:sqref>
        </x14:conditionalFormatting>
        <x14:conditionalFormatting xmlns:xm="http://schemas.microsoft.com/office/excel/2006/main">
          <x14:cfRule type="expression" priority="3347" id="{C7A5D276-0C6A-4DFF-84BD-AADAE1F9B238}">
            <xm:f>F72=INputs!$S$4</xm:f>
            <x14:dxf>
              <font>
                <color theme="1"/>
              </font>
            </x14:dxf>
          </x14:cfRule>
          <xm:sqref>AB73</xm:sqref>
        </x14:conditionalFormatting>
        <x14:conditionalFormatting xmlns:xm="http://schemas.microsoft.com/office/excel/2006/main">
          <x14:cfRule type="expression" priority="3348" id="{E2747BA2-0F03-4A8B-8A8B-786CDB2B74CF}">
            <xm:f>F72=INputs!$S$4</xm:f>
            <x14:dxf>
              <font>
                <color theme="1"/>
              </font>
            </x14:dxf>
          </x14:cfRule>
          <xm:sqref>AB74</xm:sqref>
        </x14:conditionalFormatting>
        <x14:conditionalFormatting xmlns:xm="http://schemas.microsoft.com/office/excel/2006/main">
          <x14:cfRule type="expression" priority="3284" id="{E31D4899-88B2-4C8B-A6DD-D94A4F2B88DD}">
            <xm:f>F84=INputs!$S$4</xm:f>
            <x14:dxf>
              <font>
                <color theme="1"/>
              </font>
            </x14:dxf>
          </x14:cfRule>
          <xm:sqref>AB84</xm:sqref>
        </x14:conditionalFormatting>
        <x14:conditionalFormatting xmlns:xm="http://schemas.microsoft.com/office/excel/2006/main">
          <x14:cfRule type="expression" priority="3285" id="{9F2B639F-10B7-4409-99F7-2006E737A30B}">
            <xm:f>F84=INputs!$S$4</xm:f>
            <x14:dxf>
              <font>
                <color theme="1"/>
              </font>
            </x14:dxf>
          </x14:cfRule>
          <xm:sqref>AB85</xm:sqref>
        </x14:conditionalFormatting>
        <x14:conditionalFormatting xmlns:xm="http://schemas.microsoft.com/office/excel/2006/main">
          <x14:cfRule type="expression" priority="3286" id="{67EE1A62-83FB-41EC-A295-5124D8814422}">
            <xm:f>F84=INputs!$S$4</xm:f>
            <x14:dxf>
              <font>
                <color theme="1"/>
              </font>
            </x14:dxf>
          </x14:cfRule>
          <xm:sqref>AB86</xm:sqref>
        </x14:conditionalFormatting>
        <x14:conditionalFormatting xmlns:xm="http://schemas.microsoft.com/office/excel/2006/main">
          <x14:cfRule type="expression" priority="192" id="{0355849D-DE14-4161-9788-AE72948B8767}">
            <xm:f>F96=INputs!$S$4</xm:f>
            <x14:dxf>
              <font>
                <color theme="0" tint="-0.24994659260841701"/>
              </font>
            </x14:dxf>
          </x14:cfRule>
          <xm:sqref>AB94:AB95</xm:sqref>
        </x14:conditionalFormatting>
        <x14:conditionalFormatting xmlns:xm="http://schemas.microsoft.com/office/excel/2006/main">
          <x14:cfRule type="expression" priority="3222" id="{5E4D2DA4-37EB-47BC-8663-C8288FA954BC}">
            <xm:f>F96=INputs!$S$4</xm:f>
            <x14:dxf>
              <font>
                <color theme="1"/>
              </font>
            </x14:dxf>
          </x14:cfRule>
          <xm:sqref>AB96</xm:sqref>
        </x14:conditionalFormatting>
        <x14:conditionalFormatting xmlns:xm="http://schemas.microsoft.com/office/excel/2006/main">
          <x14:cfRule type="expression" priority="3223" id="{AE28F3EB-2A72-429A-90BE-5BF892B99E1B}">
            <xm:f>F96=INputs!$S$4</xm:f>
            <x14:dxf>
              <font>
                <color theme="1"/>
              </font>
            </x14:dxf>
          </x14:cfRule>
          <xm:sqref>AB97</xm:sqref>
        </x14:conditionalFormatting>
        <x14:conditionalFormatting xmlns:xm="http://schemas.microsoft.com/office/excel/2006/main">
          <x14:cfRule type="expression" priority="3224" id="{251C09EC-C2FF-4F06-9F20-C3904F130207}">
            <xm:f>F96=INputs!$S$4</xm:f>
            <x14:dxf>
              <font>
                <color theme="1"/>
              </font>
            </x14:dxf>
          </x14:cfRule>
          <xm:sqref>AB98</xm:sqref>
        </x14:conditionalFormatting>
        <x14:conditionalFormatting xmlns:xm="http://schemas.microsoft.com/office/excel/2006/main">
          <x14:cfRule type="expression" priority="189" id="{CA505F54-6554-45D2-ACFD-4157690C8EEF}">
            <xm:f>F108=INputs!$S$4</xm:f>
            <x14:dxf>
              <font>
                <color theme="0" tint="-0.24994659260841701"/>
              </font>
            </x14:dxf>
          </x14:cfRule>
          <xm:sqref>AB106:AB107</xm:sqref>
        </x14:conditionalFormatting>
        <x14:conditionalFormatting xmlns:xm="http://schemas.microsoft.com/office/excel/2006/main">
          <x14:cfRule type="expression" priority="3134" id="{104DBB8B-9163-48CC-BDE7-9EE3E16099F2}">
            <xm:f>F108=INputs!$S$4</xm:f>
            <x14:dxf>
              <font>
                <color theme="1"/>
              </font>
            </x14:dxf>
          </x14:cfRule>
          <xm:sqref>AB108</xm:sqref>
        </x14:conditionalFormatting>
        <x14:conditionalFormatting xmlns:xm="http://schemas.microsoft.com/office/excel/2006/main">
          <x14:cfRule type="expression" priority="3135" id="{FAF502DE-44D3-4E02-996E-6CB959E634F2}">
            <xm:f>F108=INputs!$S$4</xm:f>
            <x14:dxf>
              <font>
                <color theme="1"/>
              </font>
            </x14:dxf>
          </x14:cfRule>
          <xm:sqref>AB109</xm:sqref>
        </x14:conditionalFormatting>
        <x14:conditionalFormatting xmlns:xm="http://schemas.microsoft.com/office/excel/2006/main">
          <x14:cfRule type="expression" priority="3136" id="{1B45FE53-4DA2-4052-805A-E3930A755FC4}">
            <xm:f>F108=INputs!$S$4</xm:f>
            <x14:dxf>
              <font>
                <color theme="1"/>
              </font>
            </x14:dxf>
          </x14:cfRule>
          <xm:sqref>AB110</xm:sqref>
        </x14:conditionalFormatting>
        <x14:conditionalFormatting xmlns:xm="http://schemas.microsoft.com/office/excel/2006/main">
          <x14:cfRule type="expression" priority="186" id="{B8D7F0CC-D328-465A-A7DF-01E91794B509}">
            <xm:f>F120=INputs!$S$4</xm:f>
            <x14:dxf>
              <font>
                <color theme="0" tint="-0.24994659260841701"/>
              </font>
            </x14:dxf>
          </x14:cfRule>
          <xm:sqref>AB118:AB119</xm:sqref>
        </x14:conditionalFormatting>
        <x14:conditionalFormatting xmlns:xm="http://schemas.microsoft.com/office/excel/2006/main">
          <x14:cfRule type="expression" priority="3072" id="{57B65BD8-590A-45AB-BEC8-96B55A062F4B}">
            <xm:f>F120=INputs!$S$4</xm:f>
            <x14:dxf>
              <font>
                <color theme="1"/>
              </font>
            </x14:dxf>
          </x14:cfRule>
          <xm:sqref>AB120</xm:sqref>
        </x14:conditionalFormatting>
        <x14:conditionalFormatting xmlns:xm="http://schemas.microsoft.com/office/excel/2006/main">
          <x14:cfRule type="expression" priority="3073" id="{49880C2A-FAD0-4A53-A2EE-E877A26DF57F}">
            <xm:f>F120=INputs!$S$4</xm:f>
            <x14:dxf>
              <font>
                <color theme="1"/>
              </font>
            </x14:dxf>
          </x14:cfRule>
          <xm:sqref>AB121</xm:sqref>
        </x14:conditionalFormatting>
        <x14:conditionalFormatting xmlns:xm="http://schemas.microsoft.com/office/excel/2006/main">
          <x14:cfRule type="expression" priority="3074" id="{1A0D122E-A149-47E0-AABF-C13BBDA76A5E}">
            <xm:f>F120=INputs!$S$4</xm:f>
            <x14:dxf>
              <font>
                <color theme="1"/>
              </font>
            </x14:dxf>
          </x14:cfRule>
          <xm:sqref>AB122</xm:sqref>
        </x14:conditionalFormatting>
        <x14:conditionalFormatting xmlns:xm="http://schemas.microsoft.com/office/excel/2006/main">
          <x14:cfRule type="expression" priority="387" id="{A881144D-08B5-4BD5-8B50-BF7562408567}">
            <xm:f>F132=INputs!$S$4</xm:f>
            <x14:dxf>
              <font>
                <color theme="0" tint="-0.24994659260841701"/>
              </font>
            </x14:dxf>
          </x14:cfRule>
          <xm:sqref>AB130:AB131</xm:sqref>
        </x14:conditionalFormatting>
        <x14:conditionalFormatting xmlns:xm="http://schemas.microsoft.com/office/excel/2006/main">
          <x14:cfRule type="expression" priority="3010" id="{F0885A12-E3C6-4211-BB89-18AF3B0AF750}">
            <xm:f>F132=INputs!$S$4</xm:f>
            <x14:dxf>
              <font>
                <color theme="1"/>
              </font>
            </x14:dxf>
          </x14:cfRule>
          <xm:sqref>AB132</xm:sqref>
        </x14:conditionalFormatting>
        <x14:conditionalFormatting xmlns:xm="http://schemas.microsoft.com/office/excel/2006/main">
          <x14:cfRule type="expression" priority="3011" id="{2CCB673E-2C8A-4359-9B60-9A2947A61390}">
            <xm:f>F132=INputs!$S$4</xm:f>
            <x14:dxf>
              <font>
                <color theme="1"/>
              </font>
            </x14:dxf>
          </x14:cfRule>
          <xm:sqref>AB133</xm:sqref>
        </x14:conditionalFormatting>
        <x14:conditionalFormatting xmlns:xm="http://schemas.microsoft.com/office/excel/2006/main">
          <x14:cfRule type="expression" priority="3012" id="{72318BBF-FE0A-49FF-BE04-D4BEE0EB4123}">
            <xm:f>F132=INputs!$S$4</xm:f>
            <x14:dxf>
              <font>
                <color theme="1"/>
              </font>
            </x14:dxf>
          </x14:cfRule>
          <xm:sqref>AB134</xm:sqref>
        </x14:conditionalFormatting>
        <x14:conditionalFormatting xmlns:xm="http://schemas.microsoft.com/office/excel/2006/main">
          <x14:cfRule type="expression" priority="180" id="{B62DA7C6-DC73-4C13-BD2E-9260DC6355C5}">
            <xm:f>F144=INputs!$S$4</xm:f>
            <x14:dxf>
              <font>
                <color theme="0" tint="-0.24994659260841701"/>
              </font>
            </x14:dxf>
          </x14:cfRule>
          <xm:sqref>AB142:AB143</xm:sqref>
        </x14:conditionalFormatting>
        <x14:conditionalFormatting xmlns:xm="http://schemas.microsoft.com/office/excel/2006/main">
          <x14:cfRule type="expression" priority="2948" id="{F5AC2B12-0911-464F-BB9A-79C0FA44F1DD}">
            <xm:f>F144=INputs!$S$4</xm:f>
            <x14:dxf>
              <font>
                <color theme="1"/>
              </font>
            </x14:dxf>
          </x14:cfRule>
          <xm:sqref>AB144</xm:sqref>
        </x14:conditionalFormatting>
        <x14:conditionalFormatting xmlns:xm="http://schemas.microsoft.com/office/excel/2006/main">
          <x14:cfRule type="expression" priority="2949" id="{CE3A2055-533A-4984-B869-DD228EF4C225}">
            <xm:f>F144=INputs!$S$4</xm:f>
            <x14:dxf>
              <font>
                <color theme="1"/>
              </font>
            </x14:dxf>
          </x14:cfRule>
          <xm:sqref>AB145</xm:sqref>
        </x14:conditionalFormatting>
        <x14:conditionalFormatting xmlns:xm="http://schemas.microsoft.com/office/excel/2006/main">
          <x14:cfRule type="expression" priority="2950" id="{BA19BD9D-8F54-480A-A104-140E8AA65E17}">
            <xm:f>F144=INputs!$S$4</xm:f>
            <x14:dxf>
              <font>
                <color theme="1"/>
              </font>
            </x14:dxf>
          </x14:cfRule>
          <xm:sqref>AB146</xm:sqref>
        </x14:conditionalFormatting>
        <x14:conditionalFormatting xmlns:xm="http://schemas.microsoft.com/office/excel/2006/main">
          <x14:cfRule type="expression" priority="177" id="{C86057C2-CACB-4BCE-878A-1521B8359824}">
            <xm:f>F156=INputs!$S$4</xm:f>
            <x14:dxf>
              <font>
                <color theme="0" tint="-0.24994659260841701"/>
              </font>
            </x14:dxf>
          </x14:cfRule>
          <xm:sqref>AB154:AB155</xm:sqref>
        </x14:conditionalFormatting>
        <x14:conditionalFormatting xmlns:xm="http://schemas.microsoft.com/office/excel/2006/main">
          <x14:cfRule type="expression" priority="2886" id="{70A56274-75EC-4EA1-8856-9588F8547ACE}">
            <xm:f>F156=INputs!$S$4</xm:f>
            <x14:dxf>
              <font>
                <color theme="1"/>
              </font>
            </x14:dxf>
          </x14:cfRule>
          <xm:sqref>AB156</xm:sqref>
        </x14:conditionalFormatting>
        <x14:conditionalFormatting xmlns:xm="http://schemas.microsoft.com/office/excel/2006/main">
          <x14:cfRule type="expression" priority="2887" id="{FBE94215-9606-4032-AE73-D02517214DA0}">
            <xm:f>F156=INputs!$S$4</xm:f>
            <x14:dxf>
              <font>
                <color theme="1"/>
              </font>
            </x14:dxf>
          </x14:cfRule>
          <xm:sqref>AB157</xm:sqref>
        </x14:conditionalFormatting>
        <x14:conditionalFormatting xmlns:xm="http://schemas.microsoft.com/office/excel/2006/main">
          <x14:cfRule type="expression" priority="2888" id="{FD0F79E7-ACBF-41BC-ACC2-D19440253B9C}">
            <xm:f>F156=INputs!$S$4</xm:f>
            <x14:dxf>
              <font>
                <color theme="1"/>
              </font>
            </x14:dxf>
          </x14:cfRule>
          <xm:sqref>AB158</xm:sqref>
        </x14:conditionalFormatting>
        <x14:conditionalFormatting xmlns:xm="http://schemas.microsoft.com/office/excel/2006/main">
          <x14:cfRule type="expression" priority="174" id="{8DF88D94-EDD1-42DE-9F1D-8EAB0320748B}">
            <xm:f>F168=INputs!$S$4</xm:f>
            <x14:dxf>
              <font>
                <color theme="0" tint="-0.24994659260841701"/>
              </font>
            </x14:dxf>
          </x14:cfRule>
          <xm:sqref>AB166:AB167</xm:sqref>
        </x14:conditionalFormatting>
        <x14:conditionalFormatting xmlns:xm="http://schemas.microsoft.com/office/excel/2006/main">
          <x14:cfRule type="expression" priority="2824" id="{10D57319-DDD5-44F6-8487-FA663E226911}">
            <xm:f>F168=INputs!$S$4</xm:f>
            <x14:dxf>
              <font>
                <color theme="1"/>
              </font>
            </x14:dxf>
          </x14:cfRule>
          <xm:sqref>AB168</xm:sqref>
        </x14:conditionalFormatting>
        <x14:conditionalFormatting xmlns:xm="http://schemas.microsoft.com/office/excel/2006/main">
          <x14:cfRule type="expression" priority="2825" id="{92A7BCDC-7FE0-4C67-BDCE-E5BAA13D5647}">
            <xm:f>F168=INputs!$S$4</xm:f>
            <x14:dxf>
              <font>
                <color theme="1"/>
              </font>
            </x14:dxf>
          </x14:cfRule>
          <xm:sqref>AB169</xm:sqref>
        </x14:conditionalFormatting>
        <x14:conditionalFormatting xmlns:xm="http://schemas.microsoft.com/office/excel/2006/main">
          <x14:cfRule type="expression" priority="2826" id="{A24A5B5D-159E-482C-825F-284BB7AF40DA}">
            <xm:f>F168=INputs!$S$4</xm:f>
            <x14:dxf>
              <font>
                <color theme="1"/>
              </font>
            </x14:dxf>
          </x14:cfRule>
          <xm:sqref>AB170</xm:sqref>
        </x14:conditionalFormatting>
        <x14:conditionalFormatting xmlns:xm="http://schemas.microsoft.com/office/excel/2006/main">
          <x14:cfRule type="expression" priority="171" id="{A870331C-93B0-4165-8DA3-E26B90AB8C4B}">
            <xm:f>F180=INputs!$S$4</xm:f>
            <x14:dxf>
              <font>
                <color theme="0" tint="-0.24994659260841701"/>
              </font>
            </x14:dxf>
          </x14:cfRule>
          <xm:sqref>AB178:AB179</xm:sqref>
        </x14:conditionalFormatting>
        <x14:conditionalFormatting xmlns:xm="http://schemas.microsoft.com/office/excel/2006/main">
          <x14:cfRule type="expression" priority="2762" id="{39A08FDE-6F0A-44B6-8210-2B038A4AFB83}">
            <xm:f>F180=INputs!$S$4</xm:f>
            <x14:dxf>
              <font>
                <color theme="1"/>
              </font>
            </x14:dxf>
          </x14:cfRule>
          <xm:sqref>AB180</xm:sqref>
        </x14:conditionalFormatting>
        <x14:conditionalFormatting xmlns:xm="http://schemas.microsoft.com/office/excel/2006/main">
          <x14:cfRule type="expression" priority="2763" id="{103A5208-CD51-4664-B273-11D1F7449FA3}">
            <xm:f>F180=INputs!$S$4</xm:f>
            <x14:dxf>
              <font>
                <color theme="1"/>
              </font>
            </x14:dxf>
          </x14:cfRule>
          <xm:sqref>AB181</xm:sqref>
        </x14:conditionalFormatting>
        <x14:conditionalFormatting xmlns:xm="http://schemas.microsoft.com/office/excel/2006/main">
          <x14:cfRule type="expression" priority="2764" id="{A3126235-012A-488D-8407-304C9CC4C936}">
            <xm:f>F180=INputs!$S$4</xm:f>
            <x14:dxf>
              <font>
                <color theme="1"/>
              </font>
            </x14:dxf>
          </x14:cfRule>
          <xm:sqref>AB182</xm:sqref>
        </x14:conditionalFormatting>
        <x14:conditionalFormatting xmlns:xm="http://schemas.microsoft.com/office/excel/2006/main">
          <x14:cfRule type="expression" priority="168" id="{3730CA26-F6AE-4119-A0AF-45E8934EEFE0}">
            <xm:f>F192=INputs!$S$4</xm:f>
            <x14:dxf>
              <font>
                <color theme="0" tint="-0.24994659260841701"/>
              </font>
            </x14:dxf>
          </x14:cfRule>
          <xm:sqref>AB190:AB191</xm:sqref>
        </x14:conditionalFormatting>
        <x14:conditionalFormatting xmlns:xm="http://schemas.microsoft.com/office/excel/2006/main">
          <x14:cfRule type="expression" priority="2700" id="{54302AD9-A559-486F-90AB-0031C5D655DE}">
            <xm:f>F192=INputs!$S$4</xm:f>
            <x14:dxf>
              <font>
                <color theme="1"/>
              </font>
            </x14:dxf>
          </x14:cfRule>
          <xm:sqref>AB192</xm:sqref>
        </x14:conditionalFormatting>
        <x14:conditionalFormatting xmlns:xm="http://schemas.microsoft.com/office/excel/2006/main">
          <x14:cfRule type="expression" priority="2701" id="{ABC2D6E0-6BF1-4E4F-B42B-4A59A9807B1E}">
            <xm:f>F192=INputs!$S$4</xm:f>
            <x14:dxf>
              <font>
                <color theme="1"/>
              </font>
            </x14:dxf>
          </x14:cfRule>
          <xm:sqref>AB193</xm:sqref>
        </x14:conditionalFormatting>
        <x14:conditionalFormatting xmlns:xm="http://schemas.microsoft.com/office/excel/2006/main">
          <x14:cfRule type="expression" priority="2702" id="{5B34E7FA-F3BA-4244-A25E-8AA915182EF3}">
            <xm:f>F192=INputs!$S$4</xm:f>
            <x14:dxf>
              <font>
                <color theme="1"/>
              </font>
            </x14:dxf>
          </x14:cfRule>
          <xm:sqref>AB194</xm:sqref>
        </x14:conditionalFormatting>
        <x14:conditionalFormatting xmlns:xm="http://schemas.microsoft.com/office/excel/2006/main">
          <x14:cfRule type="expression" priority="165" id="{1C1B846F-E4C4-44F1-9BFB-1DB43D5E726A}">
            <xm:f>F204=INputs!$S$4</xm:f>
            <x14:dxf>
              <font>
                <color theme="0" tint="-0.24994659260841701"/>
              </font>
            </x14:dxf>
          </x14:cfRule>
          <xm:sqref>AB202:AB203</xm:sqref>
        </x14:conditionalFormatting>
        <x14:conditionalFormatting xmlns:xm="http://schemas.microsoft.com/office/excel/2006/main">
          <x14:cfRule type="expression" priority="2638" id="{C0A01F5A-5B80-4878-A6DA-2463100310C6}">
            <xm:f>F204=INputs!$S$4</xm:f>
            <x14:dxf>
              <font>
                <color theme="1"/>
              </font>
            </x14:dxf>
          </x14:cfRule>
          <xm:sqref>AB204</xm:sqref>
        </x14:conditionalFormatting>
        <x14:conditionalFormatting xmlns:xm="http://schemas.microsoft.com/office/excel/2006/main">
          <x14:cfRule type="expression" priority="2639" id="{8899ACA2-CBA1-47BC-BEDF-C321AACFB00D}">
            <xm:f>F204=INputs!$S$4</xm:f>
            <x14:dxf>
              <font>
                <color theme="1"/>
              </font>
            </x14:dxf>
          </x14:cfRule>
          <xm:sqref>AB205</xm:sqref>
        </x14:conditionalFormatting>
        <x14:conditionalFormatting xmlns:xm="http://schemas.microsoft.com/office/excel/2006/main">
          <x14:cfRule type="expression" priority="2640" id="{7BE329CA-A991-430C-9B6D-C6CEEBAABC63}">
            <xm:f>F204=INputs!$S$4</xm:f>
            <x14:dxf>
              <font>
                <color theme="1"/>
              </font>
            </x14:dxf>
          </x14:cfRule>
          <xm:sqref>AB206</xm:sqref>
        </x14:conditionalFormatting>
        <x14:conditionalFormatting xmlns:xm="http://schemas.microsoft.com/office/excel/2006/main">
          <x14:cfRule type="expression" priority="162" id="{6C352339-88B0-49D8-A221-B05A9AE1EC5B}">
            <xm:f>F216=INputs!$S$4</xm:f>
            <x14:dxf>
              <font>
                <color theme="0" tint="-0.24994659260841701"/>
              </font>
            </x14:dxf>
          </x14:cfRule>
          <xm:sqref>AB214:AB215</xm:sqref>
        </x14:conditionalFormatting>
        <x14:conditionalFormatting xmlns:xm="http://schemas.microsoft.com/office/excel/2006/main">
          <x14:cfRule type="expression" priority="2576" id="{731701A8-7C89-4278-BC43-579A1E8BA66B}">
            <xm:f>F216=INputs!$S$4</xm:f>
            <x14:dxf>
              <font>
                <color theme="1"/>
              </font>
            </x14:dxf>
          </x14:cfRule>
          <xm:sqref>AB216</xm:sqref>
        </x14:conditionalFormatting>
        <x14:conditionalFormatting xmlns:xm="http://schemas.microsoft.com/office/excel/2006/main">
          <x14:cfRule type="expression" priority="2577" id="{197D2206-E1B5-42F3-8A9B-85CAB1D00FD8}">
            <xm:f>F216=INputs!$S$4</xm:f>
            <x14:dxf>
              <font>
                <color theme="1"/>
              </font>
            </x14:dxf>
          </x14:cfRule>
          <xm:sqref>AB217</xm:sqref>
        </x14:conditionalFormatting>
        <x14:conditionalFormatting xmlns:xm="http://schemas.microsoft.com/office/excel/2006/main">
          <x14:cfRule type="expression" priority="2578" id="{BF82ED9E-097A-4756-88FD-768D813A7EF2}">
            <xm:f>F216=INputs!$S$4</xm:f>
            <x14:dxf>
              <font>
                <color theme="1"/>
              </font>
            </x14:dxf>
          </x14:cfRule>
          <xm:sqref>AB218</xm:sqref>
        </x14:conditionalFormatting>
        <x14:conditionalFormatting xmlns:xm="http://schemas.microsoft.com/office/excel/2006/main">
          <x14:cfRule type="expression" priority="159" id="{FE0D1378-952B-486E-BAEE-3EBCEA4E1803}">
            <xm:f>F228=INputs!$S$4</xm:f>
            <x14:dxf>
              <font>
                <color theme="0" tint="-0.24994659260841701"/>
              </font>
            </x14:dxf>
          </x14:cfRule>
          <xm:sqref>AB226:AB227</xm:sqref>
        </x14:conditionalFormatting>
        <x14:conditionalFormatting xmlns:xm="http://schemas.microsoft.com/office/excel/2006/main">
          <x14:cfRule type="expression" priority="2514" id="{A19A4071-A6E8-44FC-8E85-A0A3DF6B1CF8}">
            <xm:f>F228=INputs!$S$4</xm:f>
            <x14:dxf>
              <font>
                <color theme="1"/>
              </font>
            </x14:dxf>
          </x14:cfRule>
          <xm:sqref>AB228</xm:sqref>
        </x14:conditionalFormatting>
        <x14:conditionalFormatting xmlns:xm="http://schemas.microsoft.com/office/excel/2006/main">
          <x14:cfRule type="expression" priority="2515" id="{57D4BA3D-B02C-4B9B-94FF-6356D45BB4C4}">
            <xm:f>F228=INputs!$S$4</xm:f>
            <x14:dxf>
              <font>
                <color theme="1"/>
              </font>
            </x14:dxf>
          </x14:cfRule>
          <xm:sqref>AB229</xm:sqref>
        </x14:conditionalFormatting>
        <x14:conditionalFormatting xmlns:xm="http://schemas.microsoft.com/office/excel/2006/main">
          <x14:cfRule type="expression" priority="2516" id="{A581AA8F-ADC4-4581-A672-CA32980ABCB5}">
            <xm:f>F228=INputs!$S$4</xm:f>
            <x14:dxf>
              <font>
                <color theme="1"/>
              </font>
            </x14:dxf>
          </x14:cfRule>
          <xm:sqref>AB230</xm:sqref>
        </x14:conditionalFormatting>
        <x14:conditionalFormatting xmlns:xm="http://schemas.microsoft.com/office/excel/2006/main">
          <x14:cfRule type="expression" priority="156" id="{118A99F4-86C6-4E1A-9E57-A64FD9EEC1C7}">
            <xm:f>F240=INputs!$S$4</xm:f>
            <x14:dxf>
              <font>
                <color theme="0" tint="-0.24994659260841701"/>
              </font>
            </x14:dxf>
          </x14:cfRule>
          <xm:sqref>AB238:AB239</xm:sqref>
        </x14:conditionalFormatting>
        <x14:conditionalFormatting xmlns:xm="http://schemas.microsoft.com/office/excel/2006/main">
          <x14:cfRule type="expression" priority="2452" id="{AB23251F-EADC-41B1-B8DF-07B0E18D4846}">
            <xm:f>F240=INputs!$S$4</xm:f>
            <x14:dxf>
              <font>
                <color theme="1"/>
              </font>
            </x14:dxf>
          </x14:cfRule>
          <xm:sqref>AB240</xm:sqref>
        </x14:conditionalFormatting>
        <x14:conditionalFormatting xmlns:xm="http://schemas.microsoft.com/office/excel/2006/main">
          <x14:cfRule type="expression" priority="2453" id="{A45CECDF-966E-4AEF-BB17-8A93DABD6646}">
            <xm:f>F240=INputs!$S$4</xm:f>
            <x14:dxf>
              <font>
                <color theme="1"/>
              </font>
            </x14:dxf>
          </x14:cfRule>
          <xm:sqref>AB241</xm:sqref>
        </x14:conditionalFormatting>
        <x14:conditionalFormatting xmlns:xm="http://schemas.microsoft.com/office/excel/2006/main">
          <x14:cfRule type="expression" priority="2454" id="{E06D70E2-7246-4310-B3A7-5E421413BC1C}">
            <xm:f>F240=INputs!$S$4</xm:f>
            <x14:dxf>
              <font>
                <color theme="1"/>
              </font>
            </x14:dxf>
          </x14:cfRule>
          <xm:sqref>AB242</xm:sqref>
        </x14:conditionalFormatting>
        <x14:conditionalFormatting xmlns:xm="http://schemas.microsoft.com/office/excel/2006/main">
          <x14:cfRule type="expression" priority="3739" id="{20B6100C-6E73-4936-BEF0-EC199964ED06}">
            <xm:f>F12=INputs!$S$4</xm:f>
            <x14:dxf>
              <font>
                <color theme="1"/>
              </font>
            </x14:dxf>
          </x14:cfRule>
          <xm:sqref>AC12:AD12</xm:sqref>
        </x14:conditionalFormatting>
        <x14:conditionalFormatting xmlns:xm="http://schemas.microsoft.com/office/excel/2006/main">
          <x14:cfRule type="expression" priority="3738" id="{40319D90-0753-4B78-90F2-09E55C668926}">
            <xm:f>F12=INputs!$S$4</xm:f>
            <x14:dxf>
              <font>
                <color theme="1"/>
              </font>
            </x14:dxf>
          </x14:cfRule>
          <xm:sqref>AC14:AD14</xm:sqref>
        </x14:conditionalFormatting>
        <x14:conditionalFormatting xmlns:xm="http://schemas.microsoft.com/office/excel/2006/main">
          <x14:cfRule type="expression" priority="3599" id="{CBC5ED21-3761-4EE9-881D-9BF0282EF2C1}">
            <xm:f>F24=INputs!$S$4</xm:f>
            <x14:dxf>
              <font>
                <color theme="1"/>
              </font>
            </x14:dxf>
          </x14:cfRule>
          <xm:sqref>AC24:AD24</xm:sqref>
        </x14:conditionalFormatting>
        <x14:conditionalFormatting xmlns:xm="http://schemas.microsoft.com/office/excel/2006/main">
          <x14:cfRule type="expression" priority="3598" id="{631DAF01-5598-489D-9688-D705A728AF5F}">
            <xm:f>F24=INputs!$S$4</xm:f>
            <x14:dxf>
              <font>
                <color theme="1"/>
              </font>
            </x14:dxf>
          </x14:cfRule>
          <xm:sqref>AC26:AD26</xm:sqref>
        </x14:conditionalFormatting>
        <x14:conditionalFormatting xmlns:xm="http://schemas.microsoft.com/office/excel/2006/main">
          <x14:cfRule type="expression" priority="3536" id="{54614DA6-F465-485B-9065-924848A4E197}">
            <xm:f>F36=INputs!$S$4</xm:f>
            <x14:dxf>
              <font>
                <color theme="1"/>
              </font>
            </x14:dxf>
          </x14:cfRule>
          <xm:sqref>AC36:AD36</xm:sqref>
        </x14:conditionalFormatting>
        <x14:conditionalFormatting xmlns:xm="http://schemas.microsoft.com/office/excel/2006/main">
          <x14:cfRule type="expression" priority="3535" id="{D35390F5-864E-4944-B38F-E9AA94BD2CC8}">
            <xm:f>F36=INputs!$S$4</xm:f>
            <x14:dxf>
              <font>
                <color theme="1"/>
              </font>
            </x14:dxf>
          </x14:cfRule>
          <xm:sqref>AC38:AD38</xm:sqref>
        </x14:conditionalFormatting>
        <x14:conditionalFormatting xmlns:xm="http://schemas.microsoft.com/office/excel/2006/main">
          <x14:cfRule type="expression" priority="3474" id="{23EB9FF0-387B-4486-9169-75EDA7CE365D}">
            <xm:f>F48=INputs!$S$4</xm:f>
            <x14:dxf>
              <font>
                <color theme="1"/>
              </font>
            </x14:dxf>
          </x14:cfRule>
          <xm:sqref>AC48:AD48</xm:sqref>
        </x14:conditionalFormatting>
        <x14:conditionalFormatting xmlns:xm="http://schemas.microsoft.com/office/excel/2006/main">
          <x14:cfRule type="expression" priority="3473" id="{08B91D6A-C14E-4DDC-A9D8-F2B007E7C0EF}">
            <xm:f>F48=INputs!$S$4</xm:f>
            <x14:dxf>
              <font>
                <color theme="1"/>
              </font>
            </x14:dxf>
          </x14:cfRule>
          <xm:sqref>AC50:AD50</xm:sqref>
        </x14:conditionalFormatting>
        <x14:conditionalFormatting xmlns:xm="http://schemas.microsoft.com/office/excel/2006/main">
          <x14:cfRule type="expression" priority="3412" id="{571A5058-2403-424D-9482-707711D1054A}">
            <xm:f>F60=INputs!$S$4</xm:f>
            <x14:dxf>
              <font>
                <color theme="1"/>
              </font>
            </x14:dxf>
          </x14:cfRule>
          <xm:sqref>AC60:AD60</xm:sqref>
        </x14:conditionalFormatting>
        <x14:conditionalFormatting xmlns:xm="http://schemas.microsoft.com/office/excel/2006/main">
          <x14:cfRule type="expression" priority="3411" id="{2157CF3C-EE6B-47CB-823A-13437A038885}">
            <xm:f>F60=INputs!$S$4</xm:f>
            <x14:dxf>
              <font>
                <color theme="1"/>
              </font>
            </x14:dxf>
          </x14:cfRule>
          <xm:sqref>AC62:AD62</xm:sqref>
        </x14:conditionalFormatting>
        <x14:conditionalFormatting xmlns:xm="http://schemas.microsoft.com/office/excel/2006/main">
          <x14:cfRule type="expression" priority="3350" id="{6CFA21B5-7676-4157-819C-720065189820}">
            <xm:f>F72=INputs!$S$4</xm:f>
            <x14:dxf>
              <font>
                <color theme="1"/>
              </font>
            </x14:dxf>
          </x14:cfRule>
          <xm:sqref>AC72:AD72</xm:sqref>
        </x14:conditionalFormatting>
        <x14:conditionalFormatting xmlns:xm="http://schemas.microsoft.com/office/excel/2006/main">
          <x14:cfRule type="expression" priority="3349" id="{6C7B7BF7-2760-47B2-B313-F9A7E70455EF}">
            <xm:f>F72=INputs!$S$4</xm:f>
            <x14:dxf>
              <font>
                <color theme="1"/>
              </font>
            </x14:dxf>
          </x14:cfRule>
          <xm:sqref>AC74:AD74</xm:sqref>
        </x14:conditionalFormatting>
        <x14:conditionalFormatting xmlns:xm="http://schemas.microsoft.com/office/excel/2006/main">
          <x14:cfRule type="expression" priority="3288" id="{8949C329-F808-4346-A15B-28D46B254B1E}">
            <xm:f>F84=INputs!$S$4</xm:f>
            <x14:dxf>
              <font>
                <color theme="1"/>
              </font>
            </x14:dxf>
          </x14:cfRule>
          <xm:sqref>AC84:AD84</xm:sqref>
        </x14:conditionalFormatting>
        <x14:conditionalFormatting xmlns:xm="http://schemas.microsoft.com/office/excel/2006/main">
          <x14:cfRule type="expression" priority="3287" id="{64A83DD3-FFCC-4D7C-9817-7CB06F8F66DC}">
            <xm:f>F84=INputs!$S$4</xm:f>
            <x14:dxf>
              <font>
                <color theme="1"/>
              </font>
            </x14:dxf>
          </x14:cfRule>
          <xm:sqref>AC86:AD86</xm:sqref>
        </x14:conditionalFormatting>
        <x14:conditionalFormatting xmlns:xm="http://schemas.microsoft.com/office/excel/2006/main">
          <x14:cfRule type="expression" priority="3226" id="{D68385B6-2764-46A0-846B-93228FF159AC}">
            <xm:f>F96=INputs!$S$4</xm:f>
            <x14:dxf>
              <font>
                <color theme="1"/>
              </font>
            </x14:dxf>
          </x14:cfRule>
          <xm:sqref>AC96:AD96</xm:sqref>
        </x14:conditionalFormatting>
        <x14:conditionalFormatting xmlns:xm="http://schemas.microsoft.com/office/excel/2006/main">
          <x14:cfRule type="expression" priority="3225" id="{21FFA0CA-DB65-4378-AA44-2E247E9CDBB9}">
            <xm:f>F96=INputs!$S$4</xm:f>
            <x14:dxf>
              <font>
                <color theme="1"/>
              </font>
            </x14:dxf>
          </x14:cfRule>
          <xm:sqref>AC98:AD98</xm:sqref>
        </x14:conditionalFormatting>
        <x14:conditionalFormatting xmlns:xm="http://schemas.microsoft.com/office/excel/2006/main">
          <x14:cfRule type="expression" priority="3138" id="{6D119F3F-05EC-472A-8A08-33071BCC6950}">
            <xm:f>F108=INputs!$S$4</xm:f>
            <x14:dxf>
              <font>
                <color theme="1"/>
              </font>
            </x14:dxf>
          </x14:cfRule>
          <xm:sqref>AC108:AD108</xm:sqref>
        </x14:conditionalFormatting>
        <x14:conditionalFormatting xmlns:xm="http://schemas.microsoft.com/office/excel/2006/main">
          <x14:cfRule type="expression" priority="3137" id="{C46A474D-7B32-421C-917E-85BA7834BD42}">
            <xm:f>F108=INputs!$S$4</xm:f>
            <x14:dxf>
              <font>
                <color theme="1"/>
              </font>
            </x14:dxf>
          </x14:cfRule>
          <xm:sqref>AC110:AD110</xm:sqref>
        </x14:conditionalFormatting>
        <x14:conditionalFormatting xmlns:xm="http://schemas.microsoft.com/office/excel/2006/main">
          <x14:cfRule type="expression" priority="3076" id="{707A115A-E98F-4C12-B223-5C685ACE879B}">
            <xm:f>F120=INputs!$S$4</xm:f>
            <x14:dxf>
              <font>
                <color theme="1"/>
              </font>
            </x14:dxf>
          </x14:cfRule>
          <xm:sqref>AC120:AD120</xm:sqref>
        </x14:conditionalFormatting>
        <x14:conditionalFormatting xmlns:xm="http://schemas.microsoft.com/office/excel/2006/main">
          <x14:cfRule type="expression" priority="3075" id="{42BA3031-A8F9-47B8-92FA-037D41B68DA4}">
            <xm:f>F120=INputs!$S$4</xm:f>
            <x14:dxf>
              <font>
                <color theme="1"/>
              </font>
            </x14:dxf>
          </x14:cfRule>
          <xm:sqref>AC122:AD122</xm:sqref>
        </x14:conditionalFormatting>
        <x14:conditionalFormatting xmlns:xm="http://schemas.microsoft.com/office/excel/2006/main">
          <x14:cfRule type="expression" priority="3014" id="{D3837503-04CF-46EB-9DCE-164CA87656AC}">
            <xm:f>F132=INputs!$S$4</xm:f>
            <x14:dxf>
              <font>
                <color theme="1"/>
              </font>
            </x14:dxf>
          </x14:cfRule>
          <xm:sqref>AC132:AD132</xm:sqref>
        </x14:conditionalFormatting>
        <x14:conditionalFormatting xmlns:xm="http://schemas.microsoft.com/office/excel/2006/main">
          <x14:cfRule type="expression" priority="3013" id="{884F6447-DD85-4A9A-ABC9-C56837E7A126}">
            <xm:f>F132=INputs!$S$4</xm:f>
            <x14:dxf>
              <font>
                <color theme="1"/>
              </font>
            </x14:dxf>
          </x14:cfRule>
          <xm:sqref>AC134:AD134</xm:sqref>
        </x14:conditionalFormatting>
        <x14:conditionalFormatting xmlns:xm="http://schemas.microsoft.com/office/excel/2006/main">
          <x14:cfRule type="expression" priority="2952" id="{5E354CAB-48C4-4A9E-BFEA-BB4F384ADEEA}">
            <xm:f>F144=INputs!$S$4</xm:f>
            <x14:dxf>
              <font>
                <color theme="1"/>
              </font>
            </x14:dxf>
          </x14:cfRule>
          <xm:sqref>AC144:AD144</xm:sqref>
        </x14:conditionalFormatting>
        <x14:conditionalFormatting xmlns:xm="http://schemas.microsoft.com/office/excel/2006/main">
          <x14:cfRule type="expression" priority="2951" id="{4B67309B-0104-4E72-A238-DCB32F14DB87}">
            <xm:f>F144=INputs!$S$4</xm:f>
            <x14:dxf>
              <font>
                <color theme="1"/>
              </font>
            </x14:dxf>
          </x14:cfRule>
          <xm:sqref>AC146:AD146</xm:sqref>
        </x14:conditionalFormatting>
        <x14:conditionalFormatting xmlns:xm="http://schemas.microsoft.com/office/excel/2006/main">
          <x14:cfRule type="expression" priority="2890" id="{7AC7EBD9-9E0B-42E0-881D-A1A71AB2F1CE}">
            <xm:f>F156=INputs!$S$4</xm:f>
            <x14:dxf>
              <font>
                <color theme="1"/>
              </font>
            </x14:dxf>
          </x14:cfRule>
          <xm:sqref>AC156:AD156</xm:sqref>
        </x14:conditionalFormatting>
        <x14:conditionalFormatting xmlns:xm="http://schemas.microsoft.com/office/excel/2006/main">
          <x14:cfRule type="expression" priority="2889" id="{C211528E-36A9-49AD-B569-AAB7F0956D60}">
            <xm:f>F156=INputs!$S$4</xm:f>
            <x14:dxf>
              <font>
                <color theme="1"/>
              </font>
            </x14:dxf>
          </x14:cfRule>
          <xm:sqref>AC158:AD158</xm:sqref>
        </x14:conditionalFormatting>
        <x14:conditionalFormatting xmlns:xm="http://schemas.microsoft.com/office/excel/2006/main">
          <x14:cfRule type="expression" priority="2828" id="{91E260F0-C085-4D80-A398-BFB418CF5E94}">
            <xm:f>F168=INputs!$S$4</xm:f>
            <x14:dxf>
              <font>
                <color theme="1"/>
              </font>
            </x14:dxf>
          </x14:cfRule>
          <xm:sqref>AC168:AD168</xm:sqref>
        </x14:conditionalFormatting>
        <x14:conditionalFormatting xmlns:xm="http://schemas.microsoft.com/office/excel/2006/main">
          <x14:cfRule type="expression" priority="2827" id="{1DD688B0-4ADF-455C-83B0-575B8017A8EF}">
            <xm:f>F168=INputs!$S$4</xm:f>
            <x14:dxf>
              <font>
                <color theme="1"/>
              </font>
            </x14:dxf>
          </x14:cfRule>
          <xm:sqref>AC170:AD170</xm:sqref>
        </x14:conditionalFormatting>
        <x14:conditionalFormatting xmlns:xm="http://schemas.microsoft.com/office/excel/2006/main">
          <x14:cfRule type="expression" priority="2766" id="{4B30F904-1DC0-4595-AEE9-10AD67757480}">
            <xm:f>F180=INputs!$S$4</xm:f>
            <x14:dxf>
              <font>
                <color theme="1"/>
              </font>
            </x14:dxf>
          </x14:cfRule>
          <xm:sqref>AC180:AD180</xm:sqref>
        </x14:conditionalFormatting>
        <x14:conditionalFormatting xmlns:xm="http://schemas.microsoft.com/office/excel/2006/main">
          <x14:cfRule type="expression" priority="2765" id="{AFA804A7-2DC5-4FAC-94C7-73A4B90CBF11}">
            <xm:f>F180=INputs!$S$4</xm:f>
            <x14:dxf>
              <font>
                <color theme="1"/>
              </font>
            </x14:dxf>
          </x14:cfRule>
          <xm:sqref>AC182:AD182</xm:sqref>
        </x14:conditionalFormatting>
        <x14:conditionalFormatting xmlns:xm="http://schemas.microsoft.com/office/excel/2006/main">
          <x14:cfRule type="expression" priority="2704" id="{DEFEBDED-19D7-4C57-A7BB-9300F0EF0C28}">
            <xm:f>F192=INputs!$S$4</xm:f>
            <x14:dxf>
              <font>
                <color theme="1"/>
              </font>
            </x14:dxf>
          </x14:cfRule>
          <xm:sqref>AC192:AD192</xm:sqref>
        </x14:conditionalFormatting>
        <x14:conditionalFormatting xmlns:xm="http://schemas.microsoft.com/office/excel/2006/main">
          <x14:cfRule type="expression" priority="2703" id="{B8E4FCA5-07DA-451B-B14A-1A2A84B077E7}">
            <xm:f>F192=INputs!$S$4</xm:f>
            <x14:dxf>
              <font>
                <color theme="1"/>
              </font>
            </x14:dxf>
          </x14:cfRule>
          <xm:sqref>AC194:AD194</xm:sqref>
        </x14:conditionalFormatting>
        <x14:conditionalFormatting xmlns:xm="http://schemas.microsoft.com/office/excel/2006/main">
          <x14:cfRule type="expression" priority="2642" id="{6569C06D-48F5-477A-B9F5-936EB0516CA3}">
            <xm:f>F204=INputs!$S$4</xm:f>
            <x14:dxf>
              <font>
                <color theme="1"/>
              </font>
            </x14:dxf>
          </x14:cfRule>
          <xm:sqref>AC204:AD204</xm:sqref>
        </x14:conditionalFormatting>
        <x14:conditionalFormatting xmlns:xm="http://schemas.microsoft.com/office/excel/2006/main">
          <x14:cfRule type="expression" priority="2641" id="{7F503794-DAFC-4733-89A9-6260237035AE}">
            <xm:f>F204=INputs!$S$4</xm:f>
            <x14:dxf>
              <font>
                <color theme="1"/>
              </font>
            </x14:dxf>
          </x14:cfRule>
          <xm:sqref>AC206:AD206</xm:sqref>
        </x14:conditionalFormatting>
        <x14:conditionalFormatting xmlns:xm="http://schemas.microsoft.com/office/excel/2006/main">
          <x14:cfRule type="expression" priority="2580" id="{B0B1626A-CB2B-48D5-9ACF-0D4F95603F48}">
            <xm:f>F216=INputs!$S$4</xm:f>
            <x14:dxf>
              <font>
                <color theme="1"/>
              </font>
            </x14:dxf>
          </x14:cfRule>
          <xm:sqref>AC216:AD216</xm:sqref>
        </x14:conditionalFormatting>
        <x14:conditionalFormatting xmlns:xm="http://schemas.microsoft.com/office/excel/2006/main">
          <x14:cfRule type="expression" priority="2579" id="{218EBC92-CC62-4A06-A116-49733B7108C5}">
            <xm:f>F216=INputs!$S$4</xm:f>
            <x14:dxf>
              <font>
                <color theme="1"/>
              </font>
            </x14:dxf>
          </x14:cfRule>
          <xm:sqref>AC218:AD218</xm:sqref>
        </x14:conditionalFormatting>
        <x14:conditionalFormatting xmlns:xm="http://schemas.microsoft.com/office/excel/2006/main">
          <x14:cfRule type="expression" priority="2518" id="{A8A40A1B-91D6-4693-8F75-696EF2BA50AF}">
            <xm:f>F228=INputs!$S$4</xm:f>
            <x14:dxf>
              <font>
                <color theme="1"/>
              </font>
            </x14:dxf>
          </x14:cfRule>
          <xm:sqref>AC228:AD228</xm:sqref>
        </x14:conditionalFormatting>
        <x14:conditionalFormatting xmlns:xm="http://schemas.microsoft.com/office/excel/2006/main">
          <x14:cfRule type="expression" priority="2517" id="{09A88215-16B9-4779-97BF-D0CBD1B17F6C}">
            <xm:f>F228=INputs!$S$4</xm:f>
            <x14:dxf>
              <font>
                <color theme="1"/>
              </font>
            </x14:dxf>
          </x14:cfRule>
          <xm:sqref>AC230:AD230</xm:sqref>
        </x14:conditionalFormatting>
        <x14:conditionalFormatting xmlns:xm="http://schemas.microsoft.com/office/excel/2006/main">
          <x14:cfRule type="expression" priority="2456" id="{0231A71F-1914-4DB0-BD46-4C1BE192059C}">
            <xm:f>F240=INputs!$S$4</xm:f>
            <x14:dxf>
              <font>
                <color theme="1"/>
              </font>
            </x14:dxf>
          </x14:cfRule>
          <xm:sqref>AC240:AD240</xm:sqref>
        </x14:conditionalFormatting>
        <x14:conditionalFormatting xmlns:xm="http://schemas.microsoft.com/office/excel/2006/main">
          <x14:cfRule type="expression" priority="2455" id="{AFAC30E3-F3E5-4B86-9D0D-7C2146D1DEDE}">
            <xm:f>F240=INputs!$S$4</xm:f>
            <x14:dxf>
              <font>
                <color theme="1"/>
              </font>
            </x14:dxf>
          </x14:cfRule>
          <xm:sqref>AC242:AD242</xm:sqref>
        </x14:conditionalFormatting>
        <x14:conditionalFormatting xmlns:xm="http://schemas.microsoft.com/office/excel/2006/main">
          <x14:cfRule type="expression" priority="3612" id="{CE791116-8365-4509-A2B3-F6EBBBD214FD}">
            <xm:f>OR(AC14=INputs!$BB$3,AC14=INputs!$BB$4)</xm:f>
            <x14:dxf>
              <font>
                <color theme="1"/>
              </font>
              <border>
                <left style="thin">
                  <color auto="1"/>
                </left>
                <right style="thin">
                  <color auto="1"/>
                </right>
                <top style="thin">
                  <color auto="1"/>
                </top>
                <bottom style="thin">
                  <color auto="1"/>
                </bottom>
                <vertical/>
                <horizontal/>
              </border>
            </x14:dxf>
          </x14:cfRule>
          <xm:sqref>AE14:AE15</xm:sqref>
        </x14:conditionalFormatting>
        <x14:conditionalFormatting xmlns:xm="http://schemas.microsoft.com/office/excel/2006/main">
          <x14:cfRule type="expression" priority="3550" id="{93961A1B-7369-4346-83B8-456A49A381D4}">
            <xm:f>OR(AC26=INputs!$BB$3,AC26=INputs!$BB$4)</xm:f>
            <x14:dxf>
              <font>
                <color theme="1"/>
              </font>
              <border>
                <left style="thin">
                  <color auto="1"/>
                </left>
                <right style="thin">
                  <color auto="1"/>
                </right>
                <top style="thin">
                  <color auto="1"/>
                </top>
                <bottom style="thin">
                  <color auto="1"/>
                </bottom>
                <vertical/>
                <horizontal/>
              </border>
            </x14:dxf>
          </x14:cfRule>
          <xm:sqref>AE26:AE27</xm:sqref>
        </x14:conditionalFormatting>
        <x14:conditionalFormatting xmlns:xm="http://schemas.microsoft.com/office/excel/2006/main">
          <x14:cfRule type="expression" priority="3487" id="{3BD9E8BE-7976-4FA7-8F24-8553849DE448}">
            <xm:f>OR(AC38=INputs!$BB$3,AC38=INputs!$BB$4)</xm:f>
            <x14:dxf>
              <font>
                <color theme="1"/>
              </font>
              <border>
                <left style="thin">
                  <color auto="1"/>
                </left>
                <right style="thin">
                  <color auto="1"/>
                </right>
                <top style="thin">
                  <color auto="1"/>
                </top>
                <bottom style="thin">
                  <color auto="1"/>
                </bottom>
                <vertical/>
                <horizontal/>
              </border>
            </x14:dxf>
          </x14:cfRule>
          <xm:sqref>AE38:AE39</xm:sqref>
        </x14:conditionalFormatting>
        <x14:conditionalFormatting xmlns:xm="http://schemas.microsoft.com/office/excel/2006/main">
          <x14:cfRule type="expression" priority="3425" id="{C2B46585-26A1-47C9-B9ED-97440CC2659F}">
            <xm:f>OR(AC50=INputs!$BB$3,AC50=INputs!$BB$4)</xm:f>
            <x14:dxf>
              <font>
                <color theme="1"/>
              </font>
              <border>
                <left style="thin">
                  <color auto="1"/>
                </left>
                <right style="thin">
                  <color auto="1"/>
                </right>
                <top style="thin">
                  <color auto="1"/>
                </top>
                <bottom style="thin">
                  <color auto="1"/>
                </bottom>
                <vertical/>
                <horizontal/>
              </border>
            </x14:dxf>
          </x14:cfRule>
          <xm:sqref>AE50:AE51</xm:sqref>
        </x14:conditionalFormatting>
        <x14:conditionalFormatting xmlns:xm="http://schemas.microsoft.com/office/excel/2006/main">
          <x14:cfRule type="expression" priority="3363" id="{1E1E8257-AEDA-44C5-9097-0C89E8FE5954}">
            <xm:f>OR(AC62=INputs!$BB$3,AC62=INputs!$BB$4)</xm:f>
            <x14:dxf>
              <font>
                <color theme="1"/>
              </font>
              <border>
                <left style="thin">
                  <color auto="1"/>
                </left>
                <right style="thin">
                  <color auto="1"/>
                </right>
                <top style="thin">
                  <color auto="1"/>
                </top>
                <bottom style="thin">
                  <color auto="1"/>
                </bottom>
                <vertical/>
                <horizontal/>
              </border>
            </x14:dxf>
          </x14:cfRule>
          <xm:sqref>AE62:AE63</xm:sqref>
        </x14:conditionalFormatting>
        <x14:conditionalFormatting xmlns:xm="http://schemas.microsoft.com/office/excel/2006/main">
          <x14:cfRule type="expression" priority="3301" id="{0A185E90-9589-48B6-9B78-75D4AC9BE6D6}">
            <xm:f>OR(AC74=INputs!$BB$3,AC74=INputs!$BB$4)</xm:f>
            <x14:dxf>
              <font>
                <color theme="1"/>
              </font>
              <border>
                <left style="thin">
                  <color auto="1"/>
                </left>
                <right style="thin">
                  <color auto="1"/>
                </right>
                <top style="thin">
                  <color auto="1"/>
                </top>
                <bottom style="thin">
                  <color auto="1"/>
                </bottom>
                <vertical/>
                <horizontal/>
              </border>
            </x14:dxf>
          </x14:cfRule>
          <xm:sqref>AE74:AE75</xm:sqref>
        </x14:conditionalFormatting>
        <x14:conditionalFormatting xmlns:xm="http://schemas.microsoft.com/office/excel/2006/main">
          <x14:cfRule type="expression" priority="3239" id="{71072F5F-DAA5-4A9A-A4B7-60F7E3FD5917}">
            <xm:f>OR(AC86=INputs!$BB$3,AC86=INputs!$BB$4)</xm:f>
            <x14:dxf>
              <font>
                <color theme="1"/>
              </font>
              <border>
                <left style="thin">
                  <color auto="1"/>
                </left>
                <right style="thin">
                  <color auto="1"/>
                </right>
                <top style="thin">
                  <color auto="1"/>
                </top>
                <bottom style="thin">
                  <color auto="1"/>
                </bottom>
                <vertical/>
                <horizontal/>
              </border>
            </x14:dxf>
          </x14:cfRule>
          <xm:sqref>AE86:AE87</xm:sqref>
        </x14:conditionalFormatting>
        <x14:conditionalFormatting xmlns:xm="http://schemas.microsoft.com/office/excel/2006/main">
          <x14:cfRule type="expression" priority="3177" id="{29625B08-55D1-4C2F-AF34-7B49DAFD593F}">
            <xm:f>OR(AC98=INputs!$BB$3,AC98=INputs!$BB$4)</xm:f>
            <x14:dxf>
              <font>
                <color theme="1"/>
              </font>
              <border>
                <left style="thin">
                  <color auto="1"/>
                </left>
                <right style="thin">
                  <color auto="1"/>
                </right>
                <top style="thin">
                  <color auto="1"/>
                </top>
                <bottom style="thin">
                  <color auto="1"/>
                </bottom>
                <vertical/>
                <horizontal/>
              </border>
            </x14:dxf>
          </x14:cfRule>
          <xm:sqref>AE98:AE99</xm:sqref>
        </x14:conditionalFormatting>
        <x14:conditionalFormatting xmlns:xm="http://schemas.microsoft.com/office/excel/2006/main">
          <x14:cfRule type="expression" priority="3095" id="{A6ED2B9D-6ED2-4BC7-83C2-82C63EC2A811}">
            <xm:f>OR(AC110=INputs!$BB$3,AC110=INputs!$BB$4)</xm:f>
            <x14:dxf>
              <font>
                <color theme="1"/>
              </font>
              <border>
                <left style="thin">
                  <color auto="1"/>
                </left>
                <right style="thin">
                  <color auto="1"/>
                </right>
                <top style="thin">
                  <color auto="1"/>
                </top>
                <bottom style="thin">
                  <color auto="1"/>
                </bottom>
                <vertical/>
                <horizontal/>
              </border>
            </x14:dxf>
          </x14:cfRule>
          <xm:sqref>AE110:AE111</xm:sqref>
        </x14:conditionalFormatting>
        <x14:conditionalFormatting xmlns:xm="http://schemas.microsoft.com/office/excel/2006/main">
          <x14:cfRule type="expression" priority="3033" id="{5F53C0D7-5B49-4291-8C84-BDDE5C37433D}">
            <xm:f>OR(AC122=INputs!$BB$3,AC122=INputs!$BB$4)</xm:f>
            <x14:dxf>
              <font>
                <color theme="1"/>
              </font>
              <border>
                <left style="thin">
                  <color auto="1"/>
                </left>
                <right style="thin">
                  <color auto="1"/>
                </right>
                <top style="thin">
                  <color auto="1"/>
                </top>
                <bottom style="thin">
                  <color auto="1"/>
                </bottom>
                <vertical/>
                <horizontal/>
              </border>
            </x14:dxf>
          </x14:cfRule>
          <xm:sqref>AE122:AE123</xm:sqref>
        </x14:conditionalFormatting>
        <x14:conditionalFormatting xmlns:xm="http://schemas.microsoft.com/office/excel/2006/main">
          <x14:cfRule type="expression" priority="2971" id="{1DE8D1AA-C49C-4E84-95F9-11FA384CC05B}">
            <xm:f>OR(AC134=INputs!$BB$3,AC134=INputs!$BB$4)</xm:f>
            <x14:dxf>
              <font>
                <color theme="1"/>
              </font>
              <border>
                <left style="thin">
                  <color auto="1"/>
                </left>
                <right style="thin">
                  <color auto="1"/>
                </right>
                <top style="thin">
                  <color auto="1"/>
                </top>
                <bottom style="thin">
                  <color auto="1"/>
                </bottom>
                <vertical/>
                <horizontal/>
              </border>
            </x14:dxf>
          </x14:cfRule>
          <xm:sqref>AE134:AE135</xm:sqref>
        </x14:conditionalFormatting>
        <x14:conditionalFormatting xmlns:xm="http://schemas.microsoft.com/office/excel/2006/main">
          <x14:cfRule type="expression" priority="2909" id="{05CD8A98-0D45-4E43-B0A4-965298E0F655}">
            <xm:f>OR(AC146=INputs!$BB$3,AC146=INputs!$BB$4)</xm:f>
            <x14:dxf>
              <font>
                <color theme="1"/>
              </font>
              <border>
                <left style="thin">
                  <color auto="1"/>
                </left>
                <right style="thin">
                  <color auto="1"/>
                </right>
                <top style="thin">
                  <color auto="1"/>
                </top>
                <bottom style="thin">
                  <color auto="1"/>
                </bottom>
                <vertical/>
                <horizontal/>
              </border>
            </x14:dxf>
          </x14:cfRule>
          <xm:sqref>AE146:AE147</xm:sqref>
        </x14:conditionalFormatting>
        <x14:conditionalFormatting xmlns:xm="http://schemas.microsoft.com/office/excel/2006/main">
          <x14:cfRule type="expression" priority="2847" id="{7526CD5B-A0AE-4EA7-9800-DE44CC23BA42}">
            <xm:f>OR(AC158=INputs!$BB$3,AC158=INputs!$BB$4)</xm:f>
            <x14:dxf>
              <font>
                <color theme="1"/>
              </font>
              <border>
                <left style="thin">
                  <color auto="1"/>
                </left>
                <right style="thin">
                  <color auto="1"/>
                </right>
                <top style="thin">
                  <color auto="1"/>
                </top>
                <bottom style="thin">
                  <color auto="1"/>
                </bottom>
                <vertical/>
                <horizontal/>
              </border>
            </x14:dxf>
          </x14:cfRule>
          <xm:sqref>AE158:AE159</xm:sqref>
        </x14:conditionalFormatting>
        <x14:conditionalFormatting xmlns:xm="http://schemas.microsoft.com/office/excel/2006/main">
          <x14:cfRule type="expression" priority="2785" id="{D5894543-A7A0-4226-A8DF-6B78EDB812D0}">
            <xm:f>OR(AC170=INputs!$BB$3,AC170=INputs!$BB$4)</xm:f>
            <x14:dxf>
              <font>
                <color theme="1"/>
              </font>
              <border>
                <left style="thin">
                  <color auto="1"/>
                </left>
                <right style="thin">
                  <color auto="1"/>
                </right>
                <top style="thin">
                  <color auto="1"/>
                </top>
                <bottom style="thin">
                  <color auto="1"/>
                </bottom>
                <vertical/>
                <horizontal/>
              </border>
            </x14:dxf>
          </x14:cfRule>
          <xm:sqref>AE170:AE171</xm:sqref>
        </x14:conditionalFormatting>
        <x14:conditionalFormatting xmlns:xm="http://schemas.microsoft.com/office/excel/2006/main">
          <x14:cfRule type="expression" priority="2723" id="{2655150F-E19A-48FE-80B8-D20B2E2DDFAD}">
            <xm:f>OR(AC182=INputs!$BB$3,AC182=INputs!$BB$4)</xm:f>
            <x14:dxf>
              <font>
                <color theme="1"/>
              </font>
              <border>
                <left style="thin">
                  <color auto="1"/>
                </left>
                <right style="thin">
                  <color auto="1"/>
                </right>
                <top style="thin">
                  <color auto="1"/>
                </top>
                <bottom style="thin">
                  <color auto="1"/>
                </bottom>
                <vertical/>
                <horizontal/>
              </border>
            </x14:dxf>
          </x14:cfRule>
          <xm:sqref>AE182:AE183</xm:sqref>
        </x14:conditionalFormatting>
        <x14:conditionalFormatting xmlns:xm="http://schemas.microsoft.com/office/excel/2006/main">
          <x14:cfRule type="expression" priority="2661" id="{CAF9C065-4891-4DDA-B219-62BDE0EB8409}">
            <xm:f>OR(AC194=INputs!$BB$3,AC194=INputs!$BB$4)</xm:f>
            <x14:dxf>
              <font>
                <color theme="1"/>
              </font>
              <border>
                <left style="thin">
                  <color auto="1"/>
                </left>
                <right style="thin">
                  <color auto="1"/>
                </right>
                <top style="thin">
                  <color auto="1"/>
                </top>
                <bottom style="thin">
                  <color auto="1"/>
                </bottom>
                <vertical/>
                <horizontal/>
              </border>
            </x14:dxf>
          </x14:cfRule>
          <xm:sqref>AE194:AE195</xm:sqref>
        </x14:conditionalFormatting>
        <x14:conditionalFormatting xmlns:xm="http://schemas.microsoft.com/office/excel/2006/main">
          <x14:cfRule type="expression" priority="2599" id="{C5F3BF92-899C-47B9-BA97-3ED545E66CDD}">
            <xm:f>OR(AC206=INputs!$BB$3,AC206=INputs!$BB$4)</xm:f>
            <x14:dxf>
              <font>
                <color theme="1"/>
              </font>
              <border>
                <left style="thin">
                  <color auto="1"/>
                </left>
                <right style="thin">
                  <color auto="1"/>
                </right>
                <top style="thin">
                  <color auto="1"/>
                </top>
                <bottom style="thin">
                  <color auto="1"/>
                </bottom>
                <vertical/>
                <horizontal/>
              </border>
            </x14:dxf>
          </x14:cfRule>
          <xm:sqref>AE206:AE207</xm:sqref>
        </x14:conditionalFormatting>
        <x14:conditionalFormatting xmlns:xm="http://schemas.microsoft.com/office/excel/2006/main">
          <x14:cfRule type="expression" priority="2537" id="{52C30A44-BAED-49B4-8082-625237FE1306}">
            <xm:f>OR(AC218=INputs!$BB$3,AC218=INputs!$BB$4)</xm:f>
            <x14:dxf>
              <font>
                <color theme="1"/>
              </font>
              <border>
                <left style="thin">
                  <color auto="1"/>
                </left>
                <right style="thin">
                  <color auto="1"/>
                </right>
                <top style="thin">
                  <color auto="1"/>
                </top>
                <bottom style="thin">
                  <color auto="1"/>
                </bottom>
                <vertical/>
                <horizontal/>
              </border>
            </x14:dxf>
          </x14:cfRule>
          <xm:sqref>AE218:AE219</xm:sqref>
        </x14:conditionalFormatting>
        <x14:conditionalFormatting xmlns:xm="http://schemas.microsoft.com/office/excel/2006/main">
          <x14:cfRule type="expression" priority="2475" id="{3B224E19-FBBD-4179-8110-0C50748D76B4}">
            <xm:f>OR(AC230=INputs!$BB$3,AC230=INputs!$BB$4)</xm:f>
            <x14:dxf>
              <font>
                <color theme="1"/>
              </font>
              <border>
                <left style="thin">
                  <color auto="1"/>
                </left>
                <right style="thin">
                  <color auto="1"/>
                </right>
                <top style="thin">
                  <color auto="1"/>
                </top>
                <bottom style="thin">
                  <color auto="1"/>
                </bottom>
                <vertical/>
                <horizontal/>
              </border>
            </x14:dxf>
          </x14:cfRule>
          <xm:sqref>AE230:AE231</xm:sqref>
        </x14:conditionalFormatting>
        <x14:conditionalFormatting xmlns:xm="http://schemas.microsoft.com/office/excel/2006/main">
          <x14:cfRule type="expression" priority="2413" id="{5DBE0A10-BB0A-47FC-B49C-EB9B859171E7}">
            <xm:f>OR(AC242=INputs!$BB$3,AC242=INputs!$BB$4)</xm:f>
            <x14:dxf>
              <font>
                <color theme="1"/>
              </font>
              <border>
                <left style="thin">
                  <color auto="1"/>
                </left>
                <right style="thin">
                  <color auto="1"/>
                </right>
                <top style="thin">
                  <color auto="1"/>
                </top>
                <bottom style="thin">
                  <color auto="1"/>
                </bottom>
                <vertical/>
                <horizontal/>
              </border>
            </x14:dxf>
          </x14:cfRule>
          <xm:sqref>AE242:AE243</xm:sqref>
        </x14:conditionalFormatting>
        <x14:conditionalFormatting xmlns:xm="http://schemas.microsoft.com/office/excel/2006/main">
          <x14:cfRule type="expression" priority="3165" id="{F1A61CF8-8B01-4FD1-952E-61A05F52FC72}">
            <xm:f>OR(AC14=INputs!$BB$3,AC14=INputs!$BB$4)</xm:f>
            <x14:dxf>
              <font>
                <color theme="0" tint="-0.34998626667073579"/>
              </font>
            </x14:dxf>
          </x14:cfRule>
          <xm:sqref>AE13:AF13</xm:sqref>
        </x14:conditionalFormatting>
        <x14:conditionalFormatting xmlns:xm="http://schemas.microsoft.com/office/excel/2006/main">
          <x14:cfRule type="expression" priority="3166" id="{2CED8514-AD8C-44BC-800C-E2648CC170D4}">
            <xm:f>OR(AC26=INputs!$BB$3,AC26=INputs!$BB$4)</xm:f>
            <x14:dxf>
              <font>
                <color theme="0" tint="-0.34998626667073579"/>
              </font>
            </x14:dxf>
          </x14:cfRule>
          <xm:sqref>AE25:AF25</xm:sqref>
        </x14:conditionalFormatting>
        <x14:conditionalFormatting xmlns:xm="http://schemas.microsoft.com/office/excel/2006/main">
          <x14:cfRule type="expression" priority="3164" id="{5E881D75-7E71-4C0C-A497-5373F33C09B4}">
            <xm:f>OR(AC38=INputs!$BB$3,AC38=INputs!$BB$4)</xm:f>
            <x14:dxf>
              <font>
                <color theme="0" tint="-0.34998626667073579"/>
              </font>
            </x14:dxf>
          </x14:cfRule>
          <xm:sqref>AE37:AF37</xm:sqref>
        </x14:conditionalFormatting>
        <x14:conditionalFormatting xmlns:xm="http://schemas.microsoft.com/office/excel/2006/main">
          <x14:cfRule type="expression" priority="3163" id="{29E34F01-B615-4DA2-B825-FD63A19DE558}">
            <xm:f>OR(AC50=INputs!$BB$3,AC50=INputs!$BB$4)</xm:f>
            <x14:dxf>
              <font>
                <color theme="0" tint="-0.34998626667073579"/>
              </font>
            </x14:dxf>
          </x14:cfRule>
          <xm:sqref>AE49:AF49</xm:sqref>
        </x14:conditionalFormatting>
        <x14:conditionalFormatting xmlns:xm="http://schemas.microsoft.com/office/excel/2006/main">
          <x14:cfRule type="expression" priority="3162" id="{CC036892-E456-4D11-A672-AEAA58315091}">
            <xm:f>OR(AC62=INputs!$BB$3,AC62=INputs!$BB$4)</xm:f>
            <x14:dxf>
              <font>
                <color theme="0" tint="-0.34998626667073579"/>
              </font>
            </x14:dxf>
          </x14:cfRule>
          <xm:sqref>AE61:AF61</xm:sqref>
        </x14:conditionalFormatting>
        <x14:conditionalFormatting xmlns:xm="http://schemas.microsoft.com/office/excel/2006/main">
          <x14:cfRule type="expression" priority="3161" id="{207871FA-B77A-451F-8E3E-3C549806CA3D}">
            <xm:f>OR(AC74=INputs!$BB$3,AC74=INputs!$BB$4)</xm:f>
            <x14:dxf>
              <font>
                <color theme="0" tint="-0.34998626667073579"/>
              </font>
            </x14:dxf>
          </x14:cfRule>
          <xm:sqref>AE73:AF73</xm:sqref>
        </x14:conditionalFormatting>
        <x14:conditionalFormatting xmlns:xm="http://schemas.microsoft.com/office/excel/2006/main">
          <x14:cfRule type="expression" priority="3160" id="{DF5F588A-FDF8-4621-B9A3-23E161FD35F9}">
            <xm:f>OR(AC86=INputs!$BB$3,AC86=INputs!$BB$4)</xm:f>
            <x14:dxf>
              <font>
                <color theme="0" tint="-0.34998626667073579"/>
              </font>
            </x14:dxf>
          </x14:cfRule>
          <xm:sqref>AE85:AF85</xm:sqref>
        </x14:conditionalFormatting>
        <x14:conditionalFormatting xmlns:xm="http://schemas.microsoft.com/office/excel/2006/main">
          <x14:cfRule type="expression" priority="3159" id="{E8A55B88-014C-400E-A756-C17089F5F48A}">
            <xm:f>OR(AC98=INputs!$BB$3,AC98=INputs!$BB$4)</xm:f>
            <x14:dxf>
              <font>
                <color theme="0" tint="-0.34998626667073579"/>
              </font>
            </x14:dxf>
          </x14:cfRule>
          <xm:sqref>AE97:AF97</xm:sqref>
        </x14:conditionalFormatting>
        <x14:conditionalFormatting xmlns:xm="http://schemas.microsoft.com/office/excel/2006/main">
          <x14:cfRule type="expression" priority="3091" id="{643B31D3-C028-4E9D-A18D-D2EBC54E5FFD}">
            <xm:f>OR(AC110=INputs!$BB$3,AC110=INputs!$BB$4)</xm:f>
            <x14:dxf>
              <font>
                <color theme="0" tint="-0.34998626667073579"/>
              </font>
            </x14:dxf>
          </x14:cfRule>
          <xm:sqref>AE109:AF109</xm:sqref>
        </x14:conditionalFormatting>
        <x14:conditionalFormatting xmlns:xm="http://schemas.microsoft.com/office/excel/2006/main">
          <x14:cfRule type="expression" priority="3029" id="{D8E19A4B-300E-49E4-8B6B-75F6DA7FDB3E}">
            <xm:f>OR(AC122=INputs!$BB$3,AC122=INputs!$BB$4)</xm:f>
            <x14:dxf>
              <font>
                <color theme="0" tint="-0.34998626667073579"/>
              </font>
            </x14:dxf>
          </x14:cfRule>
          <xm:sqref>AE121:AF121</xm:sqref>
        </x14:conditionalFormatting>
        <x14:conditionalFormatting xmlns:xm="http://schemas.microsoft.com/office/excel/2006/main">
          <x14:cfRule type="expression" priority="2967" id="{67D4E159-C5A0-4F3B-B0EF-F22EB7D44CB7}">
            <xm:f>OR(AC134=INputs!$BB$3,AC134=INputs!$BB$4)</xm:f>
            <x14:dxf>
              <font>
                <color theme="0" tint="-0.34998626667073579"/>
              </font>
            </x14:dxf>
          </x14:cfRule>
          <xm:sqref>AE133:AF133</xm:sqref>
        </x14:conditionalFormatting>
        <x14:conditionalFormatting xmlns:xm="http://schemas.microsoft.com/office/excel/2006/main">
          <x14:cfRule type="expression" priority="2905" id="{8B155DFB-F5AB-4461-B564-B4B277EC813C}">
            <xm:f>OR(AC146=INputs!$BB$3,AC146=INputs!$BB$4)</xm:f>
            <x14:dxf>
              <font>
                <color theme="0" tint="-0.34998626667073579"/>
              </font>
            </x14:dxf>
          </x14:cfRule>
          <xm:sqref>AE145:AF145</xm:sqref>
        </x14:conditionalFormatting>
        <x14:conditionalFormatting xmlns:xm="http://schemas.microsoft.com/office/excel/2006/main">
          <x14:cfRule type="expression" priority="2843" id="{9A81A600-6A05-4804-9F18-4912F824864B}">
            <xm:f>OR(AC158=INputs!$BB$3,AC158=INputs!$BB$4)</xm:f>
            <x14:dxf>
              <font>
                <color theme="0" tint="-0.34998626667073579"/>
              </font>
            </x14:dxf>
          </x14:cfRule>
          <xm:sqref>AE157:AF157</xm:sqref>
        </x14:conditionalFormatting>
        <x14:conditionalFormatting xmlns:xm="http://schemas.microsoft.com/office/excel/2006/main">
          <x14:cfRule type="expression" priority="2781" id="{3E567301-9ACD-40EE-B1E3-C92846EFB10E}">
            <xm:f>OR(AC170=INputs!$BB$3,AC170=INputs!$BB$4)</xm:f>
            <x14:dxf>
              <font>
                <color theme="0" tint="-0.34998626667073579"/>
              </font>
            </x14:dxf>
          </x14:cfRule>
          <xm:sqref>AE169:AF169</xm:sqref>
        </x14:conditionalFormatting>
        <x14:conditionalFormatting xmlns:xm="http://schemas.microsoft.com/office/excel/2006/main">
          <x14:cfRule type="expression" priority="2719" id="{C0AA0D1F-8E09-494A-96B2-6E40BF69C1B7}">
            <xm:f>OR(AC182=INputs!$BB$3,AC182=INputs!$BB$4)</xm:f>
            <x14:dxf>
              <font>
                <color theme="0" tint="-0.34998626667073579"/>
              </font>
            </x14:dxf>
          </x14:cfRule>
          <xm:sqref>AE181:AF181</xm:sqref>
        </x14:conditionalFormatting>
        <x14:conditionalFormatting xmlns:xm="http://schemas.microsoft.com/office/excel/2006/main">
          <x14:cfRule type="expression" priority="2657" id="{6E2F133F-66E0-417F-BD1C-37E80FE90C6C}">
            <xm:f>OR(AC194=INputs!$BB$3,AC194=INputs!$BB$4)</xm:f>
            <x14:dxf>
              <font>
                <color theme="0" tint="-0.34998626667073579"/>
              </font>
            </x14:dxf>
          </x14:cfRule>
          <xm:sqref>AE193:AF193</xm:sqref>
        </x14:conditionalFormatting>
        <x14:conditionalFormatting xmlns:xm="http://schemas.microsoft.com/office/excel/2006/main">
          <x14:cfRule type="expression" priority="2595" id="{78596155-CB47-41BC-A85D-FA486C9B2D4D}">
            <xm:f>OR(AC206=INputs!$BB$3,AC206=INputs!$BB$4)</xm:f>
            <x14:dxf>
              <font>
                <color theme="0" tint="-0.34998626667073579"/>
              </font>
            </x14:dxf>
          </x14:cfRule>
          <xm:sqref>AE205:AF205</xm:sqref>
        </x14:conditionalFormatting>
        <x14:conditionalFormatting xmlns:xm="http://schemas.microsoft.com/office/excel/2006/main">
          <x14:cfRule type="expression" priority="2533" id="{4EC7BE5E-4AA9-4BEA-81AB-028928ACD847}">
            <xm:f>OR(AC218=INputs!$BB$3,AC218=INputs!$BB$4)</xm:f>
            <x14:dxf>
              <font>
                <color theme="0" tint="-0.34998626667073579"/>
              </font>
            </x14:dxf>
          </x14:cfRule>
          <xm:sqref>AE217:AF217</xm:sqref>
        </x14:conditionalFormatting>
        <x14:conditionalFormatting xmlns:xm="http://schemas.microsoft.com/office/excel/2006/main">
          <x14:cfRule type="expression" priority="2471" id="{BABB08F1-97CE-4AE0-BD66-20BA9E431DD4}">
            <xm:f>OR(AC230=INputs!$BB$3,AC230=INputs!$BB$4)</xm:f>
            <x14:dxf>
              <font>
                <color theme="0" tint="-0.34998626667073579"/>
              </font>
            </x14:dxf>
          </x14:cfRule>
          <xm:sqref>AE229:AF229</xm:sqref>
        </x14:conditionalFormatting>
        <x14:conditionalFormatting xmlns:xm="http://schemas.microsoft.com/office/excel/2006/main">
          <x14:cfRule type="expression" priority="2409" id="{15DBE410-9049-4625-A760-DC4A48FB588B}">
            <xm:f>OR(AC242=INputs!$BB$3,AC242=INputs!$BB$4)</xm:f>
            <x14:dxf>
              <font>
                <color theme="0" tint="-0.34998626667073579"/>
              </font>
            </x14:dxf>
          </x14:cfRule>
          <xm:sqref>AE241:AF241</xm:sqref>
        </x14:conditionalFormatting>
        <x14:conditionalFormatting xmlns:xm="http://schemas.microsoft.com/office/excel/2006/main">
          <x14:cfRule type="expression" priority="3721" id="{418FA143-DF86-41C9-A807-A43AADC81567}">
            <xm:f>$F$12=INputs!$S$3</xm:f>
            <x14:dxf>
              <font>
                <color theme="0"/>
              </font>
              <fill>
                <patternFill>
                  <bgColor theme="0"/>
                </patternFill>
              </fill>
              <border>
                <left/>
                <right/>
                <top/>
                <bottom/>
                <vertical/>
                <horizontal/>
              </border>
            </x14:dxf>
          </x14:cfRule>
          <xm:sqref>AF12</xm:sqref>
        </x14:conditionalFormatting>
        <x14:conditionalFormatting xmlns:xm="http://schemas.microsoft.com/office/excel/2006/main">
          <x14:cfRule type="expression" priority="3594" id="{8F513370-71BB-41AB-B301-EA17549327B0}">
            <xm:f>$F$12=INputs!$S$3</xm:f>
            <x14:dxf>
              <font>
                <color theme="0"/>
              </font>
              <fill>
                <patternFill>
                  <bgColor theme="0"/>
                </patternFill>
              </fill>
              <border>
                <left/>
                <right/>
                <top/>
                <bottom/>
                <vertical/>
                <horizontal/>
              </border>
            </x14:dxf>
          </x14:cfRule>
          <xm:sqref>AF24</xm:sqref>
        </x14:conditionalFormatting>
        <x14:conditionalFormatting xmlns:xm="http://schemas.microsoft.com/office/excel/2006/main">
          <x14:cfRule type="expression" priority="3531" id="{E9A4899A-4D38-40A1-BAAF-DB6EA2C73D29}">
            <xm:f>$F$12=INputs!$S$3</xm:f>
            <x14:dxf>
              <font>
                <color theme="0"/>
              </font>
              <fill>
                <patternFill>
                  <bgColor theme="0"/>
                </patternFill>
              </fill>
              <border>
                <left/>
                <right/>
                <top/>
                <bottom/>
                <vertical/>
                <horizontal/>
              </border>
            </x14:dxf>
          </x14:cfRule>
          <xm:sqref>AF36</xm:sqref>
        </x14:conditionalFormatting>
        <x14:conditionalFormatting xmlns:xm="http://schemas.microsoft.com/office/excel/2006/main">
          <x14:cfRule type="expression" priority="3469" id="{0DADD052-9358-4F36-8EA3-ED7724840BD1}">
            <xm:f>$F$12=INputs!$S$3</xm:f>
            <x14:dxf>
              <font>
                <color theme="0"/>
              </font>
              <fill>
                <patternFill>
                  <bgColor theme="0"/>
                </patternFill>
              </fill>
              <border>
                <left/>
                <right/>
                <top/>
                <bottom/>
                <vertical/>
                <horizontal/>
              </border>
            </x14:dxf>
          </x14:cfRule>
          <xm:sqref>AF48</xm:sqref>
        </x14:conditionalFormatting>
        <x14:conditionalFormatting xmlns:xm="http://schemas.microsoft.com/office/excel/2006/main">
          <x14:cfRule type="expression" priority="3407" id="{BBE19498-C224-4E53-9628-1ECCD4735AF4}">
            <xm:f>$F$12=INputs!$S$3</xm:f>
            <x14:dxf>
              <font>
                <color theme="0"/>
              </font>
              <fill>
                <patternFill>
                  <bgColor theme="0"/>
                </patternFill>
              </fill>
              <border>
                <left/>
                <right/>
                <top/>
                <bottom/>
                <vertical/>
                <horizontal/>
              </border>
            </x14:dxf>
          </x14:cfRule>
          <xm:sqref>AF60</xm:sqref>
        </x14:conditionalFormatting>
        <x14:conditionalFormatting xmlns:xm="http://schemas.microsoft.com/office/excel/2006/main">
          <x14:cfRule type="expression" priority="3345" id="{6621D865-1C22-4E52-B992-F718E6CDE3B5}">
            <xm:f>$F$12=INputs!$S$3</xm:f>
            <x14:dxf>
              <font>
                <color theme="0"/>
              </font>
              <fill>
                <patternFill>
                  <bgColor theme="0"/>
                </patternFill>
              </fill>
              <border>
                <left/>
                <right/>
                <top/>
                <bottom/>
                <vertical/>
                <horizontal/>
              </border>
            </x14:dxf>
          </x14:cfRule>
          <xm:sqref>AF72</xm:sqref>
        </x14:conditionalFormatting>
        <x14:conditionalFormatting xmlns:xm="http://schemas.microsoft.com/office/excel/2006/main">
          <x14:cfRule type="expression" priority="3283" id="{DACA114C-AAEC-4F9E-9656-63DFB2119F7F}">
            <xm:f>$F$12=INputs!$S$3</xm:f>
            <x14:dxf>
              <font>
                <color theme="0"/>
              </font>
              <fill>
                <patternFill>
                  <bgColor theme="0"/>
                </patternFill>
              </fill>
              <border>
                <left/>
                <right/>
                <top/>
                <bottom/>
                <vertical/>
                <horizontal/>
              </border>
            </x14:dxf>
          </x14:cfRule>
          <xm:sqref>AF84</xm:sqref>
        </x14:conditionalFormatting>
        <x14:conditionalFormatting xmlns:xm="http://schemas.microsoft.com/office/excel/2006/main">
          <x14:cfRule type="expression" priority="3221" id="{D51790FA-DBCC-4230-A828-4B9E6C9D850F}">
            <xm:f>$F$12=INputs!$S$3</xm:f>
            <x14:dxf>
              <font>
                <color theme="0"/>
              </font>
              <fill>
                <patternFill>
                  <bgColor theme="0"/>
                </patternFill>
              </fill>
              <border>
                <left/>
                <right/>
                <top/>
                <bottom/>
                <vertical/>
                <horizontal/>
              </border>
            </x14:dxf>
          </x14:cfRule>
          <xm:sqref>AF96</xm:sqref>
        </x14:conditionalFormatting>
        <x14:conditionalFormatting xmlns:xm="http://schemas.microsoft.com/office/excel/2006/main">
          <x14:cfRule type="expression" priority="3133" id="{05C7C41A-504C-40C2-9ABF-9FA7A38E28B0}">
            <xm:f>$F$12=INputs!$S$3</xm:f>
            <x14:dxf>
              <font>
                <color theme="0"/>
              </font>
              <fill>
                <patternFill>
                  <bgColor theme="0"/>
                </patternFill>
              </fill>
              <border>
                <left/>
                <right/>
                <top/>
                <bottom/>
                <vertical/>
                <horizontal/>
              </border>
            </x14:dxf>
          </x14:cfRule>
          <xm:sqref>AF108</xm:sqref>
        </x14:conditionalFormatting>
        <x14:conditionalFormatting xmlns:xm="http://schemas.microsoft.com/office/excel/2006/main">
          <x14:cfRule type="expression" priority="3071" id="{6ED1CA1A-DCD4-4D9A-B6F3-E7CFFCAA1F80}">
            <xm:f>$F$12=INputs!$S$3</xm:f>
            <x14:dxf>
              <font>
                <color theme="0"/>
              </font>
              <fill>
                <patternFill>
                  <bgColor theme="0"/>
                </patternFill>
              </fill>
              <border>
                <left/>
                <right/>
                <top/>
                <bottom/>
                <vertical/>
                <horizontal/>
              </border>
            </x14:dxf>
          </x14:cfRule>
          <xm:sqref>AF120</xm:sqref>
        </x14:conditionalFormatting>
        <x14:conditionalFormatting xmlns:xm="http://schemas.microsoft.com/office/excel/2006/main">
          <x14:cfRule type="expression" priority="3009" id="{71D9CC76-0F6F-4607-AD2B-B2026108DDF9}">
            <xm:f>$F$12=INputs!$S$3</xm:f>
            <x14:dxf>
              <font>
                <color theme="0"/>
              </font>
              <fill>
                <patternFill>
                  <bgColor theme="0"/>
                </patternFill>
              </fill>
              <border>
                <left/>
                <right/>
                <top/>
                <bottom/>
                <vertical/>
                <horizontal/>
              </border>
            </x14:dxf>
          </x14:cfRule>
          <xm:sqref>AF132</xm:sqref>
        </x14:conditionalFormatting>
        <x14:conditionalFormatting xmlns:xm="http://schemas.microsoft.com/office/excel/2006/main">
          <x14:cfRule type="expression" priority="2947" id="{820FB3A3-9CF3-407F-AFD9-E43049AD3D25}">
            <xm:f>$F$12=INputs!$S$3</xm:f>
            <x14:dxf>
              <font>
                <color theme="0"/>
              </font>
              <fill>
                <patternFill>
                  <bgColor theme="0"/>
                </patternFill>
              </fill>
              <border>
                <left/>
                <right/>
                <top/>
                <bottom/>
                <vertical/>
                <horizontal/>
              </border>
            </x14:dxf>
          </x14:cfRule>
          <xm:sqref>AF144</xm:sqref>
        </x14:conditionalFormatting>
        <x14:conditionalFormatting xmlns:xm="http://schemas.microsoft.com/office/excel/2006/main">
          <x14:cfRule type="expression" priority="2885" id="{8FADA6C6-1A12-4B9D-A41D-B4F77FA68CF0}">
            <xm:f>$F$12=INputs!$S$3</xm:f>
            <x14:dxf>
              <font>
                <color theme="0"/>
              </font>
              <fill>
                <patternFill>
                  <bgColor theme="0"/>
                </patternFill>
              </fill>
              <border>
                <left/>
                <right/>
                <top/>
                <bottom/>
                <vertical/>
                <horizontal/>
              </border>
            </x14:dxf>
          </x14:cfRule>
          <xm:sqref>AF156</xm:sqref>
        </x14:conditionalFormatting>
        <x14:conditionalFormatting xmlns:xm="http://schemas.microsoft.com/office/excel/2006/main">
          <x14:cfRule type="expression" priority="2823" id="{3CDA7547-DEED-4BA7-B2DD-8C77EB033458}">
            <xm:f>$F$12=INputs!$S$3</xm:f>
            <x14:dxf>
              <font>
                <color theme="0"/>
              </font>
              <fill>
                <patternFill>
                  <bgColor theme="0"/>
                </patternFill>
              </fill>
              <border>
                <left/>
                <right/>
                <top/>
                <bottom/>
                <vertical/>
                <horizontal/>
              </border>
            </x14:dxf>
          </x14:cfRule>
          <xm:sqref>AF168</xm:sqref>
        </x14:conditionalFormatting>
        <x14:conditionalFormatting xmlns:xm="http://schemas.microsoft.com/office/excel/2006/main">
          <x14:cfRule type="expression" priority="2761" id="{2D2E2CF0-3FD3-42EC-8875-70D56FA2B3B1}">
            <xm:f>$F$12=INputs!$S$3</xm:f>
            <x14:dxf>
              <font>
                <color theme="0"/>
              </font>
              <fill>
                <patternFill>
                  <bgColor theme="0"/>
                </patternFill>
              </fill>
              <border>
                <left/>
                <right/>
                <top/>
                <bottom/>
                <vertical/>
                <horizontal/>
              </border>
            </x14:dxf>
          </x14:cfRule>
          <xm:sqref>AF180</xm:sqref>
        </x14:conditionalFormatting>
        <x14:conditionalFormatting xmlns:xm="http://schemas.microsoft.com/office/excel/2006/main">
          <x14:cfRule type="expression" priority="2699" id="{D68A2DE0-048E-48AB-B8A4-3020ED1F1E35}">
            <xm:f>$F$12=INputs!$S$3</xm:f>
            <x14:dxf>
              <font>
                <color theme="0"/>
              </font>
              <fill>
                <patternFill>
                  <bgColor theme="0"/>
                </patternFill>
              </fill>
              <border>
                <left/>
                <right/>
                <top/>
                <bottom/>
                <vertical/>
                <horizontal/>
              </border>
            </x14:dxf>
          </x14:cfRule>
          <xm:sqref>AF192</xm:sqref>
        </x14:conditionalFormatting>
        <x14:conditionalFormatting xmlns:xm="http://schemas.microsoft.com/office/excel/2006/main">
          <x14:cfRule type="expression" priority="2637" id="{9D7984F1-54FB-4A45-9EDB-64C21ACDDF8E}">
            <xm:f>$F$12=INputs!$S$3</xm:f>
            <x14:dxf>
              <font>
                <color theme="0"/>
              </font>
              <fill>
                <patternFill>
                  <bgColor theme="0"/>
                </patternFill>
              </fill>
              <border>
                <left/>
                <right/>
                <top/>
                <bottom/>
                <vertical/>
                <horizontal/>
              </border>
            </x14:dxf>
          </x14:cfRule>
          <xm:sqref>AF204</xm:sqref>
        </x14:conditionalFormatting>
        <x14:conditionalFormatting xmlns:xm="http://schemas.microsoft.com/office/excel/2006/main">
          <x14:cfRule type="expression" priority="2575" id="{D30A43B1-2528-45B2-B071-1F3B2E0CA1B2}">
            <xm:f>$F$12=INputs!$S$3</xm:f>
            <x14:dxf>
              <font>
                <color theme="0"/>
              </font>
              <fill>
                <patternFill>
                  <bgColor theme="0"/>
                </patternFill>
              </fill>
              <border>
                <left/>
                <right/>
                <top/>
                <bottom/>
                <vertical/>
                <horizontal/>
              </border>
            </x14:dxf>
          </x14:cfRule>
          <xm:sqref>AF216</xm:sqref>
        </x14:conditionalFormatting>
        <x14:conditionalFormatting xmlns:xm="http://schemas.microsoft.com/office/excel/2006/main">
          <x14:cfRule type="expression" priority="2513" id="{F2BE4E56-203B-44ED-891B-AE3BEC296BF1}">
            <xm:f>$F$12=INputs!$S$3</xm:f>
            <x14:dxf>
              <font>
                <color theme="0"/>
              </font>
              <fill>
                <patternFill>
                  <bgColor theme="0"/>
                </patternFill>
              </fill>
              <border>
                <left/>
                <right/>
                <top/>
                <bottom/>
                <vertical/>
                <horizontal/>
              </border>
            </x14:dxf>
          </x14:cfRule>
          <xm:sqref>AF228</xm:sqref>
        </x14:conditionalFormatting>
        <x14:conditionalFormatting xmlns:xm="http://schemas.microsoft.com/office/excel/2006/main">
          <x14:cfRule type="expression" priority="2451" id="{37A41C06-6BD6-42B3-9962-74293BC5B75C}">
            <xm:f>$F$12=INputs!$S$3</xm:f>
            <x14:dxf>
              <font>
                <color theme="0"/>
              </font>
              <fill>
                <patternFill>
                  <bgColor theme="0"/>
                </patternFill>
              </fill>
              <border>
                <left/>
                <right/>
                <top/>
                <bottom/>
                <vertical/>
                <horizontal/>
              </border>
            </x14:dxf>
          </x14:cfRule>
          <xm:sqref>AF240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AF9C9-29E0-4024-8AD8-78914CDBCC5B}">
  <sheetPr>
    <tabColor rgb="FF00B0F0"/>
  </sheetPr>
  <dimension ref="A1:Z50"/>
  <sheetViews>
    <sheetView showGridLines="0" zoomScaleNormal="100" workbookViewId="0">
      <pane xSplit="1" ySplit="9" topLeftCell="B10" activePane="bottomRight" state="frozen"/>
      <selection pane="topRight" activeCell="B1" sqref="B1"/>
      <selection pane="bottomLeft" activeCell="A4" sqref="A4"/>
      <selection pane="bottomRight" activeCell="B53" sqref="B53"/>
    </sheetView>
  </sheetViews>
  <sheetFormatPr defaultRowHeight="14.5" outlineLevelRow="1" x14ac:dyDescent="0.35"/>
  <cols>
    <col min="1" max="1" width="3.26953125" style="87" customWidth="1"/>
    <col min="2" max="2" width="80.08984375" style="3" customWidth="1"/>
    <col min="3" max="3" width="1.1796875" customWidth="1"/>
    <col min="4" max="4" width="38.453125" customWidth="1"/>
    <col min="5" max="5" width="0.81640625" customWidth="1"/>
    <col min="6" max="6" width="4.54296875" customWidth="1"/>
    <col min="7" max="7" width="35.7265625" customWidth="1"/>
    <col min="8" max="8" width="1.1796875" customWidth="1"/>
    <col min="9" max="9" width="41.26953125" customWidth="1"/>
    <col min="10" max="10" width="1.1796875" customWidth="1"/>
    <col min="11" max="11" width="34.453125" customWidth="1"/>
    <col min="12" max="12" width="1.1796875" customWidth="1"/>
    <col min="13" max="13" width="39" customWidth="1"/>
    <col min="14" max="14" width="1.1796875" customWidth="1"/>
    <col min="15" max="15" width="41.26953125" customWidth="1"/>
    <col min="16" max="16" width="1.1796875" customWidth="1"/>
    <col min="17" max="17" width="34.54296875" customWidth="1"/>
    <col min="18" max="18" width="1.26953125" customWidth="1"/>
    <col min="19" max="19" width="38.7265625" customWidth="1"/>
    <col min="20" max="20" width="1.1796875" customWidth="1"/>
    <col min="21" max="21" width="28.81640625" customWidth="1"/>
    <col min="22" max="22" width="1.1796875" customWidth="1"/>
    <col min="23" max="23" width="28.81640625" customWidth="1"/>
    <col min="24" max="24" width="1.1796875" customWidth="1"/>
    <col min="25" max="25" width="40.54296875" customWidth="1"/>
    <col min="26" max="26" width="1.1796875" customWidth="1"/>
  </cols>
  <sheetData>
    <row r="1" spans="1:26" ht="39.65" customHeight="1" thickBot="1" x14ac:dyDescent="0.4">
      <c r="B1" s="634" t="s">
        <v>91</v>
      </c>
      <c r="C1" s="634"/>
      <c r="D1" s="634"/>
    </row>
    <row r="2" spans="1:26" s="13" customFormat="1" ht="37.5" thickBot="1" x14ac:dyDescent="0.4">
      <c r="A2" s="90"/>
      <c r="B2" s="97" t="s">
        <v>145</v>
      </c>
      <c r="C2" s="41"/>
      <c r="D2" s="618" t="s">
        <v>205</v>
      </c>
      <c r="E2" s="650"/>
      <c r="F2" s="650"/>
      <c r="G2" s="619"/>
      <c r="H2" s="41"/>
      <c r="I2" s="97" t="s">
        <v>206</v>
      </c>
      <c r="J2" s="41"/>
      <c r="K2" s="97" t="s">
        <v>207</v>
      </c>
      <c r="L2" s="41"/>
      <c r="M2" s="97" t="s">
        <v>208</v>
      </c>
      <c r="N2" s="41"/>
      <c r="O2" s="97" t="s">
        <v>209</v>
      </c>
      <c r="P2" s="41"/>
      <c r="Q2" s="618" t="s">
        <v>210</v>
      </c>
      <c r="R2" s="650"/>
      <c r="S2" s="619"/>
      <c r="T2" s="41"/>
      <c r="U2" s="97" t="s">
        <v>211</v>
      </c>
      <c r="V2" s="41"/>
      <c r="W2" s="97" t="s">
        <v>212</v>
      </c>
      <c r="X2" s="41"/>
      <c r="Y2" s="97" t="s">
        <v>213</v>
      </c>
    </row>
    <row r="3" spans="1:26" ht="230.15" hidden="1" customHeight="1" outlineLevel="1" x14ac:dyDescent="0.35">
      <c r="A3" s="362" t="s">
        <v>119</v>
      </c>
      <c r="B3" s="155" t="s">
        <v>155</v>
      </c>
      <c r="C3" s="150"/>
      <c r="D3" s="649" t="s">
        <v>214</v>
      </c>
      <c r="E3" s="649"/>
      <c r="F3" s="649"/>
      <c r="G3" s="649"/>
      <c r="H3" s="150"/>
      <c r="I3" s="156"/>
      <c r="J3" s="150"/>
      <c r="K3" s="158" t="s">
        <v>215</v>
      </c>
      <c r="L3" s="154"/>
      <c r="M3" s="159" t="s">
        <v>216</v>
      </c>
      <c r="N3" s="154"/>
      <c r="O3" s="159" t="s">
        <v>217</v>
      </c>
      <c r="P3" s="154"/>
      <c r="Q3" s="653" t="s">
        <v>218</v>
      </c>
      <c r="R3" s="654"/>
      <c r="S3" s="655"/>
      <c r="T3" s="177"/>
      <c r="U3" s="176" t="s">
        <v>219</v>
      </c>
      <c r="V3" s="154"/>
      <c r="W3" s="152"/>
      <c r="X3" s="154"/>
      <c r="Y3" s="152" t="s">
        <v>220</v>
      </c>
      <c r="Z3" s="143"/>
    </row>
    <row r="4" spans="1:26" ht="29" hidden="1" outlineLevel="1" x14ac:dyDescent="0.35">
      <c r="A4" s="652" t="s">
        <v>127</v>
      </c>
      <c r="B4" s="359" t="s">
        <v>221</v>
      </c>
      <c r="C4" s="162"/>
      <c r="D4" s="596" t="s">
        <v>222</v>
      </c>
      <c r="E4" s="596"/>
      <c r="F4" s="596"/>
      <c r="G4" s="596"/>
      <c r="H4" s="162"/>
      <c r="I4" s="161"/>
      <c r="J4" s="162"/>
      <c r="K4" s="161"/>
      <c r="L4" s="124"/>
      <c r="M4" s="163"/>
      <c r="N4" s="124"/>
      <c r="O4" s="163"/>
      <c r="P4" s="124"/>
      <c r="Q4" s="606"/>
      <c r="R4" s="606"/>
      <c r="S4" s="606"/>
      <c r="T4" s="124"/>
      <c r="U4" s="163"/>
      <c r="V4" s="124"/>
      <c r="W4" s="163"/>
      <c r="X4" s="124"/>
      <c r="Y4" s="160" t="s">
        <v>223</v>
      </c>
    </row>
    <row r="5" spans="1:26" ht="15" hidden="1" customHeight="1" outlineLevel="1" x14ac:dyDescent="0.35">
      <c r="A5" s="652"/>
      <c r="B5" s="360"/>
      <c r="C5" s="162"/>
      <c r="D5" s="597"/>
      <c r="E5" s="597"/>
      <c r="F5" s="597"/>
      <c r="G5" s="597"/>
      <c r="H5" s="162"/>
      <c r="I5" s="161"/>
      <c r="J5" s="162"/>
      <c r="K5" s="161"/>
      <c r="L5" s="124"/>
      <c r="M5" s="163"/>
      <c r="N5" s="124"/>
      <c r="O5" s="163"/>
      <c r="P5" s="124"/>
      <c r="Q5" s="606"/>
      <c r="R5" s="606"/>
      <c r="S5" s="606"/>
      <c r="T5" s="124"/>
      <c r="U5" s="163"/>
      <c r="V5" s="124"/>
      <c r="W5" s="163"/>
      <c r="X5" s="124"/>
      <c r="Y5" s="163"/>
    </row>
    <row r="6" spans="1:26" ht="15" hidden="1" customHeight="1" outlineLevel="1" x14ac:dyDescent="0.35">
      <c r="A6" s="652"/>
      <c r="B6" s="360"/>
      <c r="C6" s="162"/>
      <c r="D6" s="597"/>
      <c r="E6" s="597"/>
      <c r="F6" s="597"/>
      <c r="G6" s="597"/>
      <c r="H6" s="162"/>
      <c r="I6" s="161"/>
      <c r="J6" s="162"/>
      <c r="K6" s="161"/>
      <c r="L6" s="124"/>
      <c r="M6" s="163"/>
      <c r="N6" s="124"/>
      <c r="O6" s="163"/>
      <c r="P6" s="124"/>
      <c r="Q6" s="606"/>
      <c r="R6" s="606"/>
      <c r="S6" s="606"/>
      <c r="T6" s="124"/>
      <c r="U6" s="163"/>
      <c r="V6" s="124"/>
      <c r="W6" s="163"/>
      <c r="X6" s="124"/>
      <c r="Y6" s="163"/>
    </row>
    <row r="7" spans="1:26" ht="15" hidden="1" customHeight="1" outlineLevel="1" x14ac:dyDescent="0.35">
      <c r="A7" s="652"/>
      <c r="B7" s="360"/>
      <c r="C7" s="162"/>
      <c r="D7" s="597"/>
      <c r="E7" s="597"/>
      <c r="F7" s="597"/>
      <c r="G7" s="597"/>
      <c r="H7" s="162"/>
      <c r="I7" s="161"/>
      <c r="J7" s="162"/>
      <c r="K7" s="161"/>
      <c r="L7" s="124"/>
      <c r="M7" s="163"/>
      <c r="N7" s="124"/>
      <c r="O7" s="163"/>
      <c r="P7" s="124"/>
      <c r="Q7" s="606"/>
      <c r="R7" s="606"/>
      <c r="S7" s="606"/>
      <c r="T7" s="124"/>
      <c r="U7" s="163"/>
      <c r="V7" s="124"/>
      <c r="W7" s="163"/>
      <c r="X7" s="124"/>
      <c r="Y7" s="163"/>
    </row>
    <row r="8" spans="1:26" ht="15" hidden="1" customHeight="1" outlineLevel="1" x14ac:dyDescent="0.35">
      <c r="A8" s="652"/>
      <c r="B8" s="360"/>
      <c r="C8" s="162"/>
      <c r="D8" s="597"/>
      <c r="E8" s="597"/>
      <c r="F8" s="597"/>
      <c r="G8" s="597"/>
      <c r="H8" s="162"/>
      <c r="I8" s="161"/>
      <c r="J8" s="162"/>
      <c r="K8" s="161"/>
      <c r="L8" s="124"/>
      <c r="M8" s="163"/>
      <c r="N8" s="124"/>
      <c r="O8" s="163"/>
      <c r="P8" s="124"/>
      <c r="Q8" s="606"/>
      <c r="R8" s="606"/>
      <c r="S8" s="606"/>
      <c r="T8" s="124"/>
      <c r="U8" s="163"/>
      <c r="V8" s="124"/>
      <c r="W8" s="163"/>
      <c r="X8" s="124"/>
      <c r="Y8" s="163"/>
    </row>
    <row r="9" spans="1:26" s="13" customFormat="1" ht="15" customHeight="1" collapsed="1" x14ac:dyDescent="0.35">
      <c r="A9" s="90"/>
      <c r="B9" s="8"/>
      <c r="D9" s="8" t="s">
        <v>137</v>
      </c>
      <c r="E9" s="8"/>
      <c r="F9" s="651" t="s">
        <v>136</v>
      </c>
      <c r="G9" s="651"/>
      <c r="I9" s="8" t="s">
        <v>137</v>
      </c>
      <c r="K9" s="8" t="s">
        <v>137</v>
      </c>
      <c r="M9" s="8" t="s">
        <v>137</v>
      </c>
      <c r="O9" s="8" t="s">
        <v>137</v>
      </c>
      <c r="Q9" s="8" t="s">
        <v>137</v>
      </c>
      <c r="R9" s="8"/>
      <c r="S9" s="8" t="s">
        <v>137</v>
      </c>
      <c r="U9" s="8" t="s">
        <v>137</v>
      </c>
      <c r="W9" s="8" t="s">
        <v>137</v>
      </c>
      <c r="Y9" s="8" t="s">
        <v>137</v>
      </c>
    </row>
    <row r="10" spans="1:26" ht="6" customHeight="1" thickBot="1" x14ac:dyDescent="0.4">
      <c r="A10" s="88"/>
      <c r="B10" s="33"/>
      <c r="C10" s="30"/>
      <c r="D10" s="30"/>
      <c r="E10" s="30"/>
      <c r="F10" s="30"/>
      <c r="G10" s="30"/>
      <c r="H10" s="30"/>
      <c r="I10" s="30"/>
      <c r="J10" s="30"/>
      <c r="K10" s="30"/>
      <c r="L10" s="30"/>
      <c r="M10" s="30"/>
      <c r="N10" s="30"/>
      <c r="O10" s="30"/>
      <c r="P10" s="30"/>
      <c r="Q10" s="30"/>
      <c r="R10" s="30"/>
      <c r="S10" s="30"/>
      <c r="T10" s="30"/>
      <c r="U10" s="30"/>
      <c r="V10" s="30"/>
      <c r="W10" s="30"/>
      <c r="X10" s="30"/>
      <c r="Y10" s="30"/>
    </row>
    <row r="11" spans="1:26" ht="15" thickBot="1" x14ac:dyDescent="0.4">
      <c r="A11" s="100">
        <v>1</v>
      </c>
      <c r="B11" s="375" t="str">
        <f>VLOOKUP(A11,INputs!$G$3:$O$22,8,FALSE)</f>
        <v>Please fill out Sensitivity Labels Tab</v>
      </c>
      <c r="C11" s="178"/>
      <c r="D11" s="10"/>
      <c r="E11" s="178"/>
      <c r="F11" s="179" t="b">
        <v>0</v>
      </c>
      <c r="G11" s="178" t="s">
        <v>224</v>
      </c>
      <c r="H11" s="178"/>
      <c r="I11" s="10"/>
      <c r="J11" s="178"/>
      <c r="K11" s="10"/>
      <c r="L11" s="178"/>
      <c r="M11" s="10"/>
      <c r="N11" s="178"/>
      <c r="O11" s="10"/>
      <c r="P11" s="178"/>
      <c r="Q11" s="10"/>
      <c r="R11" s="178"/>
      <c r="S11" s="10"/>
      <c r="T11" s="178"/>
      <c r="U11" s="10"/>
      <c r="V11" s="178"/>
      <c r="W11" s="10"/>
      <c r="X11" s="178"/>
      <c r="Y11" s="10"/>
    </row>
    <row r="12" spans="1:26" ht="6" customHeight="1" thickBot="1" x14ac:dyDescent="0.4">
      <c r="A12" s="88"/>
      <c r="B12" s="33"/>
      <c r="C12" s="30"/>
      <c r="D12" s="30"/>
      <c r="E12" s="30"/>
      <c r="F12" s="30"/>
      <c r="G12" s="30"/>
      <c r="H12" s="30"/>
      <c r="I12" s="30"/>
      <c r="J12" s="30"/>
      <c r="K12" s="30"/>
      <c r="L12" s="30"/>
      <c r="M12" s="30"/>
      <c r="N12" s="30"/>
      <c r="O12" s="30"/>
      <c r="P12" s="30"/>
      <c r="Q12" s="30"/>
      <c r="R12" s="30"/>
      <c r="S12" s="30"/>
      <c r="T12" s="30"/>
      <c r="U12" s="30"/>
      <c r="V12" s="30"/>
      <c r="W12" s="30"/>
      <c r="X12" s="30"/>
      <c r="Y12" s="30"/>
    </row>
    <row r="13" spans="1:26" ht="15" customHeight="1" thickBot="1" x14ac:dyDescent="0.4">
      <c r="A13" s="100">
        <v>2</v>
      </c>
      <c r="B13" s="375" t="str">
        <f>VLOOKUP(A13,INputs!$G$3:$O$22,8,FALSE)</f>
        <v>Please fill out Sensitivity Labels Tab</v>
      </c>
      <c r="C13" s="178"/>
      <c r="D13" s="10"/>
      <c r="E13" s="178"/>
      <c r="F13" s="179" t="b">
        <v>0</v>
      </c>
      <c r="G13" s="178" t="s">
        <v>224</v>
      </c>
      <c r="H13" s="178"/>
      <c r="I13" s="10"/>
      <c r="J13" s="178"/>
      <c r="K13" s="10"/>
      <c r="L13" s="178"/>
      <c r="M13" s="10"/>
      <c r="N13" s="178"/>
      <c r="O13" s="10"/>
      <c r="P13" s="178"/>
      <c r="Q13" s="10"/>
      <c r="R13" s="178"/>
      <c r="S13" s="10"/>
      <c r="T13" s="178"/>
      <c r="U13" s="10"/>
      <c r="V13" s="178"/>
      <c r="W13" s="10"/>
      <c r="X13" s="178"/>
      <c r="Y13" s="10"/>
    </row>
    <row r="14" spans="1:26" ht="6" customHeight="1" thickBot="1" x14ac:dyDescent="0.4">
      <c r="A14" s="88"/>
      <c r="B14" s="33"/>
      <c r="C14" s="30"/>
      <c r="D14" s="30"/>
      <c r="E14" s="30"/>
      <c r="F14" s="30"/>
      <c r="G14" s="30"/>
      <c r="H14" s="30"/>
      <c r="I14" s="30"/>
      <c r="J14" s="30"/>
      <c r="K14" s="30"/>
      <c r="L14" s="30"/>
      <c r="M14" s="30"/>
      <c r="N14" s="30"/>
      <c r="O14" s="30"/>
      <c r="P14" s="30"/>
      <c r="Q14" s="30"/>
      <c r="R14" s="30"/>
      <c r="S14" s="30"/>
      <c r="T14" s="30"/>
      <c r="U14" s="30"/>
      <c r="V14" s="30"/>
      <c r="W14" s="30"/>
      <c r="X14" s="30"/>
      <c r="Y14" s="30"/>
    </row>
    <row r="15" spans="1:26" ht="15" customHeight="1" thickBot="1" x14ac:dyDescent="0.4">
      <c r="A15" s="100">
        <v>3</v>
      </c>
      <c r="B15" s="375" t="str">
        <f>VLOOKUP(A15,INputs!$G$3:$O$22,8,FALSE)</f>
        <v>Please fill out Sensitivity Labels Tab</v>
      </c>
      <c r="C15" s="178"/>
      <c r="D15" s="10"/>
      <c r="E15" s="178"/>
      <c r="F15" s="179" t="b">
        <v>0</v>
      </c>
      <c r="G15" s="178" t="s">
        <v>224</v>
      </c>
      <c r="H15" s="178"/>
      <c r="I15" s="10"/>
      <c r="J15" s="178"/>
      <c r="K15" s="10"/>
      <c r="L15" s="178"/>
      <c r="M15" s="10"/>
      <c r="N15" s="178"/>
      <c r="O15" s="10"/>
      <c r="P15" s="178"/>
      <c r="Q15" s="10"/>
      <c r="R15" s="178"/>
      <c r="S15" s="10"/>
      <c r="T15" s="178"/>
      <c r="U15" s="10"/>
      <c r="V15" s="178"/>
      <c r="W15" s="10"/>
      <c r="X15" s="178"/>
      <c r="Y15" s="10"/>
    </row>
    <row r="16" spans="1:26" ht="6" customHeight="1" thickBot="1" x14ac:dyDescent="0.4">
      <c r="A16" s="88"/>
      <c r="B16" s="33"/>
      <c r="C16" s="30"/>
      <c r="D16" s="30"/>
      <c r="E16" s="30"/>
      <c r="F16" s="30"/>
      <c r="G16" s="30"/>
      <c r="H16" s="30"/>
      <c r="I16" s="30"/>
      <c r="J16" s="30"/>
      <c r="K16" s="30"/>
      <c r="L16" s="30"/>
      <c r="M16" s="30"/>
      <c r="N16" s="30"/>
      <c r="O16" s="30"/>
      <c r="P16" s="30"/>
      <c r="Q16" s="30"/>
      <c r="R16" s="30"/>
      <c r="S16" s="30"/>
      <c r="T16" s="30"/>
      <c r="U16" s="30"/>
      <c r="V16" s="30"/>
      <c r="W16" s="30"/>
      <c r="X16" s="30"/>
      <c r="Y16" s="30"/>
    </row>
    <row r="17" spans="1:25" ht="15" customHeight="1" thickBot="1" x14ac:dyDescent="0.4">
      <c r="A17" s="100">
        <v>4</v>
      </c>
      <c r="B17" s="375" t="str">
        <f>VLOOKUP(A17,INputs!$G$3:$O$22,8,FALSE)</f>
        <v>Please fill out Sensitivity Labels Tab</v>
      </c>
      <c r="C17" s="178"/>
      <c r="D17" s="10"/>
      <c r="E17" s="178"/>
      <c r="F17" s="179" t="b">
        <v>0</v>
      </c>
      <c r="G17" s="178" t="s">
        <v>224</v>
      </c>
      <c r="H17" s="178"/>
      <c r="I17" s="10"/>
      <c r="J17" s="178"/>
      <c r="K17" s="10"/>
      <c r="L17" s="178"/>
      <c r="M17" s="10"/>
      <c r="N17" s="178"/>
      <c r="O17" s="10"/>
      <c r="P17" s="178"/>
      <c r="Q17" s="10"/>
      <c r="R17" s="178"/>
      <c r="S17" s="10"/>
      <c r="T17" s="178"/>
      <c r="U17" s="10"/>
      <c r="V17" s="178"/>
      <c r="W17" s="10"/>
      <c r="X17" s="178"/>
      <c r="Y17" s="10"/>
    </row>
    <row r="18" spans="1:25" ht="6" customHeight="1" thickBot="1" x14ac:dyDescent="0.4">
      <c r="A18" s="88"/>
      <c r="B18" s="33"/>
      <c r="C18" s="30"/>
      <c r="D18" s="30"/>
      <c r="E18" s="30"/>
      <c r="F18" s="30"/>
      <c r="G18" s="30"/>
      <c r="H18" s="30"/>
      <c r="I18" s="30"/>
      <c r="J18" s="30"/>
      <c r="K18" s="30"/>
      <c r="L18" s="30"/>
      <c r="M18" s="30"/>
      <c r="N18" s="30"/>
      <c r="O18" s="30"/>
      <c r="P18" s="30"/>
      <c r="Q18" s="30"/>
      <c r="R18" s="30"/>
      <c r="S18" s="30"/>
      <c r="T18" s="30"/>
      <c r="U18" s="30"/>
      <c r="V18" s="30"/>
      <c r="W18" s="30"/>
      <c r="X18" s="30"/>
      <c r="Y18" s="30"/>
    </row>
    <row r="19" spans="1:25" ht="15" thickBot="1" x14ac:dyDescent="0.4">
      <c r="A19" s="100">
        <v>5</v>
      </c>
      <c r="B19" s="375" t="str">
        <f>VLOOKUP(A19,INputs!$G$3:$O$22,8,FALSE)</f>
        <v>Please fill out Sensitivity Labels Tab</v>
      </c>
      <c r="C19" s="178"/>
      <c r="D19" s="10"/>
      <c r="E19" s="178"/>
      <c r="F19" s="179" t="b">
        <v>0</v>
      </c>
      <c r="G19" s="178" t="s">
        <v>224</v>
      </c>
      <c r="H19" s="178"/>
      <c r="I19" s="10"/>
      <c r="J19" s="178"/>
      <c r="K19" s="10"/>
      <c r="L19" s="178"/>
      <c r="M19" s="10"/>
      <c r="N19" s="178"/>
      <c r="O19" s="10"/>
      <c r="P19" s="178"/>
      <c r="Q19" s="10"/>
      <c r="R19" s="178"/>
      <c r="S19" s="10"/>
      <c r="T19" s="178"/>
      <c r="U19" s="10"/>
      <c r="V19" s="178"/>
      <c r="W19" s="10"/>
      <c r="X19" s="178"/>
      <c r="Y19" s="10"/>
    </row>
    <row r="20" spans="1:25" ht="6" customHeight="1" thickBot="1" x14ac:dyDescent="0.4">
      <c r="A20" s="88"/>
      <c r="B20" s="33"/>
      <c r="C20" s="30"/>
      <c r="D20" s="30"/>
      <c r="E20" s="30"/>
      <c r="F20" s="30"/>
      <c r="G20" s="30"/>
      <c r="H20" s="30"/>
      <c r="I20" s="30"/>
      <c r="J20" s="30"/>
      <c r="K20" s="30"/>
      <c r="L20" s="30"/>
      <c r="M20" s="30"/>
      <c r="N20" s="30"/>
      <c r="O20" s="30"/>
      <c r="P20" s="30"/>
      <c r="Q20" s="30"/>
      <c r="R20" s="30"/>
      <c r="S20" s="30"/>
      <c r="T20" s="30"/>
      <c r="U20" s="30"/>
      <c r="V20" s="30"/>
      <c r="W20" s="30"/>
      <c r="X20" s="30"/>
      <c r="Y20" s="30"/>
    </row>
    <row r="21" spans="1:25" ht="15" thickBot="1" x14ac:dyDescent="0.4">
      <c r="A21" s="100">
        <v>6</v>
      </c>
      <c r="B21" s="375" t="str">
        <f>VLOOKUP(A21,INputs!$G$3:$O$22,8,FALSE)</f>
        <v>Please fill out Sensitivity Labels Tab</v>
      </c>
      <c r="C21" s="178"/>
      <c r="D21" s="10"/>
      <c r="E21" s="178"/>
      <c r="F21" s="179" t="b">
        <v>0</v>
      </c>
      <c r="G21" s="178" t="s">
        <v>224</v>
      </c>
      <c r="H21" s="178"/>
      <c r="I21" s="10"/>
      <c r="J21" s="178"/>
      <c r="K21" s="10"/>
      <c r="L21" s="178"/>
      <c r="M21" s="10"/>
      <c r="N21" s="178"/>
      <c r="O21" s="10"/>
      <c r="P21" s="178"/>
      <c r="Q21" s="10"/>
      <c r="R21" s="178"/>
      <c r="S21" s="10"/>
      <c r="T21" s="178"/>
      <c r="U21" s="10"/>
      <c r="V21" s="178"/>
      <c r="W21" s="10"/>
      <c r="X21" s="178"/>
      <c r="Y21" s="10"/>
    </row>
    <row r="22" spans="1:25" ht="6" customHeight="1" thickBot="1" x14ac:dyDescent="0.4">
      <c r="A22" s="88"/>
      <c r="B22" s="33"/>
      <c r="C22" s="30"/>
      <c r="D22" s="30"/>
      <c r="E22" s="30"/>
      <c r="F22" s="30"/>
      <c r="G22" s="30"/>
      <c r="H22" s="30"/>
      <c r="I22" s="30"/>
      <c r="J22" s="30"/>
      <c r="K22" s="30"/>
      <c r="L22" s="30"/>
      <c r="M22" s="30"/>
      <c r="N22" s="30"/>
      <c r="O22" s="30"/>
      <c r="P22" s="30"/>
      <c r="Q22" s="30"/>
      <c r="R22" s="30"/>
      <c r="S22" s="30"/>
      <c r="T22" s="30"/>
      <c r="U22" s="30"/>
      <c r="V22" s="30"/>
      <c r="W22" s="30"/>
      <c r="X22" s="30"/>
      <c r="Y22" s="30"/>
    </row>
    <row r="23" spans="1:25" ht="15" thickBot="1" x14ac:dyDescent="0.4">
      <c r="A23" s="100">
        <v>7</v>
      </c>
      <c r="B23" s="375" t="str">
        <f>VLOOKUP(A23,INputs!$G$3:$O$22,8,FALSE)</f>
        <v>Please fill out Sensitivity Labels Tab</v>
      </c>
      <c r="C23" s="178"/>
      <c r="D23" s="10"/>
      <c r="E23" s="178"/>
      <c r="F23" s="179" t="b">
        <v>0</v>
      </c>
      <c r="G23" s="178" t="s">
        <v>224</v>
      </c>
      <c r="H23" s="178"/>
      <c r="I23" s="10"/>
      <c r="J23" s="178"/>
      <c r="K23" s="10"/>
      <c r="L23" s="178"/>
      <c r="M23" s="10"/>
      <c r="N23" s="178"/>
      <c r="O23" s="10"/>
      <c r="P23" s="178"/>
      <c r="Q23" s="10"/>
      <c r="R23" s="178"/>
      <c r="S23" s="10"/>
      <c r="T23" s="178"/>
      <c r="U23" s="10"/>
      <c r="V23" s="178"/>
      <c r="W23" s="10"/>
      <c r="X23" s="178"/>
      <c r="Y23" s="10"/>
    </row>
    <row r="24" spans="1:25" ht="6" customHeight="1" thickBot="1" x14ac:dyDescent="0.4">
      <c r="A24" s="88"/>
      <c r="B24" s="33"/>
      <c r="C24" s="30"/>
      <c r="D24" s="30"/>
      <c r="E24" s="30"/>
      <c r="F24" s="30"/>
      <c r="G24" s="30"/>
      <c r="H24" s="30"/>
      <c r="I24" s="30"/>
      <c r="J24" s="30"/>
      <c r="K24" s="30"/>
      <c r="L24" s="30"/>
      <c r="M24" s="30"/>
      <c r="N24" s="30"/>
      <c r="O24" s="30"/>
      <c r="P24" s="30"/>
      <c r="Q24" s="30"/>
      <c r="R24" s="30"/>
      <c r="S24" s="30"/>
      <c r="T24" s="30"/>
      <c r="U24" s="30"/>
      <c r="V24" s="30"/>
      <c r="W24" s="30"/>
      <c r="X24" s="30"/>
      <c r="Y24" s="30"/>
    </row>
    <row r="25" spans="1:25" ht="15" thickBot="1" x14ac:dyDescent="0.4">
      <c r="A25" s="100">
        <v>8</v>
      </c>
      <c r="B25" s="375" t="str">
        <f>VLOOKUP(A25,INputs!$G$3:$O$22,8,FALSE)</f>
        <v>Please fill out Sensitivity Labels Tab</v>
      </c>
      <c r="C25" s="178"/>
      <c r="D25" s="10"/>
      <c r="E25" s="178"/>
      <c r="F25" s="179" t="b">
        <v>0</v>
      </c>
      <c r="G25" s="178" t="s">
        <v>224</v>
      </c>
      <c r="H25" s="178"/>
      <c r="I25" s="10"/>
      <c r="J25" s="178"/>
      <c r="K25" s="10"/>
      <c r="L25" s="178"/>
      <c r="M25" s="10"/>
      <c r="N25" s="178"/>
      <c r="O25" s="10"/>
      <c r="P25" s="178"/>
      <c r="Q25" s="10"/>
      <c r="R25" s="178"/>
      <c r="S25" s="10"/>
      <c r="T25" s="178"/>
      <c r="U25" s="10"/>
      <c r="V25" s="178"/>
      <c r="W25" s="10"/>
      <c r="X25" s="178"/>
      <c r="Y25" s="10"/>
    </row>
    <row r="26" spans="1:25" ht="6" customHeight="1" thickBot="1" x14ac:dyDescent="0.4">
      <c r="B26" s="33"/>
      <c r="C26" s="30"/>
      <c r="D26" s="30"/>
      <c r="E26" s="30"/>
      <c r="F26" s="30"/>
      <c r="G26" s="30"/>
      <c r="H26" s="30"/>
      <c r="I26" s="30"/>
      <c r="J26" s="30"/>
      <c r="K26" s="30"/>
      <c r="L26" s="30"/>
      <c r="M26" s="30"/>
      <c r="N26" s="30"/>
      <c r="O26" s="30"/>
      <c r="P26" s="30"/>
      <c r="Q26" s="30"/>
      <c r="R26" s="30"/>
      <c r="S26" s="30"/>
      <c r="T26" s="30"/>
      <c r="U26" s="30"/>
      <c r="V26" s="30"/>
      <c r="W26" s="30"/>
      <c r="X26" s="30"/>
      <c r="Y26" s="30"/>
    </row>
    <row r="27" spans="1:25" ht="15" thickBot="1" x14ac:dyDescent="0.4">
      <c r="A27" s="100">
        <v>9</v>
      </c>
      <c r="B27" s="375" t="str">
        <f>VLOOKUP(A27,INputs!$G$3:$O$22,8,FALSE)</f>
        <v>Please fill out Sensitivity Labels Tab</v>
      </c>
      <c r="C27" s="178"/>
      <c r="D27" s="10"/>
      <c r="E27" s="178"/>
      <c r="F27" s="179" t="b">
        <v>0</v>
      </c>
      <c r="G27" s="178" t="s">
        <v>224</v>
      </c>
      <c r="H27" s="178"/>
      <c r="I27" s="10"/>
      <c r="J27" s="178"/>
      <c r="K27" s="10"/>
      <c r="L27" s="178"/>
      <c r="M27" s="10"/>
      <c r="N27" s="178"/>
      <c r="O27" s="10"/>
      <c r="P27" s="178"/>
      <c r="Q27" s="10"/>
      <c r="R27" s="178"/>
      <c r="S27" s="10"/>
      <c r="T27" s="178"/>
      <c r="U27" s="10"/>
      <c r="V27" s="178"/>
      <c r="W27" s="10"/>
      <c r="X27" s="178"/>
      <c r="Y27" s="10"/>
    </row>
    <row r="28" spans="1:25" ht="6" customHeight="1" thickBot="1" x14ac:dyDescent="0.4">
      <c r="B28" s="33"/>
      <c r="C28" s="30"/>
      <c r="D28" s="30"/>
      <c r="E28" s="30"/>
      <c r="F28" s="30"/>
      <c r="G28" s="30"/>
      <c r="H28" s="30"/>
      <c r="I28" s="30"/>
      <c r="J28" s="30"/>
      <c r="K28" s="30"/>
      <c r="L28" s="30"/>
      <c r="M28" s="30"/>
      <c r="N28" s="30"/>
      <c r="O28" s="30"/>
      <c r="P28" s="30"/>
      <c r="Q28" s="30"/>
      <c r="R28" s="30"/>
      <c r="S28" s="30"/>
      <c r="T28" s="30"/>
      <c r="U28" s="30"/>
      <c r="V28" s="30"/>
      <c r="W28" s="30"/>
      <c r="X28" s="30"/>
      <c r="Y28" s="30"/>
    </row>
    <row r="29" spans="1:25" ht="15" thickBot="1" x14ac:dyDescent="0.4">
      <c r="A29" s="100">
        <v>10</v>
      </c>
      <c r="B29" s="375" t="str">
        <f>VLOOKUP(A29,INputs!$G$3:$O$22,8,FALSE)</f>
        <v>Please fill out Sensitivity Labels Tab</v>
      </c>
      <c r="C29" s="178"/>
      <c r="D29" s="10"/>
      <c r="E29" s="178"/>
      <c r="F29" s="179" t="b">
        <v>0</v>
      </c>
      <c r="G29" s="178" t="s">
        <v>224</v>
      </c>
      <c r="H29" s="178"/>
      <c r="I29" s="10"/>
      <c r="J29" s="178"/>
      <c r="K29" s="10"/>
      <c r="L29" s="178"/>
      <c r="M29" s="10"/>
      <c r="N29" s="178"/>
      <c r="O29" s="10"/>
      <c r="P29" s="178"/>
      <c r="Q29" s="10"/>
      <c r="R29" s="178"/>
      <c r="S29" s="10"/>
      <c r="T29" s="178"/>
      <c r="U29" s="10"/>
      <c r="V29" s="178"/>
      <c r="W29" s="10"/>
      <c r="X29" s="178"/>
      <c r="Y29" s="10"/>
    </row>
    <row r="30" spans="1:25" ht="6" customHeight="1" thickBot="1" x14ac:dyDescent="0.4">
      <c r="B30" s="33"/>
      <c r="C30" s="30"/>
      <c r="D30" s="30"/>
      <c r="E30" s="30"/>
      <c r="F30" s="30"/>
      <c r="G30" s="30"/>
      <c r="H30" s="30"/>
      <c r="I30" s="30"/>
      <c r="J30" s="30"/>
      <c r="K30" s="30"/>
      <c r="L30" s="30"/>
      <c r="M30" s="30"/>
      <c r="N30" s="30"/>
      <c r="O30" s="30"/>
      <c r="P30" s="30"/>
      <c r="Q30" s="30"/>
      <c r="R30" s="30"/>
      <c r="S30" s="30"/>
      <c r="T30" s="30"/>
      <c r="U30" s="30"/>
      <c r="V30" s="30"/>
      <c r="W30" s="30"/>
      <c r="X30" s="30"/>
      <c r="Y30" s="30"/>
    </row>
    <row r="31" spans="1:25" ht="15" thickBot="1" x14ac:dyDescent="0.4">
      <c r="A31" s="100">
        <f>A29+1</f>
        <v>11</v>
      </c>
      <c r="B31" s="375" t="str">
        <f>VLOOKUP(A31,INputs!$G$3:$O$22,8,FALSE)</f>
        <v>Please fill out Sensitivity Labels Tab</v>
      </c>
      <c r="C31" s="178"/>
      <c r="D31" s="10"/>
      <c r="E31" s="178"/>
      <c r="F31" s="179" t="b">
        <v>0</v>
      </c>
      <c r="G31" s="178" t="s">
        <v>224</v>
      </c>
      <c r="H31" s="178"/>
      <c r="I31" s="10"/>
      <c r="J31" s="178"/>
      <c r="K31" s="10"/>
      <c r="L31" s="178"/>
      <c r="M31" s="10"/>
      <c r="N31" s="178"/>
      <c r="O31" s="10"/>
      <c r="P31" s="178"/>
      <c r="Q31" s="10"/>
      <c r="R31" s="178"/>
      <c r="S31" s="10"/>
      <c r="T31" s="178"/>
      <c r="U31" s="10"/>
      <c r="V31" s="178"/>
      <c r="W31" s="10"/>
      <c r="X31" s="178"/>
      <c r="Y31" s="10"/>
    </row>
    <row r="32" spans="1:25" ht="6" customHeight="1" thickBot="1" x14ac:dyDescent="0.4">
      <c r="B32" s="33"/>
      <c r="C32" s="30"/>
      <c r="D32" s="30"/>
      <c r="E32" s="30"/>
      <c r="F32" s="30"/>
      <c r="G32" s="30"/>
      <c r="H32" s="30"/>
      <c r="I32" s="30"/>
      <c r="J32" s="30"/>
      <c r="K32" s="30"/>
      <c r="L32" s="30"/>
      <c r="M32" s="30"/>
      <c r="N32" s="30"/>
      <c r="O32" s="30"/>
      <c r="P32" s="30"/>
      <c r="Q32" s="30"/>
      <c r="R32" s="30"/>
      <c r="S32" s="30"/>
      <c r="T32" s="30"/>
      <c r="U32" s="30"/>
      <c r="V32" s="30"/>
      <c r="W32" s="30"/>
      <c r="X32" s="30"/>
      <c r="Y32" s="30"/>
    </row>
    <row r="33" spans="1:25" ht="15" thickBot="1" x14ac:dyDescent="0.4">
      <c r="A33" s="100">
        <f>A31+1</f>
        <v>12</v>
      </c>
      <c r="B33" s="375" t="str">
        <f>VLOOKUP(A33,INputs!$G$3:$O$22,8,FALSE)</f>
        <v>Please fill out Sensitivity Labels Tab</v>
      </c>
      <c r="C33" s="178"/>
      <c r="D33" s="10"/>
      <c r="E33" s="178"/>
      <c r="F33" s="179" t="b">
        <v>0</v>
      </c>
      <c r="G33" s="178" t="s">
        <v>224</v>
      </c>
      <c r="H33" s="178"/>
      <c r="I33" s="10"/>
      <c r="J33" s="178"/>
      <c r="K33" s="10"/>
      <c r="L33" s="178"/>
      <c r="M33" s="10"/>
      <c r="N33" s="178"/>
      <c r="O33" s="10"/>
      <c r="P33" s="178"/>
      <c r="Q33" s="10"/>
      <c r="R33" s="178"/>
      <c r="S33" s="10"/>
      <c r="T33" s="178"/>
      <c r="U33" s="10"/>
      <c r="V33" s="178"/>
      <c r="W33" s="10"/>
      <c r="X33" s="178"/>
      <c r="Y33" s="10"/>
    </row>
    <row r="34" spans="1:25" ht="6" customHeight="1" thickBot="1" x14ac:dyDescent="0.4">
      <c r="B34" s="33"/>
      <c r="C34" s="30"/>
      <c r="D34" s="30"/>
      <c r="E34" s="30"/>
      <c r="F34" s="30"/>
      <c r="G34" s="30"/>
      <c r="H34" s="30"/>
      <c r="I34" s="30"/>
      <c r="J34" s="30"/>
      <c r="K34" s="30"/>
      <c r="L34" s="30"/>
      <c r="M34" s="30"/>
      <c r="N34" s="30"/>
      <c r="O34" s="30"/>
      <c r="P34" s="30"/>
      <c r="Q34" s="30"/>
      <c r="R34" s="30"/>
      <c r="S34" s="30"/>
      <c r="T34" s="30"/>
      <c r="U34" s="30"/>
      <c r="V34" s="30"/>
      <c r="W34" s="30"/>
      <c r="X34" s="30"/>
      <c r="Y34" s="30"/>
    </row>
    <row r="35" spans="1:25" ht="15" thickBot="1" x14ac:dyDescent="0.4">
      <c r="A35" s="100">
        <f>A33+1</f>
        <v>13</v>
      </c>
      <c r="B35" s="375" t="str">
        <f>VLOOKUP(A35,INputs!$G$3:$O$22,8,FALSE)</f>
        <v>Please fill out Sensitivity Labels Tab</v>
      </c>
      <c r="C35" s="178"/>
      <c r="D35" s="10"/>
      <c r="E35" s="178"/>
      <c r="F35" s="179" t="b">
        <v>0</v>
      </c>
      <c r="G35" s="178" t="s">
        <v>224</v>
      </c>
      <c r="H35" s="178"/>
      <c r="I35" s="10"/>
      <c r="J35" s="178"/>
      <c r="K35" s="10"/>
      <c r="L35" s="178"/>
      <c r="M35" s="10"/>
      <c r="N35" s="178"/>
      <c r="O35" s="10"/>
      <c r="P35" s="178"/>
      <c r="Q35" s="10"/>
      <c r="R35" s="178"/>
      <c r="S35" s="10"/>
      <c r="T35" s="178"/>
      <c r="U35" s="10"/>
      <c r="V35" s="178"/>
      <c r="W35" s="10"/>
      <c r="X35" s="178"/>
      <c r="Y35" s="10"/>
    </row>
    <row r="36" spans="1:25" ht="6" customHeight="1" thickBot="1" x14ac:dyDescent="0.4">
      <c r="B36" s="33"/>
      <c r="C36" s="30"/>
      <c r="D36" s="30"/>
      <c r="E36" s="30"/>
      <c r="F36" s="30"/>
      <c r="G36" s="30"/>
      <c r="H36" s="30"/>
      <c r="I36" s="30"/>
      <c r="J36" s="30"/>
      <c r="K36" s="30"/>
      <c r="L36" s="30"/>
      <c r="M36" s="30"/>
      <c r="N36" s="30"/>
      <c r="O36" s="30"/>
      <c r="P36" s="30"/>
      <c r="Q36" s="30"/>
      <c r="R36" s="30"/>
      <c r="S36" s="30"/>
      <c r="T36" s="30"/>
      <c r="U36" s="30"/>
      <c r="V36" s="30"/>
      <c r="W36" s="30"/>
      <c r="X36" s="30"/>
      <c r="Y36" s="30"/>
    </row>
    <row r="37" spans="1:25" ht="15" thickBot="1" x14ac:dyDescent="0.4">
      <c r="A37" s="100">
        <f>A35+1</f>
        <v>14</v>
      </c>
      <c r="B37" s="375" t="str">
        <f>VLOOKUP(A37,INputs!$G$3:$O$22,8,FALSE)</f>
        <v>Please fill out Sensitivity Labels Tab</v>
      </c>
      <c r="C37" s="178"/>
      <c r="D37" s="10"/>
      <c r="E37" s="178"/>
      <c r="F37" s="179" t="b">
        <v>0</v>
      </c>
      <c r="G37" s="178" t="s">
        <v>224</v>
      </c>
      <c r="H37" s="178"/>
      <c r="I37" s="10"/>
      <c r="J37" s="178"/>
      <c r="K37" s="10"/>
      <c r="L37" s="178"/>
      <c r="M37" s="10"/>
      <c r="N37" s="178"/>
      <c r="O37" s="10"/>
      <c r="P37" s="178"/>
      <c r="Q37" s="10"/>
      <c r="R37" s="178"/>
      <c r="S37" s="10"/>
      <c r="T37" s="178"/>
      <c r="U37" s="10"/>
      <c r="V37" s="178"/>
      <c r="W37" s="10"/>
      <c r="X37" s="178"/>
      <c r="Y37" s="10"/>
    </row>
    <row r="38" spans="1:25" ht="6" customHeight="1" thickBot="1" x14ac:dyDescent="0.4">
      <c r="B38" s="33"/>
      <c r="C38" s="30"/>
      <c r="D38" s="30"/>
      <c r="E38" s="30"/>
      <c r="F38" s="30"/>
      <c r="G38" s="30"/>
      <c r="H38" s="30"/>
      <c r="I38" s="30"/>
      <c r="J38" s="30"/>
      <c r="K38" s="30"/>
      <c r="L38" s="30"/>
      <c r="M38" s="30"/>
      <c r="N38" s="30"/>
      <c r="O38" s="30"/>
      <c r="P38" s="30"/>
      <c r="Q38" s="30"/>
      <c r="R38" s="30"/>
      <c r="S38" s="30"/>
      <c r="T38" s="30"/>
      <c r="U38" s="30"/>
      <c r="V38" s="30"/>
      <c r="W38" s="30"/>
      <c r="X38" s="30"/>
      <c r="Y38" s="30"/>
    </row>
    <row r="39" spans="1:25" ht="15" thickBot="1" x14ac:dyDescent="0.4">
      <c r="A39" s="100">
        <f>A37+1</f>
        <v>15</v>
      </c>
      <c r="B39" s="375" t="str">
        <f>VLOOKUP(A39,INputs!$G$3:$O$22,8,FALSE)</f>
        <v>Please fill out Sensitivity Labels Tab</v>
      </c>
      <c r="C39" s="178"/>
      <c r="D39" s="10"/>
      <c r="E39" s="178"/>
      <c r="F39" s="179" t="b">
        <v>0</v>
      </c>
      <c r="G39" s="178" t="s">
        <v>224</v>
      </c>
      <c r="H39" s="178"/>
      <c r="I39" s="10"/>
      <c r="J39" s="178"/>
      <c r="K39" s="10"/>
      <c r="L39" s="178"/>
      <c r="M39" s="10"/>
      <c r="N39" s="178"/>
      <c r="O39" s="10"/>
      <c r="P39" s="178"/>
      <c r="Q39" s="10"/>
      <c r="R39" s="178"/>
      <c r="S39" s="10"/>
      <c r="T39" s="178"/>
      <c r="U39" s="10"/>
      <c r="V39" s="178"/>
      <c r="W39" s="10"/>
      <c r="X39" s="178"/>
      <c r="Y39" s="10"/>
    </row>
    <row r="40" spans="1:25" ht="6" customHeight="1" thickBot="1" x14ac:dyDescent="0.4">
      <c r="B40" s="33"/>
      <c r="C40" s="30"/>
      <c r="D40" s="30"/>
      <c r="E40" s="30"/>
      <c r="F40" s="30"/>
      <c r="G40" s="30"/>
      <c r="H40" s="30"/>
      <c r="I40" s="30"/>
      <c r="J40" s="30"/>
      <c r="K40" s="30"/>
      <c r="L40" s="30"/>
      <c r="M40" s="30"/>
      <c r="N40" s="30"/>
      <c r="O40" s="30"/>
      <c r="P40" s="30"/>
      <c r="Q40" s="30"/>
      <c r="R40" s="30"/>
      <c r="S40" s="30"/>
      <c r="T40" s="30"/>
      <c r="U40" s="30"/>
      <c r="V40" s="30"/>
      <c r="W40" s="30"/>
      <c r="X40" s="30"/>
      <c r="Y40" s="30"/>
    </row>
    <row r="41" spans="1:25" ht="15" thickBot="1" x14ac:dyDescent="0.4">
      <c r="A41" s="100">
        <f>A39+1</f>
        <v>16</v>
      </c>
      <c r="B41" s="375" t="str">
        <f>VLOOKUP(A41,INputs!$G$3:$O$22,8,FALSE)</f>
        <v>Please fill out Sensitivity Labels Tab</v>
      </c>
      <c r="C41" s="178"/>
      <c r="D41" s="10"/>
      <c r="E41" s="178"/>
      <c r="F41" s="179" t="b">
        <v>0</v>
      </c>
      <c r="G41" s="178" t="s">
        <v>224</v>
      </c>
      <c r="H41" s="178"/>
      <c r="I41" s="10"/>
      <c r="J41" s="178"/>
      <c r="K41" s="10"/>
      <c r="L41" s="178"/>
      <c r="M41" s="10"/>
      <c r="N41" s="178"/>
      <c r="O41" s="10"/>
      <c r="P41" s="178"/>
      <c r="Q41" s="10"/>
      <c r="R41" s="178"/>
      <c r="S41" s="10"/>
      <c r="T41" s="178"/>
      <c r="U41" s="10"/>
      <c r="V41" s="178"/>
      <c r="W41" s="10"/>
      <c r="X41" s="178"/>
      <c r="Y41" s="10"/>
    </row>
    <row r="42" spans="1:25" ht="6" customHeight="1" thickBot="1" x14ac:dyDescent="0.4">
      <c r="B42" s="33"/>
      <c r="C42" s="30"/>
      <c r="D42" s="30"/>
      <c r="E42" s="30"/>
      <c r="F42" s="30"/>
      <c r="G42" s="30"/>
      <c r="H42" s="30"/>
      <c r="I42" s="30"/>
      <c r="J42" s="30"/>
      <c r="K42" s="30"/>
      <c r="L42" s="30"/>
      <c r="M42" s="30"/>
      <c r="N42" s="30"/>
      <c r="O42" s="30"/>
      <c r="P42" s="30"/>
      <c r="Q42" s="30"/>
      <c r="R42" s="30"/>
      <c r="S42" s="30"/>
      <c r="T42" s="30"/>
      <c r="U42" s="30"/>
      <c r="V42" s="30"/>
      <c r="W42" s="30"/>
      <c r="X42" s="30"/>
      <c r="Y42" s="30"/>
    </row>
    <row r="43" spans="1:25" ht="15" thickBot="1" x14ac:dyDescent="0.4">
      <c r="A43" s="100">
        <f>A41+1</f>
        <v>17</v>
      </c>
      <c r="B43" s="375" t="str">
        <f>VLOOKUP(A43,INputs!$G$3:$O$22,8,FALSE)</f>
        <v>Please fill out Sensitivity Labels Tab</v>
      </c>
      <c r="C43" s="178"/>
      <c r="D43" s="10"/>
      <c r="E43" s="178"/>
      <c r="F43" s="179" t="b">
        <v>0</v>
      </c>
      <c r="G43" s="178" t="s">
        <v>224</v>
      </c>
      <c r="H43" s="178"/>
      <c r="I43" s="10"/>
      <c r="J43" s="178"/>
      <c r="K43" s="10"/>
      <c r="L43" s="178"/>
      <c r="M43" s="10"/>
      <c r="N43" s="178"/>
      <c r="O43" s="10"/>
      <c r="P43" s="178"/>
      <c r="Q43" s="10"/>
      <c r="R43" s="178"/>
      <c r="S43" s="10"/>
      <c r="T43" s="178"/>
      <c r="U43" s="10"/>
      <c r="V43" s="178"/>
      <c r="W43" s="10"/>
      <c r="X43" s="178"/>
      <c r="Y43" s="10"/>
    </row>
    <row r="44" spans="1:25" ht="6" customHeight="1" thickBot="1" x14ac:dyDescent="0.4">
      <c r="B44" s="33"/>
      <c r="C44" s="30"/>
      <c r="D44" s="30"/>
      <c r="E44" s="30"/>
      <c r="F44" s="30"/>
      <c r="G44" s="30"/>
      <c r="H44" s="30"/>
      <c r="I44" s="30"/>
      <c r="J44" s="30"/>
      <c r="K44" s="30"/>
      <c r="L44" s="30"/>
      <c r="M44" s="30"/>
      <c r="N44" s="30"/>
      <c r="O44" s="30"/>
      <c r="P44" s="30"/>
      <c r="Q44" s="30"/>
      <c r="R44" s="30"/>
      <c r="S44" s="30"/>
      <c r="T44" s="30"/>
      <c r="U44" s="30"/>
      <c r="V44" s="30"/>
      <c r="W44" s="30"/>
      <c r="X44" s="30"/>
      <c r="Y44" s="30"/>
    </row>
    <row r="45" spans="1:25" ht="15" thickBot="1" x14ac:dyDescent="0.4">
      <c r="A45" s="100">
        <f>A43+1</f>
        <v>18</v>
      </c>
      <c r="B45" s="375" t="str">
        <f>VLOOKUP(A45,INputs!$G$3:$O$22,8,FALSE)</f>
        <v>Please fill out Sensitivity Labels Tab</v>
      </c>
      <c r="C45" s="178"/>
      <c r="D45" s="10"/>
      <c r="E45" s="178"/>
      <c r="F45" s="179" t="b">
        <v>0</v>
      </c>
      <c r="G45" s="178" t="s">
        <v>224</v>
      </c>
      <c r="H45" s="178"/>
      <c r="I45" s="10"/>
      <c r="J45" s="178"/>
      <c r="K45" s="10"/>
      <c r="L45" s="178"/>
      <c r="M45" s="10"/>
      <c r="N45" s="178"/>
      <c r="O45" s="10"/>
      <c r="P45" s="178"/>
      <c r="Q45" s="10"/>
      <c r="R45" s="178"/>
      <c r="S45" s="10"/>
      <c r="T45" s="178"/>
      <c r="U45" s="10"/>
      <c r="V45" s="178"/>
      <c r="W45" s="10"/>
      <c r="X45" s="178"/>
      <c r="Y45" s="10"/>
    </row>
    <row r="46" spans="1:25" ht="6" customHeight="1" thickBot="1" x14ac:dyDescent="0.4">
      <c r="B46" s="33"/>
      <c r="C46" s="30"/>
      <c r="D46" s="30"/>
      <c r="E46" s="30"/>
      <c r="F46" s="30"/>
      <c r="G46" s="30"/>
      <c r="H46" s="30"/>
      <c r="I46" s="30"/>
      <c r="J46" s="30"/>
      <c r="K46" s="30"/>
      <c r="L46" s="30"/>
      <c r="M46" s="30"/>
      <c r="N46" s="30"/>
      <c r="O46" s="30"/>
      <c r="P46" s="30"/>
      <c r="Q46" s="30"/>
      <c r="R46" s="30"/>
      <c r="S46" s="30"/>
      <c r="T46" s="30"/>
      <c r="U46" s="30"/>
      <c r="V46" s="30"/>
      <c r="W46" s="30"/>
      <c r="X46" s="30"/>
      <c r="Y46" s="30"/>
    </row>
    <row r="47" spans="1:25" ht="15" thickBot="1" x14ac:dyDescent="0.4">
      <c r="A47" s="100">
        <f>A45+1</f>
        <v>19</v>
      </c>
      <c r="B47" s="375" t="str">
        <f>VLOOKUP(A47,INputs!$G$3:$O$22,8,FALSE)</f>
        <v>Please fill out Sensitivity Labels Tab</v>
      </c>
      <c r="C47" s="178"/>
      <c r="D47" s="10"/>
      <c r="E47" s="178"/>
      <c r="F47" s="179" t="b">
        <v>0</v>
      </c>
      <c r="G47" s="178" t="s">
        <v>224</v>
      </c>
      <c r="H47" s="178"/>
      <c r="I47" s="10"/>
      <c r="J47" s="178"/>
      <c r="K47" s="10"/>
      <c r="L47" s="178"/>
      <c r="M47" s="10"/>
      <c r="N47" s="178"/>
      <c r="O47" s="10"/>
      <c r="P47" s="178"/>
      <c r="Q47" s="10"/>
      <c r="R47" s="178"/>
      <c r="S47" s="10"/>
      <c r="T47" s="178"/>
      <c r="U47" s="377"/>
      <c r="V47" s="178"/>
      <c r="W47" s="10"/>
      <c r="X47" s="178"/>
      <c r="Y47" s="10"/>
    </row>
    <row r="48" spans="1:25" ht="6" customHeight="1" thickBot="1" x14ac:dyDescent="0.4">
      <c r="B48" s="33"/>
      <c r="C48" s="30"/>
      <c r="D48" s="30"/>
      <c r="E48" s="30"/>
      <c r="F48" s="30"/>
      <c r="G48" s="30"/>
      <c r="H48" s="30"/>
      <c r="I48" s="30"/>
      <c r="J48" s="30"/>
      <c r="K48" s="30"/>
      <c r="L48" s="30"/>
      <c r="M48" s="30"/>
      <c r="N48" s="30"/>
      <c r="O48" s="30"/>
      <c r="P48" s="30"/>
      <c r="Q48" s="30"/>
      <c r="R48" s="30"/>
      <c r="S48" s="30"/>
      <c r="T48" s="30"/>
      <c r="U48" s="30"/>
      <c r="V48" s="30"/>
      <c r="W48" s="30"/>
      <c r="X48" s="30"/>
      <c r="Y48" s="30"/>
    </row>
    <row r="49" spans="1:25" ht="15" thickBot="1" x14ac:dyDescent="0.4">
      <c r="A49" s="100">
        <f>A47+1</f>
        <v>20</v>
      </c>
      <c r="B49" s="375" t="str">
        <f>VLOOKUP(A49,INputs!$G$3:$O$22,8,FALSE)</f>
        <v>Please fill out Sensitivity Labels Tab</v>
      </c>
      <c r="C49" s="178"/>
      <c r="D49" s="10"/>
      <c r="E49" s="178"/>
      <c r="F49" s="179" t="b">
        <v>0</v>
      </c>
      <c r="G49" s="178" t="s">
        <v>224</v>
      </c>
      <c r="H49" s="178"/>
      <c r="I49" s="10"/>
      <c r="J49" s="178"/>
      <c r="K49" s="10"/>
      <c r="L49" s="178"/>
      <c r="M49" s="10"/>
      <c r="N49" s="178"/>
      <c r="O49" s="10"/>
      <c r="P49" s="178"/>
      <c r="Q49" s="10"/>
      <c r="R49" s="178"/>
      <c r="S49" s="10"/>
      <c r="T49" s="178"/>
      <c r="U49" s="10"/>
      <c r="V49" s="178"/>
      <c r="W49" s="10"/>
      <c r="X49" s="178"/>
      <c r="Y49" s="10"/>
    </row>
    <row r="50" spans="1:25" ht="6" customHeight="1" x14ac:dyDescent="0.35">
      <c r="B50" s="33"/>
      <c r="C50" s="30"/>
      <c r="D50" s="30"/>
      <c r="E50" s="30"/>
      <c r="F50" s="30"/>
      <c r="G50" s="30"/>
      <c r="H50" s="30"/>
      <c r="I50" s="30"/>
      <c r="J50" s="30"/>
      <c r="K50" s="30"/>
      <c r="L50" s="30"/>
      <c r="M50" s="30"/>
      <c r="N50" s="30"/>
      <c r="O50" s="30"/>
      <c r="P50" s="30"/>
      <c r="Q50" s="30"/>
      <c r="R50" s="30"/>
      <c r="S50" s="30"/>
      <c r="T50" s="30"/>
      <c r="U50" s="30"/>
      <c r="V50" s="30"/>
      <c r="W50" s="30"/>
      <c r="X50" s="30"/>
      <c r="Y50" s="30"/>
    </row>
  </sheetData>
  <mergeCells count="17">
    <mergeCell ref="Q7:S7"/>
    <mergeCell ref="Q8:S8"/>
    <mergeCell ref="Q2:S2"/>
    <mergeCell ref="Q3:S3"/>
    <mergeCell ref="Q4:S4"/>
    <mergeCell ref="Q5:S5"/>
    <mergeCell ref="Q6:S6"/>
    <mergeCell ref="B1:D1"/>
    <mergeCell ref="D3:G3"/>
    <mergeCell ref="D2:G2"/>
    <mergeCell ref="F9:G9"/>
    <mergeCell ref="A4:A8"/>
    <mergeCell ref="D8:G8"/>
    <mergeCell ref="D7:G7"/>
    <mergeCell ref="D6:G6"/>
    <mergeCell ref="D5:G5"/>
    <mergeCell ref="D4:G4"/>
  </mergeCells>
  <conditionalFormatting sqref="O11">
    <cfRule type="expression" dxfId="1587" priority="553">
      <formula>$U11="yes"</formula>
    </cfRule>
  </conditionalFormatting>
  <conditionalFormatting sqref="O13">
    <cfRule type="expression" dxfId="1581" priority="429">
      <formula>$U13="yes"</formula>
    </cfRule>
  </conditionalFormatting>
  <conditionalFormatting sqref="O15">
    <cfRule type="expression" dxfId="1573" priority="424">
      <formula>$U15="yes"</formula>
    </cfRule>
  </conditionalFormatting>
  <conditionalFormatting sqref="O17">
    <cfRule type="expression" dxfId="1569" priority="419">
      <formula>$U17="yes"</formula>
    </cfRule>
  </conditionalFormatting>
  <conditionalFormatting sqref="O19">
    <cfRule type="expression" dxfId="1564" priority="414">
      <formula>$U19="yes"</formula>
    </cfRule>
  </conditionalFormatting>
  <conditionalFormatting sqref="O21">
    <cfRule type="expression" dxfId="1559" priority="409">
      <formula>$U21="yes"</formula>
    </cfRule>
  </conditionalFormatting>
  <conditionalFormatting sqref="O23">
    <cfRule type="expression" dxfId="1554" priority="404">
      <formula>$U23="yes"</formula>
    </cfRule>
  </conditionalFormatting>
  <conditionalFormatting sqref="O25">
    <cfRule type="expression" dxfId="1551" priority="399">
      <formula>$U25="yes"</formula>
    </cfRule>
  </conditionalFormatting>
  <conditionalFormatting sqref="O27">
    <cfRule type="expression" dxfId="1547" priority="394">
      <formula>$U27="yes"</formula>
    </cfRule>
  </conditionalFormatting>
  <conditionalFormatting sqref="O29">
    <cfRule type="expression" dxfId="1540" priority="389">
      <formula>$U29="yes"</formula>
    </cfRule>
  </conditionalFormatting>
  <conditionalFormatting sqref="O31">
    <cfRule type="expression" dxfId="1537" priority="384">
      <formula>$U31="yes"</formula>
    </cfRule>
  </conditionalFormatting>
  <conditionalFormatting sqref="O33">
    <cfRule type="expression" dxfId="1531" priority="379">
      <formula>$U33="yes"</formula>
    </cfRule>
  </conditionalFormatting>
  <conditionalFormatting sqref="O35">
    <cfRule type="expression" dxfId="1527" priority="374">
      <formula>$U35="yes"</formula>
    </cfRule>
  </conditionalFormatting>
  <conditionalFormatting sqref="O37">
    <cfRule type="expression" dxfId="1518" priority="369">
      <formula>$U37="yes"</formula>
    </cfRule>
  </conditionalFormatting>
  <conditionalFormatting sqref="O39">
    <cfRule type="expression" dxfId="1516" priority="364">
      <formula>$U39="yes"</formula>
    </cfRule>
  </conditionalFormatting>
  <conditionalFormatting sqref="O41">
    <cfRule type="expression" dxfId="1510" priority="359">
      <formula>$U41="yes"</formula>
    </cfRule>
  </conditionalFormatting>
  <conditionalFormatting sqref="O43">
    <cfRule type="expression" dxfId="1507" priority="354">
      <formula>$U43="yes"</formula>
    </cfRule>
  </conditionalFormatting>
  <conditionalFormatting sqref="O45">
    <cfRule type="expression" dxfId="1499" priority="349">
      <formula>$U45="yes"</formula>
    </cfRule>
  </conditionalFormatting>
  <conditionalFormatting sqref="O47">
    <cfRule type="expression" dxfId="1497" priority="344">
      <formula>$U47="yes"</formula>
    </cfRule>
  </conditionalFormatting>
  <conditionalFormatting sqref="O49">
    <cfRule type="expression" dxfId="1491" priority="339">
      <formula>$U49="yes"</formula>
    </cfRule>
  </conditionalFormatting>
  <dataValidations count="9">
    <dataValidation type="list" allowBlank="1" showInputMessage="1" showErrorMessage="1" sqref="D45:E45 D11:E11 D47:E47 D13:E13 D15:E15 D17:E17 D19:E19 D33:E33 D21:E21 D23:E23 D25:E25 D27:E27 D29:E29 D31:E31 D35:E35 D37:E37 D39:E39 D41:E41 D43:E43 D49:E49" xr:uid="{FC73C5B7-1291-4963-ADFC-9B9610ABBF1C}">
      <formula1>Lobby</formula1>
    </dataValidation>
    <dataValidation type="list" allowBlank="1" showInputMessage="1" showErrorMessage="1" sqref="I11 I47 I13 I15 I17 I19 I21 I23 I25 I27 I29 I31 I33 I35 I37 I39 I41 I43 I45 I49" xr:uid="{2192D3C7-C589-4C29-B929-ECA6FBF07A60}">
      <formula1>present</formula1>
    </dataValidation>
    <dataValidation type="list" allowBlank="1" showInputMessage="1" showErrorMessage="1" sqref="K11 K43 K45 K47 K13 K15 K17 K19 K21 K23 K25 K27 K29 K31 K33 K35 K37 K39 K41 K49" xr:uid="{CA57BEAA-5276-4F62-A35E-2A63E9FC8853}">
      <formula1>record</formula1>
    </dataValidation>
    <dataValidation type="list" allowBlank="1" showInputMessage="1" showErrorMessage="1" sqref="M11 M45 M47 M13 M15 M17 M19 M21 M23 M25 M27 M29 M31 M33 M35 M37 M39 M41 M43 M49" xr:uid="{DE605889-E93A-4264-B101-CFB6DD27729A}">
      <formula1>Arecord</formula1>
    </dataValidation>
    <dataValidation type="list" allowBlank="1" showInputMessage="1" showErrorMessage="1" sqref="Q47:R47 Q45:R45 Q11:R11 Q13:R13 Q15:R15 Q17:R17 Q19:R19 Q21:R21 Q23:R23 Q25:R25 Q27:R27 Q29:R29 Q31:R31 Q33:R33 Q35:R35 Q37:R37 Q39:R39 Q41:R41 Q43:R43 Q49:R49" xr:uid="{F9456DBD-6BEB-4583-8C66-C52EE2EE04E7}">
      <formula1>WaterA</formula1>
    </dataValidation>
    <dataValidation type="list" allowBlank="1" showInputMessage="1" showErrorMessage="1" sqref="Q12:S12 Q10:S10 Q48:S48 Q14:S14 Q16:S16 Q18:S18 Q20:S20 Q22:S22 Q24:S24 Q26:S26 Q28:S28 Q30:S30 Q32:S32 Q34:S34 Q36:S36 Q38:S38 Q40:S40 Q42:S42 Q44:S44 Q46:S46 Q50:S50 S11 S13 S15 S17 S19 S21 S23 S25 S27 S29 S31 S33 S35 S37 S39 S41 S43 S45 S47 S49" xr:uid="{B265C1E1-9585-40D0-B4FC-047F624AA2B2}">
      <formula1>waterB</formula1>
    </dataValidation>
    <dataValidation type="list" allowBlank="1" showInputMessage="1" showErrorMessage="1" sqref="O11 O19 O47 O13 O45 O15 O17 O21 O23 O25 O27 O29 O31 O33 O35 O37 O39 O41 O43 O49" xr:uid="{96D47823-86C7-4EA8-9CDD-BAFFC3E83C62}">
      <formula1>encrypt</formula1>
    </dataValidation>
    <dataValidation type="list" allowBlank="1" showInputMessage="1" showErrorMessage="1" sqref="W11 W47 W13 W15 W17 W19 W21 W23 W25 W27 W29 W31 W33 W35 W37 W39 W41 W43 W45 W49" xr:uid="{AA7CD267-41FD-4A79-BAA2-7ABECF0FAEB1}">
      <formula1>meetchat</formula1>
    </dataValidation>
    <dataValidation type="list" allowBlank="1" showInputMessage="1" showErrorMessage="1" sqref="Y11 Y47 U11 U45 Y13 U47 Y15 U13 Y17 U15 Y19 U17 Y21 U19 Y23 U21 Y25 U23 Y27 U25 Y29 U27 Y31 U29 Y33 U31 Y35 U33 Y37 U35 Y39 U37 Y41 U39 Y43 U41 Y45 U43 Y49 U49" xr:uid="{29F8C41F-13DF-47D9-B83F-206E1FFBBE10}">
      <formula1>prevent</formula1>
    </dataValidation>
  </dataValidations>
  <hyperlinks>
    <hyperlink ref="D4:G4" r:id="rId1" display="IT Admins - Manage lobby options in Microsoft Teams" xr:uid="{4392738D-0DA6-4B05-B151-6A69EB672D57}"/>
    <hyperlink ref="Y4" r:id="rId2" location="prevent-copying-and-forwarding-for-chats-and-meeting-content" xr:uid="{A7BD3F0F-5A92-492E-91A5-6FDCAB2AFDD0}"/>
    <hyperlink ref="B4" r:id="rId3" xr:uid="{D1B4262F-3858-470F-AEDF-3C2CEEF5663E}"/>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22" id="{386AE6AB-6934-4076-8735-C7271B108B00}">
            <xm:f>$B11=INputs!$P$4</xm:f>
            <x14:dxf>
              <font>
                <color theme="2" tint="-0.24994659260841701"/>
              </font>
            </x14:dxf>
          </x14:cfRule>
          <x14:cfRule type="expression" priority="123" id="{4A042FAE-2E8B-43DB-9885-34669ABF3795}">
            <xm:f>$B11=INputs!$P$3</xm:f>
            <x14:dxf>
              <font>
                <color theme="2" tint="-0.24994659260841701"/>
              </font>
            </x14:dxf>
          </x14:cfRule>
          <xm:sqref>B11</xm:sqref>
        </x14:conditionalFormatting>
        <x14:conditionalFormatting xmlns:xm="http://schemas.microsoft.com/office/excel/2006/main">
          <x14:cfRule type="expression" priority="82" id="{6CE0B127-C8CC-4E93-BA47-D58A3B600386}">
            <xm:f>$B13=INputs!$P$4</xm:f>
            <x14:dxf>
              <font>
                <color theme="2" tint="-0.24994659260841701"/>
              </font>
            </x14:dxf>
          </x14:cfRule>
          <x14:cfRule type="expression" priority="83" id="{105D8A08-341C-4ACC-A3D8-0057EC97B18A}">
            <xm:f>$B13=INputs!$P$3</xm:f>
            <x14:dxf>
              <font>
                <color theme="2" tint="-0.24994659260841701"/>
              </font>
            </x14:dxf>
          </x14:cfRule>
          <xm:sqref>B13</xm:sqref>
        </x14:conditionalFormatting>
        <x14:conditionalFormatting xmlns:xm="http://schemas.microsoft.com/office/excel/2006/main">
          <x14:cfRule type="expression" priority="80" id="{165D9218-E7BA-4E1F-94C9-15EABD43B8FF}">
            <xm:f>$B15=INputs!$P$3</xm:f>
            <x14:dxf>
              <font>
                <color theme="2" tint="-0.24994659260841701"/>
              </font>
            </x14:dxf>
          </x14:cfRule>
          <x14:cfRule type="expression" priority="79" id="{CF3DC6ED-8088-467D-8DCD-DD01D3620830}">
            <xm:f>$B15=INputs!$P$4</xm:f>
            <x14:dxf>
              <font>
                <color theme="2" tint="-0.24994659260841701"/>
              </font>
            </x14:dxf>
          </x14:cfRule>
          <xm:sqref>B15</xm:sqref>
        </x14:conditionalFormatting>
        <x14:conditionalFormatting xmlns:xm="http://schemas.microsoft.com/office/excel/2006/main">
          <x14:cfRule type="expression" priority="77" id="{AE9664F9-C98F-4A50-A2B1-0132BF558EDC}">
            <xm:f>$B17=INputs!$P$3</xm:f>
            <x14:dxf>
              <font>
                <color theme="2" tint="-0.24994659260841701"/>
              </font>
            </x14:dxf>
          </x14:cfRule>
          <x14:cfRule type="expression" priority="76" id="{B6F4F92C-539A-4F42-B917-E16CDB9FB686}">
            <xm:f>$B17=INputs!$P$4</xm:f>
            <x14:dxf>
              <font>
                <color theme="2" tint="-0.24994659260841701"/>
              </font>
            </x14:dxf>
          </x14:cfRule>
          <xm:sqref>B17</xm:sqref>
        </x14:conditionalFormatting>
        <x14:conditionalFormatting xmlns:xm="http://schemas.microsoft.com/office/excel/2006/main">
          <x14:cfRule type="expression" priority="73" id="{7FDB1146-64E5-4D5B-BF76-9348CED55835}">
            <xm:f>$B19=INputs!$P$4</xm:f>
            <x14:dxf>
              <font>
                <color theme="2" tint="-0.24994659260841701"/>
              </font>
            </x14:dxf>
          </x14:cfRule>
          <x14:cfRule type="expression" priority="74" id="{4A6CAE88-BEE0-4744-873C-0F14C08A965D}">
            <xm:f>$B19=INputs!$P$3</xm:f>
            <x14:dxf>
              <font>
                <color theme="2" tint="-0.24994659260841701"/>
              </font>
            </x14:dxf>
          </x14:cfRule>
          <xm:sqref>B19</xm:sqref>
        </x14:conditionalFormatting>
        <x14:conditionalFormatting xmlns:xm="http://schemas.microsoft.com/office/excel/2006/main">
          <x14:cfRule type="expression" priority="71" id="{C3E2B02C-BD6D-4F01-B22D-E922B9F3F15B}">
            <xm:f>$B21=INputs!$P$3</xm:f>
            <x14:dxf>
              <font>
                <color theme="2" tint="-0.24994659260841701"/>
              </font>
            </x14:dxf>
          </x14:cfRule>
          <x14:cfRule type="expression" priority="70" id="{E3078FB5-0FF3-4AC4-AB9D-78953336FEC4}">
            <xm:f>$B21=INputs!$P$4</xm:f>
            <x14:dxf>
              <font>
                <color theme="2" tint="-0.24994659260841701"/>
              </font>
            </x14:dxf>
          </x14:cfRule>
          <xm:sqref>B21</xm:sqref>
        </x14:conditionalFormatting>
        <x14:conditionalFormatting xmlns:xm="http://schemas.microsoft.com/office/excel/2006/main">
          <x14:cfRule type="expression" priority="62" id="{88F1EDC0-20D2-455F-87B7-4EE216FBC86E}">
            <xm:f>$B23=INputs!$P$3</xm:f>
            <x14:dxf>
              <font>
                <color theme="2" tint="-0.24994659260841701"/>
              </font>
            </x14:dxf>
          </x14:cfRule>
          <x14:cfRule type="expression" priority="61" id="{6986C262-5E49-4BDE-BD59-1AC73447AA35}">
            <xm:f>$B23=INputs!$P$4</xm:f>
            <x14:dxf>
              <font>
                <color theme="2" tint="-0.24994659260841701"/>
              </font>
            </x14:dxf>
          </x14:cfRule>
          <xm:sqref>B23</xm:sqref>
        </x14:conditionalFormatting>
        <x14:conditionalFormatting xmlns:xm="http://schemas.microsoft.com/office/excel/2006/main">
          <x14:cfRule type="expression" priority="59" id="{D2801CA6-20FE-4204-9E23-E4DF202B276B}">
            <xm:f>$B25=INputs!$P$3</xm:f>
            <x14:dxf>
              <font>
                <color theme="2" tint="-0.24994659260841701"/>
              </font>
            </x14:dxf>
          </x14:cfRule>
          <x14:cfRule type="expression" priority="58" id="{24DF76D5-A654-4A3E-BD25-CC31E6E7B72D}">
            <xm:f>$B25=INputs!$P$4</xm:f>
            <x14:dxf>
              <font>
                <color theme="2" tint="-0.24994659260841701"/>
              </font>
            </x14:dxf>
          </x14:cfRule>
          <xm:sqref>B25</xm:sqref>
        </x14:conditionalFormatting>
        <x14:conditionalFormatting xmlns:xm="http://schemas.microsoft.com/office/excel/2006/main">
          <x14:cfRule type="expression" priority="56" id="{F25AFE49-8D12-4534-977E-D89280287C82}">
            <xm:f>$B27=INputs!$P$3</xm:f>
            <x14:dxf>
              <font>
                <color theme="2" tint="-0.24994659260841701"/>
              </font>
            </x14:dxf>
          </x14:cfRule>
          <x14:cfRule type="expression" priority="55" id="{A3D68865-F603-49EE-807F-A9E6A3057C6D}">
            <xm:f>$B27=INputs!$P$4</xm:f>
            <x14:dxf>
              <font>
                <color theme="2" tint="-0.24994659260841701"/>
              </font>
            </x14:dxf>
          </x14:cfRule>
          <xm:sqref>B27</xm:sqref>
        </x14:conditionalFormatting>
        <x14:conditionalFormatting xmlns:xm="http://schemas.microsoft.com/office/excel/2006/main">
          <x14:cfRule type="expression" priority="52" id="{786D5F85-081A-4DE0-9C98-F3925FEA43DA}">
            <xm:f>$B29=INputs!$P$4</xm:f>
            <x14:dxf>
              <font>
                <color theme="2" tint="-0.24994659260841701"/>
              </font>
            </x14:dxf>
          </x14:cfRule>
          <x14:cfRule type="expression" priority="53" id="{C6B6FD4D-7A76-452C-8E20-6478565A2C6C}">
            <xm:f>$B29=INputs!$P$3</xm:f>
            <x14:dxf>
              <font>
                <color theme="2" tint="-0.24994659260841701"/>
              </font>
            </x14:dxf>
          </x14:cfRule>
          <xm:sqref>B29</xm:sqref>
        </x14:conditionalFormatting>
        <x14:conditionalFormatting xmlns:xm="http://schemas.microsoft.com/office/excel/2006/main">
          <x14:cfRule type="expression" priority="50" id="{C4ACCD8F-2A9D-40BE-9B7F-FB77421DBF0E}">
            <xm:f>$B31=INputs!$P$3</xm:f>
            <x14:dxf>
              <font>
                <color theme="2" tint="-0.24994659260841701"/>
              </font>
            </x14:dxf>
          </x14:cfRule>
          <x14:cfRule type="expression" priority="49" id="{12C1C490-B618-4187-B767-D0A7611008D8}">
            <xm:f>$B31=INputs!$P$4</xm:f>
            <x14:dxf>
              <font>
                <color theme="2" tint="-0.24994659260841701"/>
              </font>
            </x14:dxf>
          </x14:cfRule>
          <xm:sqref>B31</xm:sqref>
        </x14:conditionalFormatting>
        <x14:conditionalFormatting xmlns:xm="http://schemas.microsoft.com/office/excel/2006/main">
          <x14:cfRule type="expression" priority="46" id="{35D673EE-CBD2-4605-BB2A-AAFA79C76F90}">
            <xm:f>$B33=INputs!$P$4</xm:f>
            <x14:dxf>
              <font>
                <color theme="2" tint="-0.24994659260841701"/>
              </font>
            </x14:dxf>
          </x14:cfRule>
          <x14:cfRule type="expression" priority="47" id="{2E6F9F7F-1149-4887-8D73-BF2BBC407B17}">
            <xm:f>$B33=INputs!$P$3</xm:f>
            <x14:dxf>
              <font>
                <color theme="2" tint="-0.24994659260841701"/>
              </font>
            </x14:dxf>
          </x14:cfRule>
          <xm:sqref>B33</xm:sqref>
        </x14:conditionalFormatting>
        <x14:conditionalFormatting xmlns:xm="http://schemas.microsoft.com/office/excel/2006/main">
          <x14:cfRule type="expression" priority="44" id="{110034F6-820B-40B7-8F3C-D7AF157DBB2E}">
            <xm:f>$B35=INputs!$P$3</xm:f>
            <x14:dxf>
              <font>
                <color theme="2" tint="-0.24994659260841701"/>
              </font>
            </x14:dxf>
          </x14:cfRule>
          <x14:cfRule type="expression" priority="43" id="{84869F3F-AE5B-44B6-AE74-450E81D86D09}">
            <xm:f>$B35=INputs!$P$4</xm:f>
            <x14:dxf>
              <font>
                <color theme="2" tint="-0.24994659260841701"/>
              </font>
            </x14:dxf>
          </x14:cfRule>
          <xm:sqref>B35</xm:sqref>
        </x14:conditionalFormatting>
        <x14:conditionalFormatting xmlns:xm="http://schemas.microsoft.com/office/excel/2006/main">
          <x14:cfRule type="expression" priority="40" id="{0250F1C0-E74C-4206-AFD1-0840D5751AFC}">
            <xm:f>$B37=INputs!$P$4</xm:f>
            <x14:dxf>
              <font>
                <color theme="2" tint="-0.24994659260841701"/>
              </font>
            </x14:dxf>
          </x14:cfRule>
          <x14:cfRule type="expression" priority="41" id="{363CF141-B68B-4739-BA6F-06D2177B7E7C}">
            <xm:f>$B37=INputs!$P$3</xm:f>
            <x14:dxf>
              <font>
                <color theme="2" tint="-0.24994659260841701"/>
              </font>
            </x14:dxf>
          </x14:cfRule>
          <xm:sqref>B37</xm:sqref>
        </x14:conditionalFormatting>
        <x14:conditionalFormatting xmlns:xm="http://schemas.microsoft.com/office/excel/2006/main">
          <x14:cfRule type="expression" priority="37" id="{5B54519E-1DB0-416D-AB3F-A86D7BB3C42E}">
            <xm:f>$B39=INputs!$P$4</xm:f>
            <x14:dxf>
              <font>
                <color theme="2" tint="-0.24994659260841701"/>
              </font>
            </x14:dxf>
          </x14:cfRule>
          <x14:cfRule type="expression" priority="38" id="{407D68AF-BD22-4C05-B945-FD8E40F97866}">
            <xm:f>$B39=INputs!$P$3</xm:f>
            <x14:dxf>
              <font>
                <color theme="2" tint="-0.24994659260841701"/>
              </font>
            </x14:dxf>
          </x14:cfRule>
          <xm:sqref>B39</xm:sqref>
        </x14:conditionalFormatting>
        <x14:conditionalFormatting xmlns:xm="http://schemas.microsoft.com/office/excel/2006/main">
          <x14:cfRule type="expression" priority="34" id="{F2068119-92A8-496C-AAA3-98780BA8F8E4}">
            <xm:f>$B41=INputs!$P$4</xm:f>
            <x14:dxf>
              <font>
                <color theme="2" tint="-0.24994659260841701"/>
              </font>
            </x14:dxf>
          </x14:cfRule>
          <x14:cfRule type="expression" priority="35" id="{15142F05-82F4-4806-878D-C23A2E7C4482}">
            <xm:f>$B41=INputs!$P$3</xm:f>
            <x14:dxf>
              <font>
                <color theme="2" tint="-0.24994659260841701"/>
              </font>
            </x14:dxf>
          </x14:cfRule>
          <xm:sqref>B41</xm:sqref>
        </x14:conditionalFormatting>
        <x14:conditionalFormatting xmlns:xm="http://schemas.microsoft.com/office/excel/2006/main">
          <x14:cfRule type="expression" priority="31" id="{3AA1FBE1-5743-424E-8A8C-8A03FC362683}">
            <xm:f>$B43=INputs!$P$4</xm:f>
            <x14:dxf>
              <font>
                <color theme="2" tint="-0.24994659260841701"/>
              </font>
            </x14:dxf>
          </x14:cfRule>
          <x14:cfRule type="expression" priority="32" id="{9B61A78B-8C3A-4499-AEFA-C1124DD6F7A5}">
            <xm:f>$B43=INputs!$P$3</xm:f>
            <x14:dxf>
              <font>
                <color theme="2" tint="-0.24994659260841701"/>
              </font>
            </x14:dxf>
          </x14:cfRule>
          <xm:sqref>B43</xm:sqref>
        </x14:conditionalFormatting>
        <x14:conditionalFormatting xmlns:xm="http://schemas.microsoft.com/office/excel/2006/main">
          <x14:cfRule type="expression" priority="28" id="{08ABA0CF-537C-4FF7-BB01-AD7C704EA907}">
            <xm:f>$B45=INputs!$P$4</xm:f>
            <x14:dxf>
              <font>
                <color theme="2" tint="-0.24994659260841701"/>
              </font>
            </x14:dxf>
          </x14:cfRule>
          <x14:cfRule type="expression" priority="29" id="{5D26160F-E2BC-44F5-9569-E55D0099D299}">
            <xm:f>$B45=INputs!$P$3</xm:f>
            <x14:dxf>
              <font>
                <color theme="2" tint="-0.24994659260841701"/>
              </font>
            </x14:dxf>
          </x14:cfRule>
          <xm:sqref>B45</xm:sqref>
        </x14:conditionalFormatting>
        <x14:conditionalFormatting xmlns:xm="http://schemas.microsoft.com/office/excel/2006/main">
          <x14:cfRule type="expression" priority="25" id="{FA1F8E8E-6803-43AB-9539-F61F100FA7FC}">
            <xm:f>$B47=INputs!$P$4</xm:f>
            <x14:dxf>
              <font>
                <color theme="2" tint="-0.24994659260841701"/>
              </font>
            </x14:dxf>
          </x14:cfRule>
          <x14:cfRule type="expression" priority="26" id="{7019618D-ABC0-41E4-B189-A051F99ECC0B}">
            <xm:f>$B47=INputs!$P$3</xm:f>
            <x14:dxf>
              <font>
                <color theme="2" tint="-0.24994659260841701"/>
              </font>
            </x14:dxf>
          </x14:cfRule>
          <xm:sqref>B47</xm:sqref>
        </x14:conditionalFormatting>
        <x14:conditionalFormatting xmlns:xm="http://schemas.microsoft.com/office/excel/2006/main">
          <x14:cfRule type="expression" priority="23" id="{6604531A-B5B7-4D91-881A-DDB321237C7F}">
            <xm:f>$B49=INputs!$P$3</xm:f>
            <x14:dxf>
              <font>
                <color theme="2" tint="-0.24994659260841701"/>
              </font>
            </x14:dxf>
          </x14:cfRule>
          <x14:cfRule type="expression" priority="22" id="{99049A78-E626-49B2-928E-2D1516FE8D97}">
            <xm:f>$B49=INputs!$P$4</xm:f>
            <x14:dxf>
              <font>
                <color theme="2" tint="-0.24994659260841701"/>
              </font>
            </x14:dxf>
          </x14:cfRule>
          <xm:sqref>B49</xm:sqref>
        </x14:conditionalFormatting>
        <x14:conditionalFormatting xmlns:xm="http://schemas.microsoft.com/office/excel/2006/main">
          <x14:cfRule type="expression" priority="20" id="{67E26420-375B-4D78-8EE7-331C752C5D7B}">
            <xm:f>OR(INputs!$C$3=INputs!$A$3,INputs!$C$3=INputs!$A$4)</xm:f>
            <x14:dxf>
              <font>
                <color theme="2" tint="-0.499984740745262"/>
              </font>
              <fill>
                <patternFill>
                  <bgColor theme="2" tint="-0.499984740745262"/>
                </patternFill>
              </fill>
              <border>
                <left/>
                <right/>
                <top/>
                <bottom/>
                <vertical/>
                <horizontal/>
              </border>
            </x14:dxf>
          </x14:cfRule>
          <x14:cfRule type="expression" priority="84" id="{04ED5A64-6757-4F5B-8A5E-F0B3AEF04B8A}">
            <xm:f>OR('Sensitivity Labels'!$F$11=FALSE,'Sensitivity Labels'!$F$13=FALSE,'Sensitivity Labels'!$F$15=FALSE)</xm:f>
            <x14:dxf>
              <font>
                <color theme="2" tint="-0.499984740745262"/>
              </font>
              <fill>
                <patternFill>
                  <bgColor theme="2" tint="-0.499984740745262"/>
                </patternFill>
              </fill>
              <border>
                <left/>
                <right/>
                <top/>
                <bottom/>
              </border>
            </x14:dxf>
          </x14:cfRule>
          <xm:sqref>C11:Y11</xm:sqref>
        </x14:conditionalFormatting>
        <x14:conditionalFormatting xmlns:xm="http://schemas.microsoft.com/office/excel/2006/main">
          <x14:cfRule type="expression" priority="19" id="{8861568B-0B9A-469B-91A2-48FE17490C07}">
            <xm:f>OR(INputs!$C$4=INputs!$A$3,INputs!$C$4=INputs!$A$4)</xm:f>
            <x14:dxf>
              <font>
                <color theme="2" tint="-0.499984740745262"/>
              </font>
              <fill>
                <patternFill>
                  <bgColor theme="2" tint="-0.499984740745262"/>
                </patternFill>
              </fill>
              <border>
                <left/>
                <right/>
                <top/>
                <bottom/>
                <vertical/>
                <horizontal/>
              </border>
            </x14:dxf>
          </x14:cfRule>
          <x14:cfRule type="expression" priority="81" id="{3B8ACCE2-E8C2-421A-9A52-BA891A4C42DF}">
            <xm:f>OR('Sensitivity Labels'!$F$19=FALSE,'Sensitivity Labels'!$F$21=FALSE,'Sensitivity Labels'!$F$23=FALSE)</xm:f>
            <x14:dxf>
              <font>
                <color theme="2" tint="-0.499984740745262"/>
              </font>
              <fill>
                <patternFill>
                  <bgColor theme="2" tint="-0.499984740745262"/>
                </patternFill>
              </fill>
              <border>
                <left/>
                <right/>
                <top/>
                <bottom/>
              </border>
            </x14:dxf>
          </x14:cfRule>
          <xm:sqref>C13:Y13</xm:sqref>
        </x14:conditionalFormatting>
        <x14:conditionalFormatting xmlns:xm="http://schemas.microsoft.com/office/excel/2006/main">
          <x14:cfRule type="expression" priority="78" id="{A0BA88E1-55F3-4F53-91B3-E02A30DD760A}">
            <xm:f>OR('Sensitivity Labels'!$F$27=FALSE,'Sensitivity Labels'!$F$29=FALSE,'Sensitivity Labels'!$F$31=FALSE)</xm:f>
            <x14:dxf>
              <font>
                <color theme="2" tint="-0.499984740745262"/>
              </font>
              <fill>
                <patternFill>
                  <bgColor theme="2" tint="-0.499984740745262"/>
                </patternFill>
              </fill>
              <border>
                <left/>
                <right/>
                <top/>
                <bottom/>
              </border>
            </x14:dxf>
          </x14:cfRule>
          <x14:cfRule type="expression" priority="18" id="{14447F02-8E0C-4C25-856F-D4A0E8D9445F}">
            <xm:f>OR(INputs!$C$5=INputs!$A$3,INputs!$C$5=INputs!$A$4)</xm:f>
            <x14:dxf>
              <font>
                <color theme="2" tint="-0.499984740745262"/>
              </font>
              <fill>
                <patternFill>
                  <bgColor theme="2" tint="-0.499984740745262"/>
                </patternFill>
              </fill>
              <border>
                <left/>
                <right/>
                <top/>
                <bottom/>
                <vertical/>
                <horizontal/>
              </border>
            </x14:dxf>
          </x14:cfRule>
          <xm:sqref>C15:Y15</xm:sqref>
        </x14:conditionalFormatting>
        <x14:conditionalFormatting xmlns:xm="http://schemas.microsoft.com/office/excel/2006/main">
          <x14:cfRule type="expression" priority="75" id="{CE6BFBDD-A816-4316-ABA1-E6961B0741A5}">
            <xm:f>OR('Sensitivity Labels'!$F$35=FALSE,'Sensitivity Labels'!$F$37=FALSE,'Sensitivity Labels'!$F$39=FALSE)</xm:f>
            <x14:dxf>
              <font>
                <color theme="2" tint="-0.499984740745262"/>
              </font>
              <fill>
                <patternFill>
                  <bgColor theme="2" tint="-0.499984740745262"/>
                </patternFill>
              </fill>
              <border>
                <left/>
                <right/>
                <top/>
                <bottom/>
              </border>
            </x14:dxf>
          </x14:cfRule>
          <x14:cfRule type="expression" priority="17" id="{E72E0CDE-627F-4FBE-92F3-503624312CC0}">
            <xm:f>OR(INputs!$C$6=INputs!$A$3,INputs!$C$5=INputs!$A$4)</xm:f>
            <x14:dxf>
              <font>
                <color theme="2" tint="-0.499984740745262"/>
              </font>
              <fill>
                <patternFill>
                  <bgColor theme="2" tint="-0.499984740745262"/>
                </patternFill>
              </fill>
              <border>
                <left/>
                <right/>
                <top/>
                <bottom/>
                <vertical/>
                <horizontal/>
              </border>
            </x14:dxf>
          </x14:cfRule>
          <xm:sqref>C17:Y17</xm:sqref>
        </x14:conditionalFormatting>
        <x14:conditionalFormatting xmlns:xm="http://schemas.microsoft.com/office/excel/2006/main">
          <x14:cfRule type="expression" priority="72" id="{F641BBB7-1017-43A1-BC52-6D6571E0CFB8}">
            <xm:f>OR('Sensitivity Labels'!$F$43=FALSE,'Sensitivity Labels'!$F$45=FALSE,'Sensitivity Labels'!$F$47=FALSE)</xm:f>
            <x14:dxf>
              <font>
                <color theme="2" tint="-0.499984740745262"/>
              </font>
              <fill>
                <patternFill>
                  <bgColor theme="2" tint="-0.499984740745262"/>
                </patternFill>
              </fill>
              <border>
                <left/>
                <right/>
                <top/>
                <bottom/>
              </border>
            </x14:dxf>
          </x14:cfRule>
          <x14:cfRule type="expression" priority="16" id="{A3DE482E-E9FC-4B51-ACCB-E0C0CA70F7CB}">
            <xm:f>OR(INputs!$C$7=INputs!$A$3,INputs!$C$7=INputs!$A$4)</xm:f>
            <x14:dxf>
              <font>
                <color theme="2" tint="-0.499984740745262"/>
              </font>
              <fill>
                <patternFill>
                  <bgColor theme="2" tint="-0.499984740745262"/>
                </patternFill>
              </fill>
              <border>
                <left/>
                <right/>
                <top/>
                <bottom/>
                <vertical/>
                <horizontal/>
              </border>
            </x14:dxf>
          </x14:cfRule>
          <xm:sqref>C19:Y19</xm:sqref>
        </x14:conditionalFormatting>
        <x14:conditionalFormatting xmlns:xm="http://schemas.microsoft.com/office/excel/2006/main">
          <x14:cfRule type="expression" priority="15" id="{2420A8CC-2454-4083-A601-3322789E0708}">
            <xm:f>OR(INputs!$C$8=INputs!$A$3,INputs!$C$8=INputs!$A$4)</xm:f>
            <x14:dxf>
              <font>
                <color theme="2" tint="-0.499984740745262"/>
              </font>
              <fill>
                <patternFill>
                  <bgColor theme="2" tint="-0.499984740745262"/>
                </patternFill>
              </fill>
              <border>
                <left/>
                <right/>
                <top/>
                <bottom/>
                <vertical/>
                <horizontal/>
              </border>
            </x14:dxf>
          </x14:cfRule>
          <x14:cfRule type="expression" priority="69" id="{AA2B0D8F-39F1-45CA-B0CE-AA5611FD6441}">
            <xm:f>OR('Sensitivity Labels'!$F$51=FALSE,'Sensitivity Labels'!$F$53=FALSE,'Sensitivity Labels'!$F$55=FALSE)</xm:f>
            <x14:dxf>
              <font>
                <color theme="2" tint="-0.499984740745262"/>
              </font>
              <fill>
                <patternFill>
                  <bgColor theme="2" tint="-0.499984740745262"/>
                </patternFill>
              </fill>
              <border>
                <left/>
                <right/>
                <top/>
                <bottom/>
              </border>
            </x14:dxf>
          </x14:cfRule>
          <xm:sqref>C21:Y21</xm:sqref>
        </x14:conditionalFormatting>
        <x14:conditionalFormatting xmlns:xm="http://schemas.microsoft.com/office/excel/2006/main">
          <x14:cfRule type="expression" priority="14" id="{1A43FA67-34E8-48BF-8BC6-68A92F00B2A7}">
            <xm:f>OR(INputs!$C$9=INputs!$A$3,INputs!$C$9=INputs!$A$4)</xm:f>
            <x14:dxf>
              <font>
                <color theme="2" tint="-0.499984740745262"/>
              </font>
              <fill>
                <patternFill>
                  <bgColor theme="2" tint="-0.499984740745262"/>
                </patternFill>
              </fill>
              <border>
                <left/>
                <right/>
                <top/>
                <bottom/>
                <vertical/>
                <horizontal/>
              </border>
            </x14:dxf>
          </x14:cfRule>
          <x14:cfRule type="expression" priority="60" id="{C61F57F9-72BD-4DF0-A9F2-94165190192B}">
            <xm:f>OR('Sensitivity Labels'!$F$59=FALSE,'Sensitivity Labels'!$F$61=FALSE,'Sensitivity Labels'!$F$63=FALSE)</xm:f>
            <x14:dxf>
              <font>
                <color theme="2" tint="-0.499984740745262"/>
              </font>
              <fill>
                <patternFill>
                  <bgColor theme="2" tint="-0.499984740745262"/>
                </patternFill>
              </fill>
              <border>
                <left/>
                <right/>
                <top/>
                <bottom/>
              </border>
            </x14:dxf>
          </x14:cfRule>
          <xm:sqref>C23:Y23</xm:sqref>
        </x14:conditionalFormatting>
        <x14:conditionalFormatting xmlns:xm="http://schemas.microsoft.com/office/excel/2006/main">
          <x14:cfRule type="expression" priority="13" id="{D56259BB-8532-44CF-9DE1-52619D98D4EE}">
            <xm:f>OR(INputs!$C$10=INputs!$A$3,INputs!$C$10=INputs!$A$4)</xm:f>
            <x14:dxf>
              <font>
                <color theme="2" tint="-0.499984740745262"/>
              </font>
              <fill>
                <patternFill>
                  <bgColor theme="2" tint="-0.499984740745262"/>
                </patternFill>
              </fill>
              <border>
                <left/>
                <right/>
                <top/>
                <bottom/>
                <vertical/>
                <horizontal/>
              </border>
            </x14:dxf>
          </x14:cfRule>
          <x14:cfRule type="expression" priority="57" id="{7480F6FF-AD76-4B1E-BAA8-E51B9F596D7E}">
            <xm:f>OR('Sensitivity Labels'!$F$67=FALSE,'Sensitivity Labels'!$F$69=FALSE,'Sensitivity Labels'!$F$71=FALSE)</xm:f>
            <x14:dxf>
              <font>
                <color theme="2" tint="-0.499984740745262"/>
              </font>
              <fill>
                <patternFill>
                  <bgColor theme="2" tint="-0.499984740745262"/>
                </patternFill>
              </fill>
              <border>
                <left/>
                <right/>
                <top/>
                <bottom/>
              </border>
            </x14:dxf>
          </x14:cfRule>
          <xm:sqref>C25:Y25</xm:sqref>
        </x14:conditionalFormatting>
        <x14:conditionalFormatting xmlns:xm="http://schemas.microsoft.com/office/excel/2006/main">
          <x14:cfRule type="expression" priority="12" id="{542185F9-54B2-4452-828B-088F27844E58}">
            <xm:f>OR(INputs!$C$11=INputs!$A$3,INputs!$C$11=INputs!$A$4)</xm:f>
            <x14:dxf>
              <font>
                <color theme="2" tint="-0.499984740745262"/>
              </font>
              <fill>
                <patternFill>
                  <bgColor theme="2" tint="-0.499984740745262"/>
                </patternFill>
              </fill>
              <border>
                <left/>
                <right/>
                <top/>
                <bottom/>
                <vertical/>
                <horizontal/>
              </border>
            </x14:dxf>
          </x14:cfRule>
          <x14:cfRule type="expression" priority="54" id="{C3BAD181-BDD2-4A3F-AA8F-422D23747661}">
            <xm:f>OR('Sensitivity Labels'!$F$75=FALSE,'Sensitivity Labels'!$F$77=FALSE,'Sensitivity Labels'!$F$79=FALSE)</xm:f>
            <x14:dxf>
              <font>
                <color theme="2" tint="-0.499984740745262"/>
              </font>
              <fill>
                <patternFill>
                  <bgColor theme="2" tint="-0.499984740745262"/>
                </patternFill>
              </fill>
              <border>
                <left/>
                <right/>
                <top/>
                <bottom/>
              </border>
            </x14:dxf>
          </x14:cfRule>
          <xm:sqref>C27:Y27</xm:sqref>
        </x14:conditionalFormatting>
        <x14:conditionalFormatting xmlns:xm="http://schemas.microsoft.com/office/excel/2006/main">
          <x14:cfRule type="expression" priority="51" id="{9BAF93C0-7986-433B-B80F-501393F45581}">
            <xm:f>OR('Sensitivity Labels'!$F$83=FALSE,'Sensitivity Labels'!$F$85=FALSE,'Sensitivity Labels'!$F$87=FALSE)</xm:f>
            <x14:dxf>
              <font>
                <color theme="2" tint="-0.499984740745262"/>
              </font>
              <fill>
                <patternFill>
                  <bgColor theme="2" tint="-0.499984740745262"/>
                </patternFill>
              </fill>
              <border>
                <left/>
                <right/>
                <top/>
                <bottom/>
              </border>
            </x14:dxf>
          </x14:cfRule>
          <x14:cfRule type="expression" priority="11" id="{6A1A7A7B-2761-4D28-A1BA-C950F05C2A8A}">
            <xm:f>OR(INputs!$C$12=INputs!$A$3,INputs!$A$4=INputs!$C$12)</xm:f>
            <x14:dxf>
              <font>
                <color theme="2" tint="-0.499984740745262"/>
              </font>
              <fill>
                <patternFill>
                  <bgColor theme="2" tint="-0.499984740745262"/>
                </patternFill>
              </fill>
              <border>
                <left/>
                <right/>
                <top/>
                <bottom/>
                <vertical/>
                <horizontal/>
              </border>
            </x14:dxf>
          </x14:cfRule>
          <xm:sqref>C29:Y29</xm:sqref>
        </x14:conditionalFormatting>
        <x14:conditionalFormatting xmlns:xm="http://schemas.microsoft.com/office/excel/2006/main">
          <x14:cfRule type="expression" priority="48" id="{2993A0FF-8244-4E90-84A2-2D0F62C5FF27}">
            <xm:f>OR('Sensitivity Labels'!$F$91=FALSE,'Sensitivity Labels'!$F$93=FALSE,'Sensitivity Labels'!$F$95=FALSE)</xm:f>
            <x14:dxf>
              <font>
                <color theme="2" tint="-0.499984740745262"/>
              </font>
              <fill>
                <patternFill>
                  <bgColor theme="2" tint="-0.499984740745262"/>
                </patternFill>
              </fill>
              <border>
                <left/>
                <right/>
                <top/>
                <bottom/>
              </border>
            </x14:dxf>
          </x14:cfRule>
          <x14:cfRule type="expression" priority="10" id="{C96764AF-0274-46E8-80CB-0A4C56C52DE7}">
            <xm:f>OR(INputs!$C$13=INputs!$A$3,INputs!$C$13=INputs!$A$4)</xm:f>
            <x14:dxf>
              <font>
                <color theme="2" tint="-0.499984740745262"/>
              </font>
              <fill>
                <patternFill>
                  <bgColor theme="2" tint="-0.499984740745262"/>
                </patternFill>
              </fill>
              <border>
                <left/>
                <right/>
                <top/>
                <bottom/>
                <vertical/>
                <horizontal/>
              </border>
            </x14:dxf>
          </x14:cfRule>
          <xm:sqref>C31:Y31</xm:sqref>
        </x14:conditionalFormatting>
        <x14:conditionalFormatting xmlns:xm="http://schemas.microsoft.com/office/excel/2006/main">
          <x14:cfRule type="expression" priority="45" id="{4A473F2E-5124-47D2-8EF9-90190786250B}">
            <xm:f>OR('Sensitivity Labels'!$F$99=FALSE,'Sensitivity Labels'!$F$101=FALSE,'Sensitivity Labels'!$F$103=FALSE)</xm:f>
            <x14:dxf>
              <font>
                <color theme="2" tint="-0.499984740745262"/>
              </font>
              <fill>
                <patternFill>
                  <bgColor theme="2" tint="-0.499984740745262"/>
                </patternFill>
              </fill>
              <border>
                <left/>
                <right/>
                <top/>
                <bottom/>
              </border>
            </x14:dxf>
          </x14:cfRule>
          <x14:cfRule type="expression" priority="9" id="{0DD911E4-0AB5-46D8-80FE-55FD5E20B253}">
            <xm:f>OR(INputs!$C$14=INputs!$A$3,INputs!$C$14=INputs!$A$4)</xm:f>
            <x14:dxf>
              <font>
                <color theme="2" tint="-0.499984740745262"/>
              </font>
              <fill>
                <patternFill>
                  <bgColor theme="2" tint="-0.499984740745262"/>
                </patternFill>
              </fill>
              <border>
                <left/>
                <right/>
                <top/>
                <bottom/>
                <vertical/>
                <horizontal/>
              </border>
            </x14:dxf>
          </x14:cfRule>
          <xm:sqref>C33:Y33</xm:sqref>
        </x14:conditionalFormatting>
        <x14:conditionalFormatting xmlns:xm="http://schemas.microsoft.com/office/excel/2006/main">
          <x14:cfRule type="expression" priority="8" id="{6A3A32BE-6FDD-42FE-9629-1DF135A6D45F}">
            <xm:f>OR(INputs!$C$15=INputs!$A$4,INputs!$C$15=INputs!$A$3)</xm:f>
            <x14:dxf>
              <font>
                <color theme="2" tint="-0.499984740745262"/>
              </font>
              <fill>
                <patternFill>
                  <bgColor theme="2" tint="-0.499984740745262"/>
                </patternFill>
              </fill>
              <border>
                <left/>
                <right/>
                <top/>
                <bottom/>
                <vertical/>
                <horizontal/>
              </border>
            </x14:dxf>
          </x14:cfRule>
          <x14:cfRule type="expression" priority="42" id="{4AE596FC-E643-47DA-9242-2441733D9E49}">
            <xm:f>OR('Sensitivity Labels'!$F$107=FALSE,'Sensitivity Labels'!$F$109=FALSE,'Sensitivity Labels'!$F$111=FALSE)</xm:f>
            <x14:dxf>
              <font>
                <color theme="2" tint="-0.499984740745262"/>
              </font>
              <fill>
                <patternFill>
                  <bgColor theme="2" tint="-0.499984740745262"/>
                </patternFill>
              </fill>
              <border>
                <left/>
                <right/>
                <top/>
                <bottom/>
              </border>
            </x14:dxf>
          </x14:cfRule>
          <xm:sqref>C35:Y35</xm:sqref>
        </x14:conditionalFormatting>
        <x14:conditionalFormatting xmlns:xm="http://schemas.microsoft.com/office/excel/2006/main">
          <x14:cfRule type="expression" priority="7" id="{FF6498AB-5FEA-4851-81E3-EFFF2F6AB5BB}">
            <xm:f>OR(INputs!$C$16=INputs!$A$3,INputs!$C$16=INputs!$A$4)</xm:f>
            <x14:dxf>
              <font>
                <color theme="2" tint="-0.499984740745262"/>
              </font>
              <fill>
                <patternFill>
                  <bgColor theme="2" tint="-0.499984740745262"/>
                </patternFill>
              </fill>
              <border>
                <left/>
                <right/>
                <top/>
                <bottom/>
                <vertical/>
                <horizontal/>
              </border>
            </x14:dxf>
          </x14:cfRule>
          <x14:cfRule type="expression" priority="39" id="{0064C964-228B-4AE7-9337-19369BCEDFC1}">
            <xm:f>OR('Sensitivity Labels'!$F$115=FALSE,'Sensitivity Labels'!$F$117=FALSE,'Sensitivity Labels'!$F$119=FALSE)</xm:f>
            <x14:dxf>
              <font>
                <color theme="2" tint="-0.499984740745262"/>
              </font>
              <fill>
                <patternFill>
                  <bgColor theme="2" tint="-0.499984740745262"/>
                </patternFill>
              </fill>
              <border>
                <left/>
                <right/>
                <top/>
                <bottom/>
              </border>
            </x14:dxf>
          </x14:cfRule>
          <xm:sqref>C37:Y37</xm:sqref>
        </x14:conditionalFormatting>
        <x14:conditionalFormatting xmlns:xm="http://schemas.microsoft.com/office/excel/2006/main">
          <x14:cfRule type="expression" priority="6" id="{263AABAB-9EA4-49AD-8305-C99795673307}">
            <xm:f>OR(INputs!$C$17=INputs!$A$3,INputs!$C$17=INputs!$A$4)</xm:f>
            <x14:dxf>
              <font>
                <color theme="2" tint="-0.499984740745262"/>
              </font>
              <fill>
                <patternFill>
                  <bgColor theme="2" tint="-0.499984740745262"/>
                </patternFill>
              </fill>
              <border>
                <left/>
                <right/>
                <top/>
                <bottom/>
                <vertical/>
                <horizontal/>
              </border>
            </x14:dxf>
          </x14:cfRule>
          <x14:cfRule type="expression" priority="36" id="{73AEFB58-0CBE-4B32-9118-FD500D4B745E}">
            <xm:f>OR('Sensitivity Labels'!$F$123=FALSE,'Sensitivity Labels'!$F$125=FALSE,'Sensitivity Labels'!$F$127=FALSE)</xm:f>
            <x14:dxf>
              <font>
                <color theme="2" tint="-0.499984740745262"/>
              </font>
              <fill>
                <patternFill>
                  <bgColor theme="2" tint="-0.499984740745262"/>
                </patternFill>
              </fill>
              <border>
                <left/>
                <right/>
                <top/>
                <bottom/>
              </border>
            </x14:dxf>
          </x14:cfRule>
          <xm:sqref>C39:Y39</xm:sqref>
        </x14:conditionalFormatting>
        <x14:conditionalFormatting xmlns:xm="http://schemas.microsoft.com/office/excel/2006/main">
          <x14:cfRule type="expression" priority="33" id="{C9EED7A2-9B6E-4A47-B5BF-797493407C6C}">
            <xm:f>OR('Sensitivity Labels'!$F$131=FALSE,'Sensitivity Labels'!$F$133=FALSE,'Sensitivity Labels'!$F$135=FALSE)</xm:f>
            <x14:dxf>
              <font>
                <color theme="2" tint="-0.499984740745262"/>
              </font>
              <fill>
                <patternFill>
                  <bgColor theme="2" tint="-0.499984740745262"/>
                </patternFill>
              </fill>
              <border>
                <left/>
                <right/>
                <top/>
                <bottom/>
              </border>
            </x14:dxf>
          </x14:cfRule>
          <x14:cfRule type="expression" priority="5" id="{8CF8A395-AB67-4E34-A148-FFB87900C5BA}">
            <xm:f>OR(INputs!$C$18=INputs!$A$3,INputs!$C$18=INputs!$A$4)</xm:f>
            <x14:dxf>
              <font>
                <color theme="2" tint="-0.499984740745262"/>
              </font>
              <fill>
                <patternFill>
                  <bgColor theme="2" tint="-0.499984740745262"/>
                </patternFill>
              </fill>
              <border>
                <left/>
                <right/>
                <top/>
                <bottom/>
                <vertical/>
                <horizontal/>
              </border>
            </x14:dxf>
          </x14:cfRule>
          <xm:sqref>C41:Y41</xm:sqref>
        </x14:conditionalFormatting>
        <x14:conditionalFormatting xmlns:xm="http://schemas.microsoft.com/office/excel/2006/main">
          <x14:cfRule type="expression" priority="4" id="{17B40180-C53C-4494-934B-5AF39CC27989}">
            <xm:f>OR(INputs!$C$19=INputs!$A$3,INputs!$C$19=INputs!$A$4)</xm:f>
            <x14:dxf>
              <font>
                <color theme="2" tint="-0.499984740745262"/>
              </font>
              <fill>
                <patternFill>
                  <bgColor theme="2" tint="-0.499984740745262"/>
                </patternFill>
              </fill>
              <border>
                <left/>
                <right/>
                <top/>
                <bottom/>
                <vertical/>
                <horizontal/>
              </border>
            </x14:dxf>
          </x14:cfRule>
          <x14:cfRule type="expression" priority="30" id="{6D4E180F-7F2A-4639-860E-907B8C17ADA2}">
            <xm:f>OR('Sensitivity Labels'!$F$139=FALSE,'Sensitivity Labels'!$F$141=FALSE,'Sensitivity Labels'!$F$143=FALSE)</xm:f>
            <x14:dxf>
              <font>
                <color theme="2" tint="-0.499984740745262"/>
              </font>
              <fill>
                <patternFill>
                  <bgColor theme="2" tint="-0.499984740745262"/>
                </patternFill>
              </fill>
              <border>
                <left/>
                <right/>
                <top/>
                <bottom/>
              </border>
            </x14:dxf>
          </x14:cfRule>
          <xm:sqref>C43:Y43</xm:sqref>
        </x14:conditionalFormatting>
        <x14:conditionalFormatting xmlns:xm="http://schemas.microsoft.com/office/excel/2006/main">
          <x14:cfRule type="expression" priority="3" id="{5B847145-11B1-41A1-BA8D-14E51CB035BD}">
            <xm:f>OR(INputs!$C$20=INputs!$A$3,INputs!$C$20=INputs!$A$4)</xm:f>
            <x14:dxf>
              <font>
                <color theme="2" tint="-0.499984740745262"/>
              </font>
              <fill>
                <patternFill>
                  <bgColor theme="2" tint="-0.499984740745262"/>
                </patternFill>
              </fill>
              <border>
                <left/>
                <right/>
                <top/>
                <bottom/>
                <vertical/>
                <horizontal/>
              </border>
            </x14:dxf>
          </x14:cfRule>
          <x14:cfRule type="expression" priority="27" id="{88086D25-32F2-43B7-BAC1-0F36873202BB}">
            <xm:f>OR('Sensitivity Labels'!$F$147=FALSE,'Sensitivity Labels'!$F$149=FALSE,'Sensitivity Labels'!$F$151=FALSE)</xm:f>
            <x14:dxf>
              <font>
                <color theme="2" tint="-0.499984740745262"/>
              </font>
              <fill>
                <patternFill>
                  <bgColor theme="2" tint="-0.499984740745262"/>
                </patternFill>
              </fill>
              <border>
                <left/>
                <right/>
                <top/>
                <bottom/>
              </border>
            </x14:dxf>
          </x14:cfRule>
          <xm:sqref>C45:Y45</xm:sqref>
        </x14:conditionalFormatting>
        <x14:conditionalFormatting xmlns:xm="http://schemas.microsoft.com/office/excel/2006/main">
          <x14:cfRule type="expression" priority="24" id="{4A5A007C-6D67-4301-8E59-AEFC0051A9A0}">
            <xm:f>OR('Sensitivity Labels'!$F$155=FALSE,'Sensitivity Labels'!$F$157=FALSE,'Sensitivity Labels'!$F$159=FALSE)</xm:f>
            <x14:dxf>
              <font>
                <color theme="2" tint="-0.499984740745262"/>
              </font>
              <fill>
                <patternFill>
                  <bgColor theme="2" tint="-0.499984740745262"/>
                </patternFill>
              </fill>
              <border>
                <left/>
                <right/>
                <top/>
                <bottom/>
              </border>
            </x14:dxf>
          </x14:cfRule>
          <x14:cfRule type="expression" priority="2" id="{C34A9E31-8A1B-4EA9-9521-92E755A2D6CF}">
            <xm:f>OR(INputs!$C$21=INputs!$A$3,INputs!$C$21=INputs!$A$4)</xm:f>
            <x14:dxf>
              <font>
                <color theme="2" tint="-0.499984740745262"/>
              </font>
              <fill>
                <patternFill>
                  <bgColor theme="2" tint="-0.499984740745262"/>
                </patternFill>
              </fill>
              <border>
                <left/>
                <right/>
                <top/>
                <bottom/>
                <vertical/>
                <horizontal/>
              </border>
            </x14:dxf>
          </x14:cfRule>
          <xm:sqref>C47:Y47</xm:sqref>
        </x14:conditionalFormatting>
        <x14:conditionalFormatting xmlns:xm="http://schemas.microsoft.com/office/excel/2006/main">
          <x14:cfRule type="expression" priority="21" id="{5E48F977-3ABC-445C-ADBD-FDB9173EECA3}">
            <xm:f>OR('Sensitivity Labels'!$F$163=FALSE,'Sensitivity Labels'!$F$165=FALSE,'Sensitivity Labels'!$F$167=FALSE)</xm:f>
            <x14:dxf>
              <font>
                <color theme="2" tint="-0.499984740745262"/>
              </font>
              <fill>
                <patternFill>
                  <bgColor theme="2" tint="-0.499984740745262"/>
                </patternFill>
              </fill>
              <border>
                <left/>
                <right/>
                <top/>
                <bottom/>
              </border>
            </x14:dxf>
          </x14:cfRule>
          <x14:cfRule type="expression" priority="1" id="{1ABCC82D-B356-4E8E-84CC-05A43B06EC9D}">
            <xm:f>OR(INputs!$C$22=INputs!$A$3,INputs!$C$22=INputs!$A$4)</xm:f>
            <x14:dxf>
              <font>
                <color theme="2" tint="-0.499984740745262"/>
              </font>
              <fill>
                <patternFill>
                  <bgColor theme="2" tint="-0.499984740745262"/>
                </patternFill>
              </fill>
              <border>
                <left/>
                <right/>
                <top/>
                <bottom/>
              </border>
            </x14:dxf>
          </x14:cfRule>
          <xm:sqref>C49:Y49</xm:sqref>
        </x14:conditionalFormatting>
        <x14:conditionalFormatting xmlns:xm="http://schemas.microsoft.com/office/excel/2006/main">
          <x14:cfRule type="expression" priority="636" id="{997B974E-659F-45AD-8578-ED2A7C98D8CB}">
            <xm:f>$D11=INputs!$X$8</xm:f>
            <x14:dxf>
              <font>
                <color theme="2" tint="-0.24994659260841701"/>
              </font>
              <fill>
                <patternFill>
                  <bgColor theme="2" tint="-0.24994659260841701"/>
                </patternFill>
              </fill>
            </x14:dxf>
          </x14:cfRule>
          <xm:sqref>F11:G11</xm:sqref>
        </x14:conditionalFormatting>
        <x14:conditionalFormatting xmlns:xm="http://schemas.microsoft.com/office/excel/2006/main">
          <x14:cfRule type="expression" priority="220" id="{57BF387E-4DFD-4921-86BF-542FDD63A7BB}">
            <xm:f>$D13=INputs!$X$8</xm:f>
            <x14:dxf>
              <font>
                <color theme="2" tint="-0.24994659260841701"/>
              </font>
              <fill>
                <patternFill>
                  <bgColor theme="2" tint="-0.24994659260841701"/>
                </patternFill>
              </fill>
            </x14:dxf>
          </x14:cfRule>
          <xm:sqref>F13:G13</xm:sqref>
        </x14:conditionalFormatting>
        <x14:conditionalFormatting xmlns:xm="http://schemas.microsoft.com/office/excel/2006/main">
          <x14:cfRule type="expression" priority="219" id="{416EEEBE-1CD4-4CE5-8512-D9EF328567B7}">
            <xm:f>$D15=INputs!$X$8</xm:f>
            <x14:dxf>
              <font>
                <color theme="2" tint="-0.24994659260841701"/>
              </font>
              <fill>
                <patternFill>
                  <bgColor theme="2" tint="-0.24994659260841701"/>
                </patternFill>
              </fill>
            </x14:dxf>
          </x14:cfRule>
          <xm:sqref>F15:G15</xm:sqref>
        </x14:conditionalFormatting>
        <x14:conditionalFormatting xmlns:xm="http://schemas.microsoft.com/office/excel/2006/main">
          <x14:cfRule type="expression" priority="218" id="{247CAAE4-AB01-4729-95D2-03F2F72BB8E4}">
            <xm:f>$D17=INputs!$X$8</xm:f>
            <x14:dxf>
              <font>
                <color theme="2" tint="-0.24994659260841701"/>
              </font>
              <fill>
                <patternFill>
                  <bgColor theme="2" tint="-0.24994659260841701"/>
                </patternFill>
              </fill>
            </x14:dxf>
          </x14:cfRule>
          <xm:sqref>F17:G17</xm:sqref>
        </x14:conditionalFormatting>
        <x14:conditionalFormatting xmlns:xm="http://schemas.microsoft.com/office/excel/2006/main">
          <x14:cfRule type="expression" priority="217" id="{61A72FB1-3E4B-4AF0-9041-FBFE2D9EECA9}">
            <xm:f>$D19=INputs!$X$8</xm:f>
            <x14:dxf>
              <font>
                <color theme="2" tint="-0.24994659260841701"/>
              </font>
              <fill>
                <patternFill>
                  <bgColor theme="2" tint="-0.24994659260841701"/>
                </patternFill>
              </fill>
            </x14:dxf>
          </x14:cfRule>
          <xm:sqref>F19:G19</xm:sqref>
        </x14:conditionalFormatting>
        <x14:conditionalFormatting xmlns:xm="http://schemas.microsoft.com/office/excel/2006/main">
          <x14:cfRule type="expression" priority="216" id="{54ED49AF-D0FC-41B3-90B7-890F91DC0F42}">
            <xm:f>$D21=INputs!$X$8</xm:f>
            <x14:dxf>
              <font>
                <color theme="2" tint="-0.24994659260841701"/>
              </font>
              <fill>
                <patternFill>
                  <bgColor theme="2" tint="-0.24994659260841701"/>
                </patternFill>
              </fill>
            </x14:dxf>
          </x14:cfRule>
          <xm:sqref>F21:G21</xm:sqref>
        </x14:conditionalFormatting>
        <x14:conditionalFormatting xmlns:xm="http://schemas.microsoft.com/office/excel/2006/main">
          <x14:cfRule type="expression" priority="215" id="{BB85E36A-3102-4FF4-8645-F9A9D5219574}">
            <xm:f>$D23=INputs!$X$8</xm:f>
            <x14:dxf>
              <font>
                <color theme="2" tint="-0.24994659260841701"/>
              </font>
              <fill>
                <patternFill>
                  <bgColor theme="2" tint="-0.24994659260841701"/>
                </patternFill>
              </fill>
            </x14:dxf>
          </x14:cfRule>
          <xm:sqref>F23:G23</xm:sqref>
        </x14:conditionalFormatting>
        <x14:conditionalFormatting xmlns:xm="http://schemas.microsoft.com/office/excel/2006/main">
          <x14:cfRule type="expression" priority="214" id="{F3823F93-6D3C-4BF4-B504-3B135F6E2192}">
            <xm:f>$D25=INputs!$X$8</xm:f>
            <x14:dxf>
              <font>
                <color theme="2" tint="-0.24994659260841701"/>
              </font>
              <fill>
                <patternFill>
                  <bgColor theme="2" tint="-0.24994659260841701"/>
                </patternFill>
              </fill>
            </x14:dxf>
          </x14:cfRule>
          <xm:sqref>F25:G25</xm:sqref>
        </x14:conditionalFormatting>
        <x14:conditionalFormatting xmlns:xm="http://schemas.microsoft.com/office/excel/2006/main">
          <x14:cfRule type="expression" priority="213" id="{DD5D7F85-22C1-45D2-9FB8-24153A85E18A}">
            <xm:f>$D27=INputs!$X$8</xm:f>
            <x14:dxf>
              <font>
                <color theme="2" tint="-0.24994659260841701"/>
              </font>
              <fill>
                <patternFill>
                  <bgColor theme="2" tint="-0.24994659260841701"/>
                </patternFill>
              </fill>
            </x14:dxf>
          </x14:cfRule>
          <xm:sqref>F27:G27</xm:sqref>
        </x14:conditionalFormatting>
        <x14:conditionalFormatting xmlns:xm="http://schemas.microsoft.com/office/excel/2006/main">
          <x14:cfRule type="expression" priority="212" id="{CD031078-7D5C-4517-89AA-B7A087DD3351}">
            <xm:f>$D29=INputs!$X$8</xm:f>
            <x14:dxf>
              <font>
                <color theme="2" tint="-0.24994659260841701"/>
              </font>
              <fill>
                <patternFill>
                  <bgColor theme="2" tint="-0.24994659260841701"/>
                </patternFill>
              </fill>
            </x14:dxf>
          </x14:cfRule>
          <xm:sqref>F29:G29</xm:sqref>
        </x14:conditionalFormatting>
        <x14:conditionalFormatting xmlns:xm="http://schemas.microsoft.com/office/excel/2006/main">
          <x14:cfRule type="expression" priority="211" id="{7FA06078-0AE8-4210-82F1-379B8486022B}">
            <xm:f>$D31=INputs!$X$8</xm:f>
            <x14:dxf>
              <font>
                <color theme="2" tint="-0.24994659260841701"/>
              </font>
              <fill>
                <patternFill>
                  <bgColor theme="2" tint="-0.24994659260841701"/>
                </patternFill>
              </fill>
            </x14:dxf>
          </x14:cfRule>
          <xm:sqref>F31:G31</xm:sqref>
        </x14:conditionalFormatting>
        <x14:conditionalFormatting xmlns:xm="http://schemas.microsoft.com/office/excel/2006/main">
          <x14:cfRule type="expression" priority="210" id="{CDC22261-D9EB-4059-B409-778207AA4782}">
            <xm:f>$D33=INputs!$X$8</xm:f>
            <x14:dxf>
              <font>
                <color theme="2" tint="-0.24994659260841701"/>
              </font>
              <fill>
                <patternFill>
                  <bgColor theme="2" tint="-0.24994659260841701"/>
                </patternFill>
              </fill>
            </x14:dxf>
          </x14:cfRule>
          <xm:sqref>F33:G33</xm:sqref>
        </x14:conditionalFormatting>
        <x14:conditionalFormatting xmlns:xm="http://schemas.microsoft.com/office/excel/2006/main">
          <x14:cfRule type="expression" priority="209" id="{1618190A-98E7-435F-BA2D-66DC3D133661}">
            <xm:f>$D35=INputs!$X$8</xm:f>
            <x14:dxf>
              <font>
                <color theme="2" tint="-0.24994659260841701"/>
              </font>
              <fill>
                <patternFill>
                  <bgColor theme="2" tint="-0.24994659260841701"/>
                </patternFill>
              </fill>
            </x14:dxf>
          </x14:cfRule>
          <xm:sqref>F35:G35</xm:sqref>
        </x14:conditionalFormatting>
        <x14:conditionalFormatting xmlns:xm="http://schemas.microsoft.com/office/excel/2006/main">
          <x14:cfRule type="expression" priority="208" id="{2A914447-4CBF-41EF-AE1C-F02EF3C8E4F0}">
            <xm:f>$D37=INputs!$X$8</xm:f>
            <x14:dxf>
              <font>
                <color theme="2" tint="-0.24994659260841701"/>
              </font>
              <fill>
                <patternFill>
                  <bgColor theme="2" tint="-0.24994659260841701"/>
                </patternFill>
              </fill>
            </x14:dxf>
          </x14:cfRule>
          <xm:sqref>F37:G37</xm:sqref>
        </x14:conditionalFormatting>
        <x14:conditionalFormatting xmlns:xm="http://schemas.microsoft.com/office/excel/2006/main">
          <x14:cfRule type="expression" priority="207" id="{18684C78-E939-4A3D-9734-4F427277EFEE}">
            <xm:f>$D39=INputs!$X$8</xm:f>
            <x14:dxf>
              <font>
                <color theme="2" tint="-0.24994659260841701"/>
              </font>
              <fill>
                <patternFill>
                  <bgColor theme="2" tint="-0.24994659260841701"/>
                </patternFill>
              </fill>
            </x14:dxf>
          </x14:cfRule>
          <xm:sqref>F39:G39</xm:sqref>
        </x14:conditionalFormatting>
        <x14:conditionalFormatting xmlns:xm="http://schemas.microsoft.com/office/excel/2006/main">
          <x14:cfRule type="expression" priority="206" id="{99181C61-E158-42E1-9312-DBC3703B14F1}">
            <xm:f>$D41=INputs!$X$8</xm:f>
            <x14:dxf>
              <font>
                <color theme="2" tint="-0.24994659260841701"/>
              </font>
              <fill>
                <patternFill>
                  <bgColor theme="2" tint="-0.24994659260841701"/>
                </patternFill>
              </fill>
            </x14:dxf>
          </x14:cfRule>
          <xm:sqref>F41:G41</xm:sqref>
        </x14:conditionalFormatting>
        <x14:conditionalFormatting xmlns:xm="http://schemas.microsoft.com/office/excel/2006/main">
          <x14:cfRule type="expression" priority="205" id="{60D29EC0-39C9-44F4-A648-31ED19BECA09}">
            <xm:f>$D43=INputs!$X$8</xm:f>
            <x14:dxf>
              <font>
                <color theme="2" tint="-0.24994659260841701"/>
              </font>
              <fill>
                <patternFill>
                  <bgColor theme="2" tint="-0.24994659260841701"/>
                </patternFill>
              </fill>
            </x14:dxf>
          </x14:cfRule>
          <xm:sqref>F43:G43</xm:sqref>
        </x14:conditionalFormatting>
        <x14:conditionalFormatting xmlns:xm="http://schemas.microsoft.com/office/excel/2006/main">
          <x14:cfRule type="expression" priority="204" id="{378B188B-A3BE-4A80-A635-02DF255E66DA}">
            <xm:f>$D45=INputs!$X$8</xm:f>
            <x14:dxf>
              <font>
                <color theme="2" tint="-0.24994659260841701"/>
              </font>
              <fill>
                <patternFill>
                  <bgColor theme="2" tint="-0.24994659260841701"/>
                </patternFill>
              </fill>
            </x14:dxf>
          </x14:cfRule>
          <xm:sqref>F45:G45</xm:sqref>
        </x14:conditionalFormatting>
        <x14:conditionalFormatting xmlns:xm="http://schemas.microsoft.com/office/excel/2006/main">
          <x14:cfRule type="expression" priority="203" id="{BD5457C7-7FE5-42F4-B49D-8C27E414F1D7}">
            <xm:f>$D47=INputs!$X$8</xm:f>
            <x14:dxf>
              <font>
                <color theme="2" tint="-0.24994659260841701"/>
              </font>
              <fill>
                <patternFill>
                  <bgColor theme="2" tint="-0.24994659260841701"/>
                </patternFill>
              </fill>
            </x14:dxf>
          </x14:cfRule>
          <xm:sqref>F47:G47</xm:sqref>
        </x14:conditionalFormatting>
        <x14:conditionalFormatting xmlns:xm="http://schemas.microsoft.com/office/excel/2006/main">
          <x14:cfRule type="expression" priority="202" id="{02B04EB4-A47D-48AA-A8A5-1C47C0237F47}">
            <xm:f>$D49=INputs!$X$8</xm:f>
            <x14:dxf>
              <font>
                <color theme="2" tint="-0.24994659260841701"/>
              </font>
              <fill>
                <patternFill>
                  <bgColor theme="2" tint="-0.24994659260841701"/>
                </patternFill>
              </fill>
            </x14:dxf>
          </x14:cfRule>
          <xm:sqref>F49:G49</xm:sqref>
        </x14:conditionalFormatting>
        <x14:conditionalFormatting xmlns:xm="http://schemas.microsoft.com/office/excel/2006/main">
          <x14:cfRule type="expression" priority="239" id="{97619874-4AE8-4D46-8C7B-08FAD5148DED}">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K13</xm:sqref>
        </x14:conditionalFormatting>
        <x14:conditionalFormatting xmlns:xm="http://schemas.microsoft.com/office/excel/2006/main">
          <x14:cfRule type="expression" priority="238" id="{D804C8B5-1A6C-4786-B6AF-D7119F9B8495}">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K15</xm:sqref>
        </x14:conditionalFormatting>
        <x14:conditionalFormatting xmlns:xm="http://schemas.microsoft.com/office/excel/2006/main">
          <x14:cfRule type="expression" priority="237" id="{8F7B9197-EC96-4063-AB3B-829C64E66B1B}">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K17</xm:sqref>
        </x14:conditionalFormatting>
        <x14:conditionalFormatting xmlns:xm="http://schemas.microsoft.com/office/excel/2006/main">
          <x14:cfRule type="expression" priority="236" id="{25741D58-42F0-4552-964B-05B7F0287ECB}">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K19</xm:sqref>
        </x14:conditionalFormatting>
        <x14:conditionalFormatting xmlns:xm="http://schemas.microsoft.com/office/excel/2006/main">
          <x14:cfRule type="expression" priority="235" id="{FA9935AE-2C78-4BDE-B3A7-DB38ACE95CA7}">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K21</xm:sqref>
        </x14:conditionalFormatting>
        <x14:conditionalFormatting xmlns:xm="http://schemas.microsoft.com/office/excel/2006/main">
          <x14:cfRule type="expression" priority="234" id="{63171083-9BB0-4065-8717-327F6DFBAAEC}">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K23</xm:sqref>
        </x14:conditionalFormatting>
        <x14:conditionalFormatting xmlns:xm="http://schemas.microsoft.com/office/excel/2006/main">
          <x14:cfRule type="expression" priority="233" id="{B68C0A83-218A-4265-B435-B0C05FB304F0}">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K25</xm:sqref>
        </x14:conditionalFormatting>
        <x14:conditionalFormatting xmlns:xm="http://schemas.microsoft.com/office/excel/2006/main">
          <x14:cfRule type="expression" priority="232" id="{C4AC5F43-B719-4B89-A2B9-C91369BB7A99}">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K27</xm:sqref>
        </x14:conditionalFormatting>
        <x14:conditionalFormatting xmlns:xm="http://schemas.microsoft.com/office/excel/2006/main">
          <x14:cfRule type="expression" priority="231" id="{0E2EAE21-65FA-4506-B2D2-E1F07887D5D1}">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K29</xm:sqref>
        </x14:conditionalFormatting>
        <x14:conditionalFormatting xmlns:xm="http://schemas.microsoft.com/office/excel/2006/main">
          <x14:cfRule type="expression" priority="230" id="{BF1E6810-7868-43EF-9C70-ED3DE4F24A2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K31</xm:sqref>
        </x14:conditionalFormatting>
        <x14:conditionalFormatting xmlns:xm="http://schemas.microsoft.com/office/excel/2006/main">
          <x14:cfRule type="expression" priority="229" id="{C50784A8-C4B6-481B-B5FB-E2F33563228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K33</xm:sqref>
        </x14:conditionalFormatting>
        <x14:conditionalFormatting xmlns:xm="http://schemas.microsoft.com/office/excel/2006/main">
          <x14:cfRule type="expression" priority="228" id="{B76BC54F-FE85-4583-ACAD-C0D67A6AA8E2}">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K35</xm:sqref>
        </x14:conditionalFormatting>
        <x14:conditionalFormatting xmlns:xm="http://schemas.microsoft.com/office/excel/2006/main">
          <x14:cfRule type="expression" priority="227" id="{136A781D-C8DE-4DC3-AB79-DA9711F10547}">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K37</xm:sqref>
        </x14:conditionalFormatting>
        <x14:conditionalFormatting xmlns:xm="http://schemas.microsoft.com/office/excel/2006/main">
          <x14:cfRule type="expression" priority="226" id="{34887971-8D2F-4728-B0AA-D77DFA0EE330}">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K39</xm:sqref>
        </x14:conditionalFormatting>
        <x14:conditionalFormatting xmlns:xm="http://schemas.microsoft.com/office/excel/2006/main">
          <x14:cfRule type="expression" priority="225" id="{E1CA9A29-48D4-4412-971E-00993E659292}">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K41</xm:sqref>
        </x14:conditionalFormatting>
        <x14:conditionalFormatting xmlns:xm="http://schemas.microsoft.com/office/excel/2006/main">
          <x14:cfRule type="expression" priority="224" id="{1DD21F63-F2BA-447D-A5EA-9E320056C1E5}">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K43</xm:sqref>
        </x14:conditionalFormatting>
        <x14:conditionalFormatting xmlns:xm="http://schemas.microsoft.com/office/excel/2006/main">
          <x14:cfRule type="expression" priority="223" id="{7EDA33A7-D73E-4ACC-A468-4D92213FEE08}">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K45</xm:sqref>
        </x14:conditionalFormatting>
        <x14:conditionalFormatting xmlns:xm="http://schemas.microsoft.com/office/excel/2006/main">
          <x14:cfRule type="expression" priority="222" id="{ABBCC68A-733D-480E-AA1F-3CBBF6241F62}">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K47</xm:sqref>
        </x14:conditionalFormatting>
        <x14:conditionalFormatting xmlns:xm="http://schemas.microsoft.com/office/excel/2006/main">
          <x14:cfRule type="expression" priority="221" id="{4846FBFF-04E5-4F2C-92EB-5C01B25F47CB}">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K49</xm:sqref>
        </x14:conditionalFormatting>
        <x14:conditionalFormatting xmlns:xm="http://schemas.microsoft.com/office/excel/2006/main">
          <x14:cfRule type="expression" priority="709" id="{F6869048-FCF0-4C62-A2EA-E5D24ACF96B7}">
            <xm:f>$O11=INputs!$AF$3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K11:M11</xm:sqref>
        </x14:conditionalFormatting>
        <x14:conditionalFormatting xmlns:xm="http://schemas.microsoft.com/office/excel/2006/main">
          <x14:cfRule type="expression" priority="552" id="{08CAA29C-C162-4A0F-A322-BE51477B12DC}">
            <xm:f>$O13=INputs!$AF$3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L13</xm:sqref>
        </x14:conditionalFormatting>
        <x14:conditionalFormatting xmlns:xm="http://schemas.microsoft.com/office/excel/2006/main">
          <x14:cfRule type="expression" priority="335" id="{C70D0CC6-3D7C-4248-AF53-F608732C4E46}">
            <xm:f>$O15=INputs!$AF$3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L15</xm:sqref>
        </x14:conditionalFormatting>
        <x14:conditionalFormatting xmlns:xm="http://schemas.microsoft.com/office/excel/2006/main">
          <x14:cfRule type="expression" priority="334" id="{24449CFB-C96D-4518-98A4-CB9C2EF3D2EB}">
            <xm:f>$O17=INputs!$AF$3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L17</xm:sqref>
        </x14:conditionalFormatting>
        <x14:conditionalFormatting xmlns:xm="http://schemas.microsoft.com/office/excel/2006/main">
          <x14:cfRule type="expression" priority="333" id="{2C7A3D8B-5B81-4168-BFC9-CAF8DD7B9EC3}">
            <xm:f>$O19=INputs!$AF$3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L19</xm:sqref>
        </x14:conditionalFormatting>
        <x14:conditionalFormatting xmlns:xm="http://schemas.microsoft.com/office/excel/2006/main">
          <x14:cfRule type="expression" priority="332" id="{B335E715-2B88-4A9B-9293-88CB674A2BBD}">
            <xm:f>$O21=INputs!$AF$3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L21</xm:sqref>
        </x14:conditionalFormatting>
        <x14:conditionalFormatting xmlns:xm="http://schemas.microsoft.com/office/excel/2006/main">
          <x14:cfRule type="expression" priority="331" id="{D481350D-B954-4408-B6D5-5004BFF231FB}">
            <xm:f>$O23=INputs!$AF$3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L23</xm:sqref>
        </x14:conditionalFormatting>
        <x14:conditionalFormatting xmlns:xm="http://schemas.microsoft.com/office/excel/2006/main">
          <x14:cfRule type="expression" priority="330" id="{08BB19E3-831E-423A-B810-259C7AAD492D}">
            <xm:f>$O25=INputs!$AF$3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L25</xm:sqref>
        </x14:conditionalFormatting>
        <x14:conditionalFormatting xmlns:xm="http://schemas.microsoft.com/office/excel/2006/main">
          <x14:cfRule type="expression" priority="329" id="{FFA0942E-1E25-4E42-9F75-A5819414883B}">
            <xm:f>$O27=INputs!$AF$3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L27</xm:sqref>
        </x14:conditionalFormatting>
        <x14:conditionalFormatting xmlns:xm="http://schemas.microsoft.com/office/excel/2006/main">
          <x14:cfRule type="expression" priority="328" id="{F10ABAAB-93B0-415D-A0D1-438B2C90250A}">
            <xm:f>$O29=INputs!$AF$3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L29</xm:sqref>
        </x14:conditionalFormatting>
        <x14:conditionalFormatting xmlns:xm="http://schemas.microsoft.com/office/excel/2006/main">
          <x14:cfRule type="expression" priority="327" id="{4BE4CDD5-D26F-4644-98F6-D8BD59A19FAB}">
            <xm:f>$O31=INputs!$AF$3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L31</xm:sqref>
        </x14:conditionalFormatting>
        <x14:conditionalFormatting xmlns:xm="http://schemas.microsoft.com/office/excel/2006/main">
          <x14:cfRule type="expression" priority="326" id="{4451FD27-2180-4B0E-8EED-EF32A6CF0466}">
            <xm:f>$O33=INputs!$AF$3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L33</xm:sqref>
        </x14:conditionalFormatting>
        <x14:conditionalFormatting xmlns:xm="http://schemas.microsoft.com/office/excel/2006/main">
          <x14:cfRule type="expression" priority="325" id="{917988DA-FC2E-4F5D-AA20-52DFA6A5E8E7}">
            <xm:f>$O35=INputs!$AF$3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L35</xm:sqref>
        </x14:conditionalFormatting>
        <x14:conditionalFormatting xmlns:xm="http://schemas.microsoft.com/office/excel/2006/main">
          <x14:cfRule type="expression" priority="324" id="{EAAC0816-B1D0-4D02-A858-2F3E4F7CCF2A}">
            <xm:f>$O37=INputs!$AF$3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L37</xm:sqref>
        </x14:conditionalFormatting>
        <x14:conditionalFormatting xmlns:xm="http://schemas.microsoft.com/office/excel/2006/main">
          <x14:cfRule type="expression" priority="323" id="{00683F9C-575C-4123-8D2C-F668FC07C416}">
            <xm:f>$O39=INputs!$AF$3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L39</xm:sqref>
        </x14:conditionalFormatting>
        <x14:conditionalFormatting xmlns:xm="http://schemas.microsoft.com/office/excel/2006/main">
          <x14:cfRule type="expression" priority="322" id="{F44C29DC-3AE9-458B-AF92-349B4C1ED294}">
            <xm:f>$O41=INputs!$AF$3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L41</xm:sqref>
        </x14:conditionalFormatting>
        <x14:conditionalFormatting xmlns:xm="http://schemas.microsoft.com/office/excel/2006/main">
          <x14:cfRule type="expression" priority="321" id="{F6265F53-B473-4A3F-9A9F-EEC30F8FC184}">
            <xm:f>$O43=INputs!$AF$3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L43</xm:sqref>
        </x14:conditionalFormatting>
        <x14:conditionalFormatting xmlns:xm="http://schemas.microsoft.com/office/excel/2006/main">
          <x14:cfRule type="expression" priority="320" id="{69651BEA-28FF-4887-99B6-9A1006F315FA}">
            <xm:f>$O45=INputs!$AF$3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L45</xm:sqref>
        </x14:conditionalFormatting>
        <x14:conditionalFormatting xmlns:xm="http://schemas.microsoft.com/office/excel/2006/main">
          <x14:cfRule type="expression" priority="319" id="{8969485C-F27A-4CCE-97A1-2967AC2FBE1A}">
            <xm:f>$O47=INputs!$AF$3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L47</xm:sqref>
        </x14:conditionalFormatting>
        <x14:conditionalFormatting xmlns:xm="http://schemas.microsoft.com/office/excel/2006/main">
          <x14:cfRule type="expression" priority="444" id="{66F31130-A605-4BBC-B350-749820AE2E95}">
            <xm:f>$O49=INputs!$AF$3</xm:f>
            <x14:dxf>
              <font>
                <color theme="0"/>
              </font>
              <fill>
                <patternFill>
                  <bgColor theme="0"/>
                </patternFill>
              </fill>
              <border>
                <left style="thin">
                  <color auto="1"/>
                </left>
                <right style="thin">
                  <color auto="1"/>
                </right>
                <top style="thin">
                  <color auto="1"/>
                </top>
                <bottom style="thin">
                  <color auto="1"/>
                </bottom>
                <vertical/>
                <horizontal/>
              </border>
            </x14:dxf>
          </x14:cfRule>
          <xm:sqref>L49</xm:sqref>
        </x14:conditionalFormatting>
        <x14:conditionalFormatting xmlns:xm="http://schemas.microsoft.com/office/excel/2006/main">
          <x14:cfRule type="expression" priority="317" id="{1A7EC4E5-6149-494A-9747-A5F080920771}">
            <xm:f>K11=INputs!$AB$4</xm:f>
            <x14:dxf>
              <font>
                <color theme="2" tint="-0.24994659260841701"/>
              </font>
              <fill>
                <patternFill>
                  <bgColor theme="2" tint="-0.24994659260841701"/>
                </patternFill>
              </fill>
            </x14:dxf>
          </x14:cfRule>
          <x14:cfRule type="expression" priority="318" id="{74692619-225A-4619-B236-1B1AA3E8D037}">
            <xm:f>K11=INputs!$AB$3</xm:f>
            <x14:dxf>
              <font>
                <color theme="2" tint="-0.24994659260841701"/>
              </font>
              <fill>
                <patternFill>
                  <bgColor theme="2" tint="-0.24994659260841701"/>
                </patternFill>
              </fill>
            </x14:dxf>
          </x14:cfRule>
          <xm:sqref>M11</xm:sqref>
        </x14:conditionalFormatting>
        <x14:conditionalFormatting xmlns:xm="http://schemas.microsoft.com/office/excel/2006/main">
          <x14:cfRule type="expression" priority="316" id="{FE2D4CED-95CC-4313-8234-1DD5612EA376}">
            <xm:f>$O13=INputs!$AF$3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15" id="{74576153-9A89-4E17-B7BB-70ED04A75D83}">
            <xm:f>K13=INputs!$AB$3</xm:f>
            <x14:dxf>
              <font>
                <color theme="2" tint="-0.24994659260841701"/>
              </font>
              <fill>
                <patternFill>
                  <bgColor theme="2" tint="-0.24994659260841701"/>
                </patternFill>
              </fill>
            </x14:dxf>
          </x14:cfRule>
          <x14:cfRule type="expression" priority="314" id="{D6B84F38-513F-463C-88CC-ECACB2FD377B}">
            <xm:f>K13=INputs!$AB$4</xm:f>
            <x14:dxf>
              <font>
                <color theme="2" tint="-0.24994659260841701"/>
              </font>
              <fill>
                <patternFill>
                  <bgColor theme="2" tint="-0.24994659260841701"/>
                </patternFill>
              </fill>
            </x14:dxf>
          </x14:cfRule>
          <xm:sqref>M13</xm:sqref>
        </x14:conditionalFormatting>
        <x14:conditionalFormatting xmlns:xm="http://schemas.microsoft.com/office/excel/2006/main">
          <x14:cfRule type="expression" priority="313" id="{0346D371-14FE-49E7-BE1F-ACF610DAED7B}">
            <xm:f>$O15=INputs!$AF$3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12" id="{C8227990-771D-4035-9F20-B90FEA4CF8EF}">
            <xm:f>K15=INputs!$AB$3</xm:f>
            <x14:dxf>
              <font>
                <color theme="2" tint="-0.24994659260841701"/>
              </font>
              <fill>
                <patternFill>
                  <bgColor theme="2" tint="-0.24994659260841701"/>
                </patternFill>
              </fill>
            </x14:dxf>
          </x14:cfRule>
          <x14:cfRule type="expression" priority="311" id="{4B31E47A-DDD4-43CB-86A6-B75A021B6BE8}">
            <xm:f>K15=INputs!$AB$4</xm:f>
            <x14:dxf>
              <font>
                <color theme="2" tint="-0.24994659260841701"/>
              </font>
              <fill>
                <patternFill>
                  <bgColor theme="2" tint="-0.24994659260841701"/>
                </patternFill>
              </fill>
            </x14:dxf>
          </x14:cfRule>
          <xm:sqref>M15</xm:sqref>
        </x14:conditionalFormatting>
        <x14:conditionalFormatting xmlns:xm="http://schemas.microsoft.com/office/excel/2006/main">
          <x14:cfRule type="expression" priority="310" id="{F150FC8A-B5F8-4559-A7DE-4AC87CAFB88F}">
            <xm:f>$O17=INputs!$AF$3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9" id="{C7EE369A-321A-4B00-B54F-5331BEEEA3B7}">
            <xm:f>K17=INputs!$AB$3</xm:f>
            <x14:dxf>
              <font>
                <color theme="2" tint="-0.24994659260841701"/>
              </font>
              <fill>
                <patternFill>
                  <bgColor theme="2" tint="-0.24994659260841701"/>
                </patternFill>
              </fill>
            </x14:dxf>
          </x14:cfRule>
          <x14:cfRule type="expression" priority="308" id="{8750F12D-54F1-4205-8228-AF56B494DC24}">
            <xm:f>K17=INputs!$AB$4</xm:f>
            <x14:dxf>
              <font>
                <color theme="2" tint="-0.24994659260841701"/>
              </font>
              <fill>
                <patternFill>
                  <bgColor theme="2" tint="-0.24994659260841701"/>
                </patternFill>
              </fill>
            </x14:dxf>
          </x14:cfRule>
          <xm:sqref>M17</xm:sqref>
        </x14:conditionalFormatting>
        <x14:conditionalFormatting xmlns:xm="http://schemas.microsoft.com/office/excel/2006/main">
          <x14:cfRule type="expression" priority="307" id="{4646DEAB-5132-446F-AF9C-685352E6545E}">
            <xm:f>$O19=INputs!$AF$3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6" id="{DD957739-B027-474F-92CF-DCF6E56BD4B2}">
            <xm:f>K19=INputs!$AB$3</xm:f>
            <x14:dxf>
              <font>
                <color theme="2" tint="-0.24994659260841701"/>
              </font>
              <fill>
                <patternFill>
                  <bgColor theme="2" tint="-0.24994659260841701"/>
                </patternFill>
              </fill>
            </x14:dxf>
          </x14:cfRule>
          <x14:cfRule type="expression" priority="305" id="{2600AC97-8035-4ED6-B0C5-46CD6D1FAD82}">
            <xm:f>K19=INputs!$AB$4</xm:f>
            <x14:dxf>
              <font>
                <color theme="2" tint="-0.24994659260841701"/>
              </font>
              <fill>
                <patternFill>
                  <bgColor theme="2" tint="-0.24994659260841701"/>
                </patternFill>
              </fill>
            </x14:dxf>
          </x14:cfRule>
          <xm:sqref>M19</xm:sqref>
        </x14:conditionalFormatting>
        <x14:conditionalFormatting xmlns:xm="http://schemas.microsoft.com/office/excel/2006/main">
          <x14:cfRule type="expression" priority="304" id="{9E6685F9-997E-44B4-9984-A6431BBF5848}">
            <xm:f>$O21=INputs!$AF$3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3" id="{9EA6D31C-068C-4B01-A35A-1E46E8BA521D}">
            <xm:f>K21=INputs!$AB$3</xm:f>
            <x14:dxf>
              <font>
                <color theme="2" tint="-0.24994659260841701"/>
              </font>
              <fill>
                <patternFill>
                  <bgColor theme="2" tint="-0.24994659260841701"/>
                </patternFill>
              </fill>
            </x14:dxf>
          </x14:cfRule>
          <x14:cfRule type="expression" priority="302" id="{D879F0B6-29E3-4394-A5F4-D276A53116A9}">
            <xm:f>K21=INputs!$AB$4</xm:f>
            <x14:dxf>
              <font>
                <color theme="2" tint="-0.24994659260841701"/>
              </font>
              <fill>
                <patternFill>
                  <bgColor theme="2" tint="-0.24994659260841701"/>
                </patternFill>
              </fill>
            </x14:dxf>
          </x14:cfRule>
          <xm:sqref>M21</xm:sqref>
        </x14:conditionalFormatting>
        <x14:conditionalFormatting xmlns:xm="http://schemas.microsoft.com/office/excel/2006/main">
          <x14:cfRule type="expression" priority="301" id="{A7D64B72-7788-4A59-8EAE-113CA1EE68EE}">
            <xm:f>$O23=INputs!$AF$3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300" id="{00BB2BB7-75D9-41E6-B6F6-BCDEFA4674B0}">
            <xm:f>K23=INputs!$AB$3</xm:f>
            <x14:dxf>
              <font>
                <color theme="2" tint="-0.24994659260841701"/>
              </font>
              <fill>
                <patternFill>
                  <bgColor theme="2" tint="-0.24994659260841701"/>
                </patternFill>
              </fill>
            </x14:dxf>
          </x14:cfRule>
          <x14:cfRule type="expression" priority="299" id="{F44467AA-D0F6-4DE9-9047-3D6C0E512BAE}">
            <xm:f>K23=INputs!$AB$4</xm:f>
            <x14:dxf>
              <font>
                <color theme="2" tint="-0.24994659260841701"/>
              </font>
              <fill>
                <patternFill>
                  <bgColor theme="2" tint="-0.24994659260841701"/>
                </patternFill>
              </fill>
            </x14:dxf>
          </x14:cfRule>
          <xm:sqref>M23</xm:sqref>
        </x14:conditionalFormatting>
        <x14:conditionalFormatting xmlns:xm="http://schemas.microsoft.com/office/excel/2006/main">
          <x14:cfRule type="expression" priority="298" id="{5DE420FF-3EF6-45D1-98FB-910CEA916D11}">
            <xm:f>$O25=INputs!$AF$3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7" id="{715F94FA-5832-460B-B53F-107E5101FE3D}">
            <xm:f>K25=INputs!$AB$3</xm:f>
            <x14:dxf>
              <font>
                <color theme="2" tint="-0.24994659260841701"/>
              </font>
              <fill>
                <patternFill>
                  <bgColor theme="2" tint="-0.24994659260841701"/>
                </patternFill>
              </fill>
            </x14:dxf>
          </x14:cfRule>
          <x14:cfRule type="expression" priority="296" id="{BDDAA6D5-B5B0-4C20-87AE-0BAFB3A77FCB}">
            <xm:f>K25=INputs!$AB$4</xm:f>
            <x14:dxf>
              <font>
                <color theme="2" tint="-0.24994659260841701"/>
              </font>
              <fill>
                <patternFill>
                  <bgColor theme="2" tint="-0.24994659260841701"/>
                </patternFill>
              </fill>
            </x14:dxf>
          </x14:cfRule>
          <xm:sqref>M25</xm:sqref>
        </x14:conditionalFormatting>
        <x14:conditionalFormatting xmlns:xm="http://schemas.microsoft.com/office/excel/2006/main">
          <x14:cfRule type="expression" priority="295" id="{E858C112-74FE-42A3-A20D-831C3A2C788F}">
            <xm:f>$O27=INputs!$AF$3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4" id="{33E74813-A242-49B6-A645-BD15C7EF7BC1}">
            <xm:f>K27=INputs!$AB$3</xm:f>
            <x14:dxf>
              <font>
                <color theme="2" tint="-0.24994659260841701"/>
              </font>
              <fill>
                <patternFill>
                  <bgColor theme="2" tint="-0.24994659260841701"/>
                </patternFill>
              </fill>
            </x14:dxf>
          </x14:cfRule>
          <x14:cfRule type="expression" priority="293" id="{08EFB2B1-590D-4880-B4AE-D6EF2DCF6623}">
            <xm:f>K27=INputs!$AB$4</xm:f>
            <x14:dxf>
              <font>
                <color theme="2" tint="-0.24994659260841701"/>
              </font>
              <fill>
                <patternFill>
                  <bgColor theme="2" tint="-0.24994659260841701"/>
                </patternFill>
              </fill>
            </x14:dxf>
          </x14:cfRule>
          <xm:sqref>M27</xm:sqref>
        </x14:conditionalFormatting>
        <x14:conditionalFormatting xmlns:xm="http://schemas.microsoft.com/office/excel/2006/main">
          <x14:cfRule type="expression" priority="292" id="{BB1A7472-8C09-4DE8-BFB3-A94D4C035772}">
            <xm:f>$O29=INputs!$AF$3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91" id="{3F0C016A-3992-43DF-8B4B-67C5C1AF589B}">
            <xm:f>K29=INputs!$AB$3</xm:f>
            <x14:dxf>
              <font>
                <color theme="2" tint="-0.24994659260841701"/>
              </font>
              <fill>
                <patternFill>
                  <bgColor theme="2" tint="-0.24994659260841701"/>
                </patternFill>
              </fill>
            </x14:dxf>
          </x14:cfRule>
          <x14:cfRule type="expression" priority="290" id="{4178F043-1728-404D-913F-9F90D8267C07}">
            <xm:f>K29=INputs!$AB$4</xm:f>
            <x14:dxf>
              <font>
                <color theme="2" tint="-0.24994659260841701"/>
              </font>
              <fill>
                <patternFill>
                  <bgColor theme="2" tint="-0.24994659260841701"/>
                </patternFill>
              </fill>
            </x14:dxf>
          </x14:cfRule>
          <xm:sqref>M29</xm:sqref>
        </x14:conditionalFormatting>
        <x14:conditionalFormatting xmlns:xm="http://schemas.microsoft.com/office/excel/2006/main">
          <x14:cfRule type="expression" priority="288" id="{D6F42F17-42F9-4DC0-9036-D5C979A9E889}">
            <xm:f>K31=INputs!$AB$3</xm:f>
            <x14:dxf>
              <font>
                <color theme="2" tint="-0.24994659260841701"/>
              </font>
              <fill>
                <patternFill>
                  <bgColor theme="2" tint="-0.24994659260841701"/>
                </patternFill>
              </fill>
            </x14:dxf>
          </x14:cfRule>
          <x14:cfRule type="expression" priority="287" id="{AD28C35C-52F2-4680-84B0-8FEC0877BC23}">
            <xm:f>K31=INputs!$AB$4</xm:f>
            <x14:dxf>
              <font>
                <color theme="2" tint="-0.24994659260841701"/>
              </font>
              <fill>
                <patternFill>
                  <bgColor theme="2" tint="-0.24994659260841701"/>
                </patternFill>
              </fill>
            </x14:dxf>
          </x14:cfRule>
          <x14:cfRule type="expression" priority="289" id="{2138C69C-76F5-4F7E-95C3-30483C9E7E5D}">
            <xm:f>$O31=INputs!$AF$3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M31</xm:sqref>
        </x14:conditionalFormatting>
        <x14:conditionalFormatting xmlns:xm="http://schemas.microsoft.com/office/excel/2006/main">
          <x14:cfRule type="expression" priority="286" id="{4E3097AC-90F8-4418-A515-FBF4352A5336}">
            <xm:f>$O33=INputs!$AF$3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85" id="{1959FEF9-6C11-4D58-B147-BB111DBD7F13}">
            <xm:f>K33=INputs!$AB$3</xm:f>
            <x14:dxf>
              <font>
                <color theme="2" tint="-0.24994659260841701"/>
              </font>
              <fill>
                <patternFill>
                  <bgColor theme="2" tint="-0.24994659260841701"/>
                </patternFill>
              </fill>
            </x14:dxf>
          </x14:cfRule>
          <x14:cfRule type="expression" priority="284" id="{1B60E38A-F7DF-45F2-94B2-844B69B88757}">
            <xm:f>K33=INputs!$AB$4</xm:f>
            <x14:dxf>
              <font>
                <color theme="2" tint="-0.24994659260841701"/>
              </font>
              <fill>
                <patternFill>
                  <bgColor theme="2" tint="-0.24994659260841701"/>
                </patternFill>
              </fill>
            </x14:dxf>
          </x14:cfRule>
          <xm:sqref>M33</xm:sqref>
        </x14:conditionalFormatting>
        <x14:conditionalFormatting xmlns:xm="http://schemas.microsoft.com/office/excel/2006/main">
          <x14:cfRule type="expression" priority="281" id="{5C2375D0-AEA2-4CE5-B9CD-0D8FABAB8584}">
            <xm:f>K35=INputs!$AB$4</xm:f>
            <x14:dxf>
              <font>
                <color theme="2" tint="-0.24994659260841701"/>
              </font>
              <fill>
                <patternFill>
                  <bgColor theme="2" tint="-0.24994659260841701"/>
                </patternFill>
              </fill>
            </x14:dxf>
          </x14:cfRule>
          <x14:cfRule type="expression" priority="282" id="{B1A93643-2102-4F7F-929F-73D1D60F055A}">
            <xm:f>K35=INputs!$AB$3</xm:f>
            <x14:dxf>
              <font>
                <color theme="2" tint="-0.24994659260841701"/>
              </font>
              <fill>
                <patternFill>
                  <bgColor theme="2" tint="-0.24994659260841701"/>
                </patternFill>
              </fill>
            </x14:dxf>
          </x14:cfRule>
          <x14:cfRule type="expression" priority="283" id="{C2C5CF97-D00B-4567-99DE-37656EEBDF38}">
            <xm:f>$O35=INputs!$AF$3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M35</xm:sqref>
        </x14:conditionalFormatting>
        <x14:conditionalFormatting xmlns:xm="http://schemas.microsoft.com/office/excel/2006/main">
          <x14:cfRule type="expression" priority="280" id="{C9257D58-E446-44E6-944F-C3E71E7E9372}">
            <xm:f>$O37=INputs!$AF$3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78" id="{DA2EB265-5A44-423C-A7F3-2C385A31F5BC}">
            <xm:f>K37=INputs!$AB$4</xm:f>
            <x14:dxf>
              <font>
                <color theme="2" tint="-0.24994659260841701"/>
              </font>
              <fill>
                <patternFill>
                  <bgColor theme="2" tint="-0.24994659260841701"/>
                </patternFill>
              </fill>
            </x14:dxf>
          </x14:cfRule>
          <x14:cfRule type="expression" priority="279" id="{0FC60D55-73F5-4533-8212-EB3FEE7CC950}">
            <xm:f>K37=INputs!$AB$3</xm:f>
            <x14:dxf>
              <font>
                <color theme="2" tint="-0.24994659260841701"/>
              </font>
              <fill>
                <patternFill>
                  <bgColor theme="2" tint="-0.24994659260841701"/>
                </patternFill>
              </fill>
            </x14:dxf>
          </x14:cfRule>
          <xm:sqref>M37</xm:sqref>
        </x14:conditionalFormatting>
        <x14:conditionalFormatting xmlns:xm="http://schemas.microsoft.com/office/excel/2006/main">
          <x14:cfRule type="expression" priority="275" id="{55A3945F-2ACE-494D-8613-4E798E349622}">
            <xm:f>K39=INputs!$AB$4</xm:f>
            <x14:dxf>
              <font>
                <color theme="2" tint="-0.24994659260841701"/>
              </font>
              <fill>
                <patternFill>
                  <bgColor theme="2" tint="-0.24994659260841701"/>
                </patternFill>
              </fill>
            </x14:dxf>
          </x14:cfRule>
          <x14:cfRule type="expression" priority="276" id="{9F13C03B-75A6-40C3-87DD-2DAC3E5D6EB0}">
            <xm:f>K39=INputs!$AB$3</xm:f>
            <x14:dxf>
              <font>
                <color theme="2" tint="-0.24994659260841701"/>
              </font>
              <fill>
                <patternFill>
                  <bgColor theme="2" tint="-0.24994659260841701"/>
                </patternFill>
              </fill>
            </x14:dxf>
          </x14:cfRule>
          <x14:cfRule type="expression" priority="277" id="{19846B8E-EC58-4BE5-87ED-596C523523C9}">
            <xm:f>$O39=INputs!$AF$3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M39</xm:sqref>
        </x14:conditionalFormatting>
        <x14:conditionalFormatting xmlns:xm="http://schemas.microsoft.com/office/excel/2006/main">
          <x14:cfRule type="expression" priority="272" id="{8993068A-0AC3-4846-99CC-EE8F14292137}">
            <xm:f>K41=INputs!$AB$4</xm:f>
            <x14:dxf>
              <font>
                <color theme="2" tint="-0.24994659260841701"/>
              </font>
              <fill>
                <patternFill>
                  <bgColor theme="2" tint="-0.24994659260841701"/>
                </patternFill>
              </fill>
            </x14:dxf>
          </x14:cfRule>
          <x14:cfRule type="expression" priority="273" id="{D68D19C5-B49F-4EFB-A0F5-80B9512D725E}">
            <xm:f>K41=INputs!$AB$3</xm:f>
            <x14:dxf>
              <font>
                <color theme="2" tint="-0.24994659260841701"/>
              </font>
              <fill>
                <patternFill>
                  <bgColor theme="2" tint="-0.24994659260841701"/>
                </patternFill>
              </fill>
            </x14:dxf>
          </x14:cfRule>
          <x14:cfRule type="expression" priority="274" id="{C6CB8A21-D7BF-45F8-8DA1-F5D8619B42D7}">
            <xm:f>$O41=INputs!$AF$3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M41</xm:sqref>
        </x14:conditionalFormatting>
        <x14:conditionalFormatting xmlns:xm="http://schemas.microsoft.com/office/excel/2006/main">
          <x14:cfRule type="expression" priority="270" id="{142343BC-C9DB-4B91-B566-16912E27D8AF}">
            <xm:f>K43=INputs!$AB$3</xm:f>
            <x14:dxf>
              <font>
                <color theme="2" tint="-0.24994659260841701"/>
              </font>
              <fill>
                <patternFill>
                  <bgColor theme="2" tint="-0.24994659260841701"/>
                </patternFill>
              </fill>
            </x14:dxf>
          </x14:cfRule>
          <x14:cfRule type="expression" priority="271" id="{4ED1915A-BDA1-4E13-ABD6-2BDCFD1F09FC}">
            <xm:f>$O43=INputs!$AF$3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9" id="{1D42F897-E99C-40ED-8BA9-3B41B286BD7C}">
            <xm:f>K43=INputs!$AB$4</xm:f>
            <x14:dxf>
              <font>
                <color theme="2" tint="-0.24994659260841701"/>
              </font>
              <fill>
                <patternFill>
                  <bgColor theme="2" tint="-0.24994659260841701"/>
                </patternFill>
              </fill>
            </x14:dxf>
          </x14:cfRule>
          <xm:sqref>M43</xm:sqref>
        </x14:conditionalFormatting>
        <x14:conditionalFormatting xmlns:xm="http://schemas.microsoft.com/office/excel/2006/main">
          <x14:cfRule type="expression" priority="268" id="{7871B48B-EC40-417F-92D5-D68EE1F4E561}">
            <xm:f>$O45=INputs!$AF$3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7" id="{6C0F7515-8A0A-4541-BE9B-DD2072119F61}">
            <xm:f>K45=INputs!$AB$3</xm:f>
            <x14:dxf>
              <font>
                <color theme="2" tint="-0.24994659260841701"/>
              </font>
              <fill>
                <patternFill>
                  <bgColor theme="2" tint="-0.24994659260841701"/>
                </patternFill>
              </fill>
            </x14:dxf>
          </x14:cfRule>
          <x14:cfRule type="expression" priority="266" id="{227F732A-6305-41D1-AA95-3965AC1EF786}">
            <xm:f>K45=INputs!$AB$4</xm:f>
            <x14:dxf>
              <font>
                <color theme="2" tint="-0.24994659260841701"/>
              </font>
              <fill>
                <patternFill>
                  <bgColor theme="2" tint="-0.24994659260841701"/>
                </patternFill>
              </fill>
            </x14:dxf>
          </x14:cfRule>
          <xm:sqref>M45</xm:sqref>
        </x14:conditionalFormatting>
        <x14:conditionalFormatting xmlns:xm="http://schemas.microsoft.com/office/excel/2006/main">
          <x14:cfRule type="expression" priority="264" id="{4316372E-14B3-40C1-95E3-ED39C37F8255}">
            <xm:f>K47=INputs!$AB$3</xm:f>
            <x14:dxf>
              <font>
                <color theme="2" tint="-0.24994659260841701"/>
              </font>
              <fill>
                <patternFill>
                  <bgColor theme="2" tint="-0.24994659260841701"/>
                </patternFill>
              </fill>
            </x14:dxf>
          </x14:cfRule>
          <x14:cfRule type="expression" priority="263" id="{C97330BD-49B5-4319-9D2A-1DF80708D027}">
            <xm:f>K47=INputs!$AB$4</xm:f>
            <x14:dxf>
              <font>
                <color theme="2" tint="-0.24994659260841701"/>
              </font>
              <fill>
                <patternFill>
                  <bgColor theme="2" tint="-0.24994659260841701"/>
                </patternFill>
              </fill>
            </x14:dxf>
          </x14:cfRule>
          <x14:cfRule type="expression" priority="265" id="{05907231-1E5D-457A-B04F-CB0F6FA834ED}">
            <xm:f>$O47=INputs!$AF$3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m:sqref>M47</xm:sqref>
        </x14:conditionalFormatting>
        <x14:conditionalFormatting xmlns:xm="http://schemas.microsoft.com/office/excel/2006/main">
          <x14:cfRule type="expression" priority="262" id="{72CE84B2-EBA4-4D8D-8591-995AE113942A}">
            <xm:f>$O49=INputs!$AF$3</xm:f>
            <x14:dxf>
              <font>
                <color theme="2" tint="-0.24994659260841701"/>
              </font>
              <fill>
                <patternFill>
                  <bgColor theme="2" tint="-0.24994659260841701"/>
                </patternFill>
              </fill>
              <border>
                <left style="thin">
                  <color auto="1"/>
                </left>
                <right style="thin">
                  <color auto="1"/>
                </right>
                <top style="thin">
                  <color auto="1"/>
                </top>
                <bottom style="thin">
                  <color auto="1"/>
                </bottom>
                <vertical/>
                <horizontal/>
              </border>
            </x14:dxf>
          </x14:cfRule>
          <x14:cfRule type="expression" priority="261" id="{FA784021-6658-461F-AC70-551760237C55}">
            <xm:f>K49=INputs!$AB$3</xm:f>
            <x14:dxf>
              <font>
                <color theme="2" tint="-0.24994659260841701"/>
              </font>
              <fill>
                <patternFill>
                  <bgColor theme="2" tint="-0.24994659260841701"/>
                </patternFill>
              </fill>
            </x14:dxf>
          </x14:cfRule>
          <x14:cfRule type="expression" priority="260" id="{540F0393-6F20-486F-82C0-BC432B82C4BB}">
            <xm:f>K49=INputs!$AB$4</xm:f>
            <x14:dxf>
              <font>
                <color theme="2" tint="-0.24994659260841701"/>
              </font>
              <fill>
                <patternFill>
                  <bgColor theme="2" tint="-0.24994659260841701"/>
                </patternFill>
              </fill>
            </x14:dxf>
          </x14:cfRule>
          <xm:sqref>M49</xm:sqref>
        </x14:conditionalFormatting>
        <x14:conditionalFormatting xmlns:xm="http://schemas.microsoft.com/office/excel/2006/main">
          <x14:cfRule type="expression" priority="554" id="{7466FE83-A79F-439B-A1AB-5FC1A9D9C1ED}">
            <xm:f>$M11=INputs!$AD$3</xm:f>
            <x14:dxf>
              <font>
                <color theme="2" tint="-0.24994659260841701"/>
              </font>
              <fill>
                <patternFill>
                  <bgColor theme="2" tint="-0.24994659260841701"/>
                </patternFill>
              </fill>
            </x14:dxf>
          </x14:cfRule>
          <x14:cfRule type="expression" priority="438" id="{5D69115F-D033-4F6D-B74D-391A50A3F970}">
            <xm:f>$M11=INputs!$AD$4</xm:f>
            <x14:dxf>
              <font>
                <color theme="2" tint="-0.24994659260841701"/>
              </font>
              <fill>
                <patternFill>
                  <bgColor theme="2" tint="-0.24994659260841701"/>
                </patternFill>
              </fill>
            </x14:dxf>
          </x14:cfRule>
          <x14:cfRule type="expression" priority="437" id="{9D8778D9-3CE0-46B4-A2CA-54EB2FEAA647}">
            <xm:f>$K11=INputs!$AB$3</xm:f>
            <x14:dxf>
              <font>
                <color theme="2" tint="-0.24994659260841701"/>
              </font>
              <fill>
                <patternFill>
                  <bgColor theme="2" tint="-0.24994659260841701"/>
                </patternFill>
              </fill>
            </x14:dxf>
          </x14:cfRule>
          <x14:cfRule type="expression" priority="436" id="{6115F0E1-6AED-4633-8681-9A808329547C}">
            <xm:f>K11=INputs!$AB$4</xm:f>
            <x14:dxf>
              <font>
                <color theme="2" tint="-0.24994659260841701"/>
              </font>
              <fill>
                <patternFill>
                  <bgColor theme="2" tint="-0.24994659260841701"/>
                </patternFill>
              </fill>
            </x14:dxf>
          </x14:cfRule>
          <xm:sqref>O11</xm:sqref>
        </x14:conditionalFormatting>
        <x14:conditionalFormatting xmlns:xm="http://schemas.microsoft.com/office/excel/2006/main">
          <x14:cfRule type="expression" priority="430" id="{46628ED0-6EE8-4F5D-A5BB-9FE38BBB247C}">
            <xm:f>$M13=INputs!$AD$3</xm:f>
            <x14:dxf>
              <font>
                <color theme="2" tint="-0.24994659260841701"/>
              </font>
              <fill>
                <patternFill>
                  <bgColor theme="2" tint="-0.24994659260841701"/>
                </patternFill>
              </fill>
            </x14:dxf>
          </x14:cfRule>
          <x14:cfRule type="expression" priority="428" id="{E107BD5F-8374-4457-B801-7471D8B66256}">
            <xm:f>$M13=INputs!$AD$4</xm:f>
            <x14:dxf>
              <font>
                <color theme="2" tint="-0.24994659260841701"/>
              </font>
              <fill>
                <patternFill>
                  <bgColor theme="2" tint="-0.24994659260841701"/>
                </patternFill>
              </fill>
            </x14:dxf>
          </x14:cfRule>
          <x14:cfRule type="expression" priority="427" id="{F39F912B-EF81-49D4-9379-5677572A4F21}">
            <xm:f>$K13=INputs!$AB$3</xm:f>
            <x14:dxf>
              <font>
                <color theme="2" tint="-0.24994659260841701"/>
              </font>
              <fill>
                <patternFill>
                  <bgColor theme="2" tint="-0.24994659260841701"/>
                </patternFill>
              </fill>
            </x14:dxf>
          </x14:cfRule>
          <x14:cfRule type="expression" priority="426" id="{1DD889ED-068C-4672-BE2A-3D912F33931B}">
            <xm:f>K13=INputs!$AB$4</xm:f>
            <x14:dxf>
              <font>
                <color theme="2" tint="-0.24994659260841701"/>
              </font>
              <fill>
                <patternFill>
                  <bgColor theme="2" tint="-0.24994659260841701"/>
                </patternFill>
              </fill>
            </x14:dxf>
          </x14:cfRule>
          <xm:sqref>O13</xm:sqref>
        </x14:conditionalFormatting>
        <x14:conditionalFormatting xmlns:xm="http://schemas.microsoft.com/office/excel/2006/main">
          <x14:cfRule type="expression" priority="421" id="{0786B4FB-4C22-49F4-9DD5-4AFA641C870A}">
            <xm:f>K15=INputs!$AB$4</xm:f>
            <x14:dxf>
              <font>
                <color theme="2" tint="-0.24994659260841701"/>
              </font>
              <fill>
                <patternFill>
                  <bgColor theme="2" tint="-0.24994659260841701"/>
                </patternFill>
              </fill>
            </x14:dxf>
          </x14:cfRule>
          <x14:cfRule type="expression" priority="422" id="{914491FA-79B0-413C-98D5-E5DA9CFBF0BB}">
            <xm:f>$K15=INputs!$AB$3</xm:f>
            <x14:dxf>
              <font>
                <color theme="2" tint="-0.24994659260841701"/>
              </font>
              <fill>
                <patternFill>
                  <bgColor theme="2" tint="-0.24994659260841701"/>
                </patternFill>
              </fill>
            </x14:dxf>
          </x14:cfRule>
          <x14:cfRule type="expression" priority="423" id="{BD39BF9F-D6F5-453B-ABF9-1B585EF19548}">
            <xm:f>$M15=INputs!$AD$4</xm:f>
            <x14:dxf>
              <font>
                <color theme="2" tint="-0.24994659260841701"/>
              </font>
              <fill>
                <patternFill>
                  <bgColor theme="2" tint="-0.24994659260841701"/>
                </patternFill>
              </fill>
            </x14:dxf>
          </x14:cfRule>
          <x14:cfRule type="expression" priority="425" id="{AD259CA4-9AE0-4090-A66F-322AA1F9F721}">
            <xm:f>$M15=INputs!$AD$3</xm:f>
            <x14:dxf>
              <font>
                <color theme="2" tint="-0.24994659260841701"/>
              </font>
              <fill>
                <patternFill>
                  <bgColor theme="2" tint="-0.24994659260841701"/>
                </patternFill>
              </fill>
            </x14:dxf>
          </x14:cfRule>
          <xm:sqref>O15</xm:sqref>
        </x14:conditionalFormatting>
        <x14:conditionalFormatting xmlns:xm="http://schemas.microsoft.com/office/excel/2006/main">
          <x14:cfRule type="expression" priority="416" id="{D2053088-208C-4F6C-8119-EAB03F1DE2E3}">
            <xm:f>K17=INputs!$AB$4</xm:f>
            <x14:dxf>
              <font>
                <color theme="2" tint="-0.24994659260841701"/>
              </font>
              <fill>
                <patternFill>
                  <bgColor theme="2" tint="-0.24994659260841701"/>
                </patternFill>
              </fill>
            </x14:dxf>
          </x14:cfRule>
          <x14:cfRule type="expression" priority="417" id="{2A720F55-48F3-4FE2-8776-0E2631918583}">
            <xm:f>$K17=INputs!$AB$3</xm:f>
            <x14:dxf>
              <font>
                <color theme="2" tint="-0.24994659260841701"/>
              </font>
              <fill>
                <patternFill>
                  <bgColor theme="2" tint="-0.24994659260841701"/>
                </patternFill>
              </fill>
            </x14:dxf>
          </x14:cfRule>
          <x14:cfRule type="expression" priority="418" id="{45AD6932-5921-412E-A652-F88ABF5F5D43}">
            <xm:f>$M17=INputs!$AD$4</xm:f>
            <x14:dxf>
              <font>
                <color theme="2" tint="-0.24994659260841701"/>
              </font>
              <fill>
                <patternFill>
                  <bgColor theme="2" tint="-0.24994659260841701"/>
                </patternFill>
              </fill>
            </x14:dxf>
          </x14:cfRule>
          <x14:cfRule type="expression" priority="420" id="{72DDB599-BB62-4BAC-8EEC-6BF19B8BACD1}">
            <xm:f>$M17=INputs!$AD$3</xm:f>
            <x14:dxf>
              <font>
                <color theme="2" tint="-0.24994659260841701"/>
              </font>
              <fill>
                <patternFill>
                  <bgColor theme="2" tint="-0.24994659260841701"/>
                </patternFill>
              </fill>
            </x14:dxf>
          </x14:cfRule>
          <xm:sqref>O17</xm:sqref>
        </x14:conditionalFormatting>
        <x14:conditionalFormatting xmlns:xm="http://schemas.microsoft.com/office/excel/2006/main">
          <x14:cfRule type="expression" priority="411" id="{A1ADEDEB-8773-445D-B107-19725B081A94}">
            <xm:f>K19=INputs!$AB$4</xm:f>
            <x14:dxf>
              <font>
                <color theme="2" tint="-0.24994659260841701"/>
              </font>
              <fill>
                <patternFill>
                  <bgColor theme="2" tint="-0.24994659260841701"/>
                </patternFill>
              </fill>
            </x14:dxf>
          </x14:cfRule>
          <x14:cfRule type="expression" priority="412" id="{1AEADCE3-5B35-4C3F-9B9A-737EB4F6C1AF}">
            <xm:f>$K19=INputs!$AB$3</xm:f>
            <x14:dxf>
              <font>
                <color theme="2" tint="-0.24994659260841701"/>
              </font>
              <fill>
                <patternFill>
                  <bgColor theme="2" tint="-0.24994659260841701"/>
                </patternFill>
              </fill>
            </x14:dxf>
          </x14:cfRule>
          <x14:cfRule type="expression" priority="413" id="{E2F90254-7AC7-4E8B-9A27-5994E5911EF7}">
            <xm:f>$M19=INputs!$AD$4</xm:f>
            <x14:dxf>
              <font>
                <color theme="2" tint="-0.24994659260841701"/>
              </font>
              <fill>
                <patternFill>
                  <bgColor theme="2" tint="-0.24994659260841701"/>
                </patternFill>
              </fill>
            </x14:dxf>
          </x14:cfRule>
          <x14:cfRule type="expression" priority="415" id="{BADB084F-243F-4F3F-BF78-B5C890A31E73}">
            <xm:f>$M19=INputs!$AD$3</xm:f>
            <x14:dxf>
              <font>
                <color theme="2" tint="-0.24994659260841701"/>
              </font>
              <fill>
                <patternFill>
                  <bgColor theme="2" tint="-0.24994659260841701"/>
                </patternFill>
              </fill>
            </x14:dxf>
          </x14:cfRule>
          <xm:sqref>O19</xm:sqref>
        </x14:conditionalFormatting>
        <x14:conditionalFormatting xmlns:xm="http://schemas.microsoft.com/office/excel/2006/main">
          <x14:cfRule type="expression" priority="406" id="{78284557-1EAE-4165-8E23-7AA9E07B78A1}">
            <xm:f>K21=INputs!$AB$4</xm:f>
            <x14:dxf>
              <font>
                <color theme="2" tint="-0.24994659260841701"/>
              </font>
              <fill>
                <patternFill>
                  <bgColor theme="2" tint="-0.24994659260841701"/>
                </patternFill>
              </fill>
            </x14:dxf>
          </x14:cfRule>
          <x14:cfRule type="expression" priority="407" id="{CA82575A-1CDA-4D8C-86C5-B72CF0298115}">
            <xm:f>$K21=INputs!$AB$3</xm:f>
            <x14:dxf>
              <font>
                <color theme="2" tint="-0.24994659260841701"/>
              </font>
              <fill>
                <patternFill>
                  <bgColor theme="2" tint="-0.24994659260841701"/>
                </patternFill>
              </fill>
            </x14:dxf>
          </x14:cfRule>
          <x14:cfRule type="expression" priority="408" id="{D0213C96-B953-477F-8C85-4E3F4A37DF64}">
            <xm:f>$M21=INputs!$AD$4</xm:f>
            <x14:dxf>
              <font>
                <color theme="2" tint="-0.24994659260841701"/>
              </font>
              <fill>
                <patternFill>
                  <bgColor theme="2" tint="-0.24994659260841701"/>
                </patternFill>
              </fill>
            </x14:dxf>
          </x14:cfRule>
          <x14:cfRule type="expression" priority="410" id="{2A575F1D-BC81-48C3-AB26-5BA6E4ECD67D}">
            <xm:f>$M21=INputs!$AD$3</xm:f>
            <x14:dxf>
              <font>
                <color theme="2" tint="-0.24994659260841701"/>
              </font>
              <fill>
                <patternFill>
                  <bgColor theme="2" tint="-0.24994659260841701"/>
                </patternFill>
              </fill>
            </x14:dxf>
          </x14:cfRule>
          <xm:sqref>O21</xm:sqref>
        </x14:conditionalFormatting>
        <x14:conditionalFormatting xmlns:xm="http://schemas.microsoft.com/office/excel/2006/main">
          <x14:cfRule type="expression" priority="401" id="{18BB6FFE-15B1-42D4-9092-18281F463FC6}">
            <xm:f>K23=INputs!$AB$4</xm:f>
            <x14:dxf>
              <font>
                <color theme="2" tint="-0.24994659260841701"/>
              </font>
              <fill>
                <patternFill>
                  <bgColor theme="2" tint="-0.24994659260841701"/>
                </patternFill>
              </fill>
            </x14:dxf>
          </x14:cfRule>
          <x14:cfRule type="expression" priority="402" id="{6401444E-A0A5-41B4-9EBD-06698ADF3925}">
            <xm:f>$K23=INputs!$AB$3</xm:f>
            <x14:dxf>
              <font>
                <color theme="2" tint="-0.24994659260841701"/>
              </font>
              <fill>
                <patternFill>
                  <bgColor theme="2" tint="-0.24994659260841701"/>
                </patternFill>
              </fill>
            </x14:dxf>
          </x14:cfRule>
          <x14:cfRule type="expression" priority="403" id="{0BBAF390-4D2E-4913-9949-030B7A76822E}">
            <xm:f>$M23=INputs!$AD$4</xm:f>
            <x14:dxf>
              <font>
                <color theme="2" tint="-0.24994659260841701"/>
              </font>
              <fill>
                <patternFill>
                  <bgColor theme="2" tint="-0.24994659260841701"/>
                </patternFill>
              </fill>
            </x14:dxf>
          </x14:cfRule>
          <x14:cfRule type="expression" priority="405" id="{B558B52C-1573-4A61-94F7-E3F9A352B5E5}">
            <xm:f>$M23=INputs!$AD$3</xm:f>
            <x14:dxf>
              <font>
                <color theme="2" tint="-0.24994659260841701"/>
              </font>
              <fill>
                <patternFill>
                  <bgColor theme="2" tint="-0.24994659260841701"/>
                </patternFill>
              </fill>
            </x14:dxf>
          </x14:cfRule>
          <xm:sqref>O23</xm:sqref>
        </x14:conditionalFormatting>
        <x14:conditionalFormatting xmlns:xm="http://schemas.microsoft.com/office/excel/2006/main">
          <x14:cfRule type="expression" priority="400" id="{7C3F7432-97F2-4AD6-952E-3CB285A2A1F6}">
            <xm:f>$M25=INputs!$AD$3</xm:f>
            <x14:dxf>
              <font>
                <color theme="2" tint="-0.24994659260841701"/>
              </font>
              <fill>
                <patternFill>
                  <bgColor theme="2" tint="-0.24994659260841701"/>
                </patternFill>
              </fill>
            </x14:dxf>
          </x14:cfRule>
          <x14:cfRule type="expression" priority="397" id="{9CA82016-8F18-44A4-A65B-7E4D1E62AEAD}">
            <xm:f>$K25=INputs!$AB$3</xm:f>
            <x14:dxf>
              <font>
                <color theme="2" tint="-0.24994659260841701"/>
              </font>
              <fill>
                <patternFill>
                  <bgColor theme="2" tint="-0.24994659260841701"/>
                </patternFill>
              </fill>
            </x14:dxf>
          </x14:cfRule>
          <x14:cfRule type="expression" priority="398" id="{6655E093-BDDB-42E3-AE88-8F1CC88D0C8A}">
            <xm:f>$M25=INputs!$AD$4</xm:f>
            <x14:dxf>
              <font>
                <color theme="2" tint="-0.24994659260841701"/>
              </font>
              <fill>
                <patternFill>
                  <bgColor theme="2" tint="-0.24994659260841701"/>
                </patternFill>
              </fill>
            </x14:dxf>
          </x14:cfRule>
          <x14:cfRule type="expression" priority="396" id="{CCB1ACAD-7E6B-4146-83E0-0ADDADB2E9BC}">
            <xm:f>K25=INputs!$AB$4</xm:f>
            <x14:dxf>
              <font>
                <color theme="2" tint="-0.24994659260841701"/>
              </font>
              <fill>
                <patternFill>
                  <bgColor theme="2" tint="-0.24994659260841701"/>
                </patternFill>
              </fill>
            </x14:dxf>
          </x14:cfRule>
          <xm:sqref>O25</xm:sqref>
        </x14:conditionalFormatting>
        <x14:conditionalFormatting xmlns:xm="http://schemas.microsoft.com/office/excel/2006/main">
          <x14:cfRule type="expression" priority="395" id="{37A40A57-ED24-4F35-AE8E-6D9A7572070F}">
            <xm:f>$M27=INputs!$AD$3</xm:f>
            <x14:dxf>
              <font>
                <color theme="2" tint="-0.24994659260841701"/>
              </font>
              <fill>
                <patternFill>
                  <bgColor theme="2" tint="-0.24994659260841701"/>
                </patternFill>
              </fill>
            </x14:dxf>
          </x14:cfRule>
          <x14:cfRule type="expression" priority="393" id="{48168083-0DB4-4D0D-BB02-404EBE5D8777}">
            <xm:f>$M27=INputs!$AD$4</xm:f>
            <x14:dxf>
              <font>
                <color theme="2" tint="-0.24994659260841701"/>
              </font>
              <fill>
                <patternFill>
                  <bgColor theme="2" tint="-0.24994659260841701"/>
                </patternFill>
              </fill>
            </x14:dxf>
          </x14:cfRule>
          <x14:cfRule type="expression" priority="392" id="{950B9C25-CDE9-4418-9EB0-763302879F78}">
            <xm:f>$K27=INputs!$AB$3</xm:f>
            <x14:dxf>
              <font>
                <color theme="2" tint="-0.24994659260841701"/>
              </font>
              <fill>
                <patternFill>
                  <bgColor theme="2" tint="-0.24994659260841701"/>
                </patternFill>
              </fill>
            </x14:dxf>
          </x14:cfRule>
          <x14:cfRule type="expression" priority="391" id="{39577506-6803-4602-B1AB-FFE459E6A688}">
            <xm:f>K27=INputs!$AB$4</xm:f>
            <x14:dxf>
              <font>
                <color theme="2" tint="-0.24994659260841701"/>
              </font>
              <fill>
                <patternFill>
                  <bgColor theme="2" tint="-0.24994659260841701"/>
                </patternFill>
              </fill>
            </x14:dxf>
          </x14:cfRule>
          <xm:sqref>O27</xm:sqref>
        </x14:conditionalFormatting>
        <x14:conditionalFormatting xmlns:xm="http://schemas.microsoft.com/office/excel/2006/main">
          <x14:cfRule type="expression" priority="387" id="{DC9D3F63-D5FE-4530-8E95-2BB491863823}">
            <xm:f>$K29=INputs!$AB$3</xm:f>
            <x14:dxf>
              <font>
                <color theme="2" tint="-0.24994659260841701"/>
              </font>
              <fill>
                <patternFill>
                  <bgColor theme="2" tint="-0.24994659260841701"/>
                </patternFill>
              </fill>
            </x14:dxf>
          </x14:cfRule>
          <x14:cfRule type="expression" priority="388" id="{872A2CA2-A5CF-4D73-8842-15012419427E}">
            <xm:f>$M29=INputs!$AD$4</xm:f>
            <x14:dxf>
              <font>
                <color theme="2" tint="-0.24994659260841701"/>
              </font>
              <fill>
                <patternFill>
                  <bgColor theme="2" tint="-0.24994659260841701"/>
                </patternFill>
              </fill>
            </x14:dxf>
          </x14:cfRule>
          <x14:cfRule type="expression" priority="386" id="{11C7D194-C4EC-4B05-AC5B-D4415C2E7958}">
            <xm:f>K29=INputs!$AB$4</xm:f>
            <x14:dxf>
              <font>
                <color theme="2" tint="-0.24994659260841701"/>
              </font>
              <fill>
                <patternFill>
                  <bgColor theme="2" tint="-0.24994659260841701"/>
                </patternFill>
              </fill>
            </x14:dxf>
          </x14:cfRule>
          <x14:cfRule type="expression" priority="390" id="{DB97BEC0-732E-4BB7-B895-EA2C29E98570}">
            <xm:f>$M29=INputs!$AD$3</xm:f>
            <x14:dxf>
              <font>
                <color theme="2" tint="-0.24994659260841701"/>
              </font>
              <fill>
                <patternFill>
                  <bgColor theme="2" tint="-0.24994659260841701"/>
                </patternFill>
              </fill>
            </x14:dxf>
          </x14:cfRule>
          <xm:sqref>O29</xm:sqref>
        </x14:conditionalFormatting>
        <x14:conditionalFormatting xmlns:xm="http://schemas.microsoft.com/office/excel/2006/main">
          <x14:cfRule type="expression" priority="385" id="{6392CE8C-F481-4CC8-9F3F-7DFFB4C0262D}">
            <xm:f>$M31=INputs!$AD$3</xm:f>
            <x14:dxf>
              <font>
                <color theme="2" tint="-0.24994659260841701"/>
              </font>
              <fill>
                <patternFill>
                  <bgColor theme="2" tint="-0.24994659260841701"/>
                </patternFill>
              </fill>
            </x14:dxf>
          </x14:cfRule>
          <x14:cfRule type="expression" priority="382" id="{CA2750DD-BC8C-4F72-9D95-8A75CF9B17A1}">
            <xm:f>$K31=INputs!$AB$3</xm:f>
            <x14:dxf>
              <font>
                <color theme="2" tint="-0.24994659260841701"/>
              </font>
              <fill>
                <patternFill>
                  <bgColor theme="2" tint="-0.24994659260841701"/>
                </patternFill>
              </fill>
            </x14:dxf>
          </x14:cfRule>
          <x14:cfRule type="expression" priority="381" id="{B83D9F77-1F56-43CB-BB73-5FFBCFF18C87}">
            <xm:f>K31=INputs!$AB$4</xm:f>
            <x14:dxf>
              <font>
                <color theme="2" tint="-0.24994659260841701"/>
              </font>
              <fill>
                <patternFill>
                  <bgColor theme="2" tint="-0.24994659260841701"/>
                </patternFill>
              </fill>
            </x14:dxf>
          </x14:cfRule>
          <x14:cfRule type="expression" priority="383" id="{58750350-D799-419A-89B4-7BAC71F3108D}">
            <xm:f>$M31=INputs!$AD$4</xm:f>
            <x14:dxf>
              <font>
                <color theme="2" tint="-0.24994659260841701"/>
              </font>
              <fill>
                <patternFill>
                  <bgColor theme="2" tint="-0.24994659260841701"/>
                </patternFill>
              </fill>
            </x14:dxf>
          </x14:cfRule>
          <xm:sqref>O31</xm:sqref>
        </x14:conditionalFormatting>
        <x14:conditionalFormatting xmlns:xm="http://schemas.microsoft.com/office/excel/2006/main">
          <x14:cfRule type="expression" priority="377" id="{D821A992-535B-4A66-AAB5-0CFF2A90A528}">
            <xm:f>$K33=INputs!$AB$3</xm:f>
            <x14:dxf>
              <font>
                <color theme="2" tint="-0.24994659260841701"/>
              </font>
              <fill>
                <patternFill>
                  <bgColor theme="2" tint="-0.24994659260841701"/>
                </patternFill>
              </fill>
            </x14:dxf>
          </x14:cfRule>
          <x14:cfRule type="expression" priority="380" id="{2928E606-ED37-4C04-8064-F08AF714291A}">
            <xm:f>$M33=INputs!$AD$3</xm:f>
            <x14:dxf>
              <font>
                <color theme="2" tint="-0.24994659260841701"/>
              </font>
              <fill>
                <patternFill>
                  <bgColor theme="2" tint="-0.24994659260841701"/>
                </patternFill>
              </fill>
            </x14:dxf>
          </x14:cfRule>
          <x14:cfRule type="expression" priority="378" id="{4102D3E5-87B1-4B53-A22C-A00E959F3166}">
            <xm:f>$M33=INputs!$AD$4</xm:f>
            <x14:dxf>
              <font>
                <color theme="2" tint="-0.24994659260841701"/>
              </font>
              <fill>
                <patternFill>
                  <bgColor theme="2" tint="-0.24994659260841701"/>
                </patternFill>
              </fill>
            </x14:dxf>
          </x14:cfRule>
          <x14:cfRule type="expression" priority="376" id="{D2091834-7A04-4748-8451-13E5F2BFF53B}">
            <xm:f>K33=INputs!$AB$4</xm:f>
            <x14:dxf>
              <font>
                <color theme="2" tint="-0.24994659260841701"/>
              </font>
              <fill>
                <patternFill>
                  <bgColor theme="2" tint="-0.24994659260841701"/>
                </patternFill>
              </fill>
            </x14:dxf>
          </x14:cfRule>
          <xm:sqref>O33</xm:sqref>
        </x14:conditionalFormatting>
        <x14:conditionalFormatting xmlns:xm="http://schemas.microsoft.com/office/excel/2006/main">
          <x14:cfRule type="expression" priority="371" id="{6BEF982D-79D7-4D40-A732-B71FC6EEC1C4}">
            <xm:f>K35=INputs!$AB$4</xm:f>
            <x14:dxf>
              <font>
                <color theme="2" tint="-0.24994659260841701"/>
              </font>
              <fill>
                <patternFill>
                  <bgColor theme="2" tint="-0.24994659260841701"/>
                </patternFill>
              </fill>
            </x14:dxf>
          </x14:cfRule>
          <x14:cfRule type="expression" priority="372" id="{78A5FEC1-CC8D-4247-8524-79AAF31B3BCD}">
            <xm:f>$K35=INputs!$AB$3</xm:f>
            <x14:dxf>
              <font>
                <color theme="2" tint="-0.24994659260841701"/>
              </font>
              <fill>
                <patternFill>
                  <bgColor theme="2" tint="-0.24994659260841701"/>
                </patternFill>
              </fill>
            </x14:dxf>
          </x14:cfRule>
          <x14:cfRule type="expression" priority="373" id="{3C3CBD9E-C6F9-46C3-915F-8757CDF4CAC2}">
            <xm:f>$M35=INputs!$AD$4</xm:f>
            <x14:dxf>
              <font>
                <color theme="2" tint="-0.24994659260841701"/>
              </font>
              <fill>
                <patternFill>
                  <bgColor theme="2" tint="-0.24994659260841701"/>
                </patternFill>
              </fill>
            </x14:dxf>
          </x14:cfRule>
          <x14:cfRule type="expression" priority="375" id="{BFDCBB29-89AD-4281-A467-876FC13AB729}">
            <xm:f>$M35=INputs!$AD$3</xm:f>
            <x14:dxf>
              <font>
                <color theme="2" tint="-0.24994659260841701"/>
              </font>
              <fill>
                <patternFill>
                  <bgColor theme="2" tint="-0.24994659260841701"/>
                </patternFill>
              </fill>
            </x14:dxf>
          </x14:cfRule>
          <xm:sqref>O35</xm:sqref>
        </x14:conditionalFormatting>
        <x14:conditionalFormatting xmlns:xm="http://schemas.microsoft.com/office/excel/2006/main">
          <x14:cfRule type="expression" priority="370" id="{9A5FEB5F-CD74-4D82-BFAD-D429FFF927E1}">
            <xm:f>$M37=INputs!$AD$3</xm:f>
            <x14:dxf>
              <font>
                <color theme="2" tint="-0.24994659260841701"/>
              </font>
              <fill>
                <patternFill>
                  <bgColor theme="2" tint="-0.24994659260841701"/>
                </patternFill>
              </fill>
            </x14:dxf>
          </x14:cfRule>
          <x14:cfRule type="expression" priority="368" id="{D0C29B01-36D9-4C1A-B9F8-4FB63A0C806A}">
            <xm:f>$M37=INputs!$AD$4</xm:f>
            <x14:dxf>
              <font>
                <color theme="2" tint="-0.24994659260841701"/>
              </font>
              <fill>
                <patternFill>
                  <bgColor theme="2" tint="-0.24994659260841701"/>
                </patternFill>
              </fill>
            </x14:dxf>
          </x14:cfRule>
          <x14:cfRule type="expression" priority="367" id="{4A260805-F71C-4E37-8A19-26A09CDCF826}">
            <xm:f>$K37=INputs!$AB$3</xm:f>
            <x14:dxf>
              <font>
                <color theme="2" tint="-0.24994659260841701"/>
              </font>
              <fill>
                <patternFill>
                  <bgColor theme="2" tint="-0.24994659260841701"/>
                </patternFill>
              </fill>
            </x14:dxf>
          </x14:cfRule>
          <x14:cfRule type="expression" priority="366" id="{30439E21-BB8C-40CF-AB31-D550CF58B46D}">
            <xm:f>K37=INputs!$AB$4</xm:f>
            <x14:dxf>
              <font>
                <color theme="2" tint="-0.24994659260841701"/>
              </font>
              <fill>
                <patternFill>
                  <bgColor theme="2" tint="-0.24994659260841701"/>
                </patternFill>
              </fill>
            </x14:dxf>
          </x14:cfRule>
          <xm:sqref>O37</xm:sqref>
        </x14:conditionalFormatting>
        <x14:conditionalFormatting xmlns:xm="http://schemas.microsoft.com/office/excel/2006/main">
          <x14:cfRule type="expression" priority="363" id="{4A614085-E77A-4DB1-8412-7E7BFFEAA69B}">
            <xm:f>$M39=INputs!$AD$4</xm:f>
            <x14:dxf>
              <font>
                <color theme="2" tint="-0.24994659260841701"/>
              </font>
              <fill>
                <patternFill>
                  <bgColor theme="2" tint="-0.24994659260841701"/>
                </patternFill>
              </fill>
            </x14:dxf>
          </x14:cfRule>
          <x14:cfRule type="expression" priority="365" id="{1949F861-8FEE-485A-8562-CFC501660978}">
            <xm:f>$M39=INputs!$AD$3</xm:f>
            <x14:dxf>
              <font>
                <color theme="2" tint="-0.24994659260841701"/>
              </font>
              <fill>
                <patternFill>
                  <bgColor theme="2" tint="-0.24994659260841701"/>
                </patternFill>
              </fill>
            </x14:dxf>
          </x14:cfRule>
          <x14:cfRule type="expression" priority="362" id="{922ECCE1-C7D0-4ED7-AD18-9EAA6788D0EE}">
            <xm:f>$K39=INputs!$AB$3</xm:f>
            <x14:dxf>
              <font>
                <color theme="2" tint="-0.24994659260841701"/>
              </font>
              <fill>
                <patternFill>
                  <bgColor theme="2" tint="-0.24994659260841701"/>
                </patternFill>
              </fill>
            </x14:dxf>
          </x14:cfRule>
          <x14:cfRule type="expression" priority="361" id="{3C3DCCF5-21EB-4BC2-83E4-F3F9C171CBDA}">
            <xm:f>K39=INputs!$AB$4</xm:f>
            <x14:dxf>
              <font>
                <color theme="2" tint="-0.24994659260841701"/>
              </font>
              <fill>
                <patternFill>
                  <bgColor theme="2" tint="-0.24994659260841701"/>
                </patternFill>
              </fill>
            </x14:dxf>
          </x14:cfRule>
          <xm:sqref>O39</xm:sqref>
        </x14:conditionalFormatting>
        <x14:conditionalFormatting xmlns:xm="http://schemas.microsoft.com/office/excel/2006/main">
          <x14:cfRule type="expression" priority="357" id="{7FCEAB38-7D88-4227-85A9-7FA3E8FD887F}">
            <xm:f>$K41=INputs!$AB$3</xm:f>
            <x14:dxf>
              <font>
                <color theme="2" tint="-0.24994659260841701"/>
              </font>
              <fill>
                <patternFill>
                  <bgColor theme="2" tint="-0.24994659260841701"/>
                </patternFill>
              </fill>
            </x14:dxf>
          </x14:cfRule>
          <x14:cfRule type="expression" priority="358" id="{BE658F89-0F72-4517-85AE-9C81CD8B3EA0}">
            <xm:f>$M41=INputs!$AD$4</xm:f>
            <x14:dxf>
              <font>
                <color theme="2" tint="-0.24994659260841701"/>
              </font>
              <fill>
                <patternFill>
                  <bgColor theme="2" tint="-0.24994659260841701"/>
                </patternFill>
              </fill>
            </x14:dxf>
          </x14:cfRule>
          <x14:cfRule type="expression" priority="360" id="{F4D9EA83-1474-4673-A027-12DE4A0DA9F4}">
            <xm:f>$M41=INputs!$AD$3</xm:f>
            <x14:dxf>
              <font>
                <color theme="2" tint="-0.24994659260841701"/>
              </font>
              <fill>
                <patternFill>
                  <bgColor theme="2" tint="-0.24994659260841701"/>
                </patternFill>
              </fill>
            </x14:dxf>
          </x14:cfRule>
          <x14:cfRule type="expression" priority="356" id="{7CFB8963-D569-44A7-8633-3FE0F381D610}">
            <xm:f>K41=INputs!$AB$4</xm:f>
            <x14:dxf>
              <font>
                <color theme="2" tint="-0.24994659260841701"/>
              </font>
              <fill>
                <patternFill>
                  <bgColor theme="2" tint="-0.24994659260841701"/>
                </patternFill>
              </fill>
            </x14:dxf>
          </x14:cfRule>
          <xm:sqref>O41</xm:sqref>
        </x14:conditionalFormatting>
        <x14:conditionalFormatting xmlns:xm="http://schemas.microsoft.com/office/excel/2006/main">
          <x14:cfRule type="expression" priority="353" id="{07E17FD5-071F-45F6-9B9F-6D90EDD2509A}">
            <xm:f>$M43=INputs!$AD$4</xm:f>
            <x14:dxf>
              <font>
                <color theme="2" tint="-0.24994659260841701"/>
              </font>
              <fill>
                <patternFill>
                  <bgColor theme="2" tint="-0.24994659260841701"/>
                </patternFill>
              </fill>
            </x14:dxf>
          </x14:cfRule>
          <x14:cfRule type="expression" priority="352" id="{F01DAF9E-CC0E-489F-817A-7B8D421E638F}">
            <xm:f>$K43=INputs!$AB$3</xm:f>
            <x14:dxf>
              <font>
                <color theme="2" tint="-0.24994659260841701"/>
              </font>
              <fill>
                <patternFill>
                  <bgColor theme="2" tint="-0.24994659260841701"/>
                </patternFill>
              </fill>
            </x14:dxf>
          </x14:cfRule>
          <x14:cfRule type="expression" priority="351" id="{E0458448-5A95-4A79-973B-B8D45E78F4C4}">
            <xm:f>K43=INputs!$AB$4</xm:f>
            <x14:dxf>
              <font>
                <color theme="2" tint="-0.24994659260841701"/>
              </font>
              <fill>
                <patternFill>
                  <bgColor theme="2" tint="-0.24994659260841701"/>
                </patternFill>
              </fill>
            </x14:dxf>
          </x14:cfRule>
          <x14:cfRule type="expression" priority="355" id="{0221A7FD-8981-451C-814F-4E4CDAE3AE5C}">
            <xm:f>$M43=INputs!$AD$3</xm:f>
            <x14:dxf>
              <font>
                <color theme="2" tint="-0.24994659260841701"/>
              </font>
              <fill>
                <patternFill>
                  <bgColor theme="2" tint="-0.24994659260841701"/>
                </patternFill>
              </fill>
            </x14:dxf>
          </x14:cfRule>
          <xm:sqref>O43</xm:sqref>
        </x14:conditionalFormatting>
        <x14:conditionalFormatting xmlns:xm="http://schemas.microsoft.com/office/excel/2006/main">
          <x14:cfRule type="expression" priority="346" id="{241ED3D5-58FD-4979-81A2-6548912B8ED1}">
            <xm:f>K45=INputs!$AB$4</xm:f>
            <x14:dxf>
              <font>
                <color theme="2" tint="-0.24994659260841701"/>
              </font>
              <fill>
                <patternFill>
                  <bgColor theme="2" tint="-0.24994659260841701"/>
                </patternFill>
              </fill>
            </x14:dxf>
          </x14:cfRule>
          <x14:cfRule type="expression" priority="347" id="{A53EA7F3-BADB-4C79-A858-4EF5608F1615}">
            <xm:f>$K45=INputs!$AB$3</xm:f>
            <x14:dxf>
              <font>
                <color theme="2" tint="-0.24994659260841701"/>
              </font>
              <fill>
                <patternFill>
                  <bgColor theme="2" tint="-0.24994659260841701"/>
                </patternFill>
              </fill>
            </x14:dxf>
          </x14:cfRule>
          <x14:cfRule type="expression" priority="348" id="{41426E0A-886A-485D-AA71-8C3E2A1041D9}">
            <xm:f>$M45=INputs!$AD$4</xm:f>
            <x14:dxf>
              <font>
                <color theme="2" tint="-0.24994659260841701"/>
              </font>
              <fill>
                <patternFill>
                  <bgColor theme="2" tint="-0.24994659260841701"/>
                </patternFill>
              </fill>
            </x14:dxf>
          </x14:cfRule>
          <x14:cfRule type="expression" priority="350" id="{1206DF3D-FF26-44BC-BD8B-D20D4282386F}">
            <xm:f>$M45=INputs!$AD$3</xm:f>
            <x14:dxf>
              <font>
                <color theme="2" tint="-0.24994659260841701"/>
              </font>
              <fill>
                <patternFill>
                  <bgColor theme="2" tint="-0.24994659260841701"/>
                </patternFill>
              </fill>
            </x14:dxf>
          </x14:cfRule>
          <xm:sqref>O45</xm:sqref>
        </x14:conditionalFormatting>
        <x14:conditionalFormatting xmlns:xm="http://schemas.microsoft.com/office/excel/2006/main">
          <x14:cfRule type="expression" priority="345" id="{07DEC570-6110-4D51-B89D-297CEF379199}">
            <xm:f>$M47=INputs!$AD$3</xm:f>
            <x14:dxf>
              <font>
                <color theme="2" tint="-0.24994659260841701"/>
              </font>
              <fill>
                <patternFill>
                  <bgColor theme="2" tint="-0.24994659260841701"/>
                </patternFill>
              </fill>
            </x14:dxf>
          </x14:cfRule>
          <x14:cfRule type="expression" priority="343" id="{D21FF8BF-8A23-4E83-8B0E-E55F2B33372B}">
            <xm:f>$M47=INputs!$AD$4</xm:f>
            <x14:dxf>
              <font>
                <color theme="2" tint="-0.24994659260841701"/>
              </font>
              <fill>
                <patternFill>
                  <bgColor theme="2" tint="-0.24994659260841701"/>
                </patternFill>
              </fill>
            </x14:dxf>
          </x14:cfRule>
          <x14:cfRule type="expression" priority="342" id="{F3CAD916-A8FE-422B-9B12-C69DB33EA1C4}">
            <xm:f>$K47=INputs!$AB$3</xm:f>
            <x14:dxf>
              <font>
                <color theme="2" tint="-0.24994659260841701"/>
              </font>
              <fill>
                <patternFill>
                  <bgColor theme="2" tint="-0.24994659260841701"/>
                </patternFill>
              </fill>
            </x14:dxf>
          </x14:cfRule>
          <x14:cfRule type="expression" priority="341" id="{1D170F34-1647-4BED-A464-916BF43E1007}">
            <xm:f>K47=INputs!$AB$4</xm:f>
            <x14:dxf>
              <font>
                <color theme="2" tint="-0.24994659260841701"/>
              </font>
              <fill>
                <patternFill>
                  <bgColor theme="2" tint="-0.24994659260841701"/>
                </patternFill>
              </fill>
            </x14:dxf>
          </x14:cfRule>
          <xm:sqref>O47</xm:sqref>
        </x14:conditionalFormatting>
        <x14:conditionalFormatting xmlns:xm="http://schemas.microsoft.com/office/excel/2006/main">
          <x14:cfRule type="expression" priority="340" id="{439197A7-B82A-4027-9F84-C15D8B53385F}">
            <xm:f>$M49=INputs!$AD$3</xm:f>
            <x14:dxf>
              <font>
                <color theme="2" tint="-0.24994659260841701"/>
              </font>
              <fill>
                <patternFill>
                  <bgColor theme="2" tint="-0.24994659260841701"/>
                </patternFill>
              </fill>
            </x14:dxf>
          </x14:cfRule>
          <x14:cfRule type="expression" priority="338" id="{50CD1DBF-1797-4177-89DF-BA9CB36BC241}">
            <xm:f>$M49=INputs!$AD$4</xm:f>
            <x14:dxf>
              <font>
                <color theme="2" tint="-0.24994659260841701"/>
              </font>
              <fill>
                <patternFill>
                  <bgColor theme="2" tint="-0.24994659260841701"/>
                </patternFill>
              </fill>
            </x14:dxf>
          </x14:cfRule>
          <x14:cfRule type="expression" priority="337" id="{3B3070F0-81E8-40F4-ACB6-BE270F9C0545}">
            <xm:f>$K49=INputs!$AB$3</xm:f>
            <x14:dxf>
              <font>
                <color theme="2" tint="-0.24994659260841701"/>
              </font>
              <fill>
                <patternFill>
                  <bgColor theme="2" tint="-0.24994659260841701"/>
                </patternFill>
              </fill>
            </x14:dxf>
          </x14:cfRule>
          <x14:cfRule type="expression" priority="336" id="{E4B9D2DF-66A3-48DB-85A1-2BC04FC4234E}">
            <xm:f>K49=INputs!$AB$4</xm:f>
            <x14:dxf>
              <font>
                <color theme="2" tint="-0.24994659260841701"/>
              </font>
              <fill>
                <patternFill>
                  <bgColor theme="2" tint="-0.24994659260841701"/>
                </patternFill>
              </fill>
            </x14:dxf>
          </x14:cfRule>
          <xm:sqref>O49</xm:sqref>
        </x14:conditionalFormatting>
        <x14:conditionalFormatting xmlns:xm="http://schemas.microsoft.com/office/excel/2006/main">
          <x14:cfRule type="expression" priority="259" id="{B80CB8FC-8FB1-4207-93A4-88C8F41A4B6B}">
            <xm:f>O11=INputs!$AF$3</xm:f>
            <x14:dxf>
              <font>
                <color theme="2" tint="-0.24994659260841701"/>
              </font>
              <fill>
                <patternFill>
                  <bgColor theme="2" tint="-0.24994659260841701"/>
                </patternFill>
              </fill>
            </x14:dxf>
          </x14:cfRule>
          <xm:sqref>U11</xm:sqref>
        </x14:conditionalFormatting>
        <x14:conditionalFormatting xmlns:xm="http://schemas.microsoft.com/office/excel/2006/main">
          <x14:cfRule type="expression" priority="258" id="{8D524A05-0630-4E60-AB70-85A0CFA43312}">
            <xm:f>O13=INputs!$AF$3</xm:f>
            <x14:dxf>
              <font>
                <color theme="2" tint="-0.24994659260841701"/>
              </font>
              <fill>
                <patternFill>
                  <bgColor theme="2" tint="-0.24994659260841701"/>
                </patternFill>
              </fill>
            </x14:dxf>
          </x14:cfRule>
          <xm:sqref>U13</xm:sqref>
        </x14:conditionalFormatting>
        <x14:conditionalFormatting xmlns:xm="http://schemas.microsoft.com/office/excel/2006/main">
          <x14:cfRule type="expression" priority="257" id="{30D08194-387A-4691-9736-2C64EA71D273}">
            <xm:f>O15=INputs!$AF$3</xm:f>
            <x14:dxf>
              <font>
                <color theme="2" tint="-0.24994659260841701"/>
              </font>
              <fill>
                <patternFill>
                  <bgColor theme="2" tint="-0.24994659260841701"/>
                </patternFill>
              </fill>
            </x14:dxf>
          </x14:cfRule>
          <xm:sqref>U15</xm:sqref>
        </x14:conditionalFormatting>
        <x14:conditionalFormatting xmlns:xm="http://schemas.microsoft.com/office/excel/2006/main">
          <x14:cfRule type="expression" priority="256" id="{27D7D9E8-412A-43E6-BCB5-779309B5F618}">
            <xm:f>O17=INputs!$AF$3</xm:f>
            <x14:dxf>
              <font>
                <color theme="2" tint="-0.24994659260841701"/>
              </font>
              <fill>
                <patternFill>
                  <bgColor theme="2" tint="-0.24994659260841701"/>
                </patternFill>
              </fill>
            </x14:dxf>
          </x14:cfRule>
          <xm:sqref>U17</xm:sqref>
        </x14:conditionalFormatting>
        <x14:conditionalFormatting xmlns:xm="http://schemas.microsoft.com/office/excel/2006/main">
          <x14:cfRule type="expression" priority="255" id="{7A028E45-B9F5-4704-8FD8-0395550DC286}">
            <xm:f>O19=INputs!$AF$3</xm:f>
            <x14:dxf>
              <font>
                <color theme="2" tint="-0.24994659260841701"/>
              </font>
              <fill>
                <patternFill>
                  <bgColor theme="2" tint="-0.24994659260841701"/>
                </patternFill>
              </fill>
            </x14:dxf>
          </x14:cfRule>
          <xm:sqref>U19</xm:sqref>
        </x14:conditionalFormatting>
        <x14:conditionalFormatting xmlns:xm="http://schemas.microsoft.com/office/excel/2006/main">
          <x14:cfRule type="expression" priority="254" id="{94FA040C-D4A3-4ADA-B292-5380BE2BE951}">
            <xm:f>O21=INputs!$AF$3</xm:f>
            <x14:dxf>
              <font>
                <color theme="2" tint="-0.24994659260841701"/>
              </font>
              <fill>
                <patternFill>
                  <bgColor theme="2" tint="-0.24994659260841701"/>
                </patternFill>
              </fill>
            </x14:dxf>
          </x14:cfRule>
          <xm:sqref>U21</xm:sqref>
        </x14:conditionalFormatting>
        <x14:conditionalFormatting xmlns:xm="http://schemas.microsoft.com/office/excel/2006/main">
          <x14:cfRule type="expression" priority="253" id="{52F5F98A-1486-4AA6-9191-632BE94BA518}">
            <xm:f>O23=INputs!$AF$3</xm:f>
            <x14:dxf>
              <font>
                <color theme="2" tint="-0.24994659260841701"/>
              </font>
              <fill>
                <patternFill>
                  <bgColor theme="2" tint="-0.24994659260841701"/>
                </patternFill>
              </fill>
            </x14:dxf>
          </x14:cfRule>
          <xm:sqref>U23</xm:sqref>
        </x14:conditionalFormatting>
        <x14:conditionalFormatting xmlns:xm="http://schemas.microsoft.com/office/excel/2006/main">
          <x14:cfRule type="expression" priority="252" id="{3F05B078-7C37-46BB-BFA4-EEBEA04C7992}">
            <xm:f>O25=INputs!$AF$3</xm:f>
            <x14:dxf>
              <font>
                <color theme="2" tint="-0.24994659260841701"/>
              </font>
              <fill>
                <patternFill>
                  <bgColor theme="2" tint="-0.24994659260841701"/>
                </patternFill>
              </fill>
            </x14:dxf>
          </x14:cfRule>
          <xm:sqref>U25</xm:sqref>
        </x14:conditionalFormatting>
        <x14:conditionalFormatting xmlns:xm="http://schemas.microsoft.com/office/excel/2006/main">
          <x14:cfRule type="expression" priority="251" id="{15BDC98A-147A-4042-99E9-C75FDD248E02}">
            <xm:f>O27=INputs!$AF$3</xm:f>
            <x14:dxf>
              <font>
                <color theme="2" tint="-0.24994659260841701"/>
              </font>
              <fill>
                <patternFill>
                  <bgColor theme="2" tint="-0.24994659260841701"/>
                </patternFill>
              </fill>
            </x14:dxf>
          </x14:cfRule>
          <xm:sqref>U27</xm:sqref>
        </x14:conditionalFormatting>
        <x14:conditionalFormatting xmlns:xm="http://schemas.microsoft.com/office/excel/2006/main">
          <x14:cfRule type="expression" priority="250" id="{5887D808-ACB2-4E6A-A2ED-E7CA11F04DBA}">
            <xm:f>O29=INputs!$AF$3</xm:f>
            <x14:dxf>
              <font>
                <color theme="2" tint="-0.24994659260841701"/>
              </font>
              <fill>
                <patternFill>
                  <bgColor theme="2" tint="-0.24994659260841701"/>
                </patternFill>
              </fill>
            </x14:dxf>
          </x14:cfRule>
          <xm:sqref>U29</xm:sqref>
        </x14:conditionalFormatting>
        <x14:conditionalFormatting xmlns:xm="http://schemas.microsoft.com/office/excel/2006/main">
          <x14:cfRule type="expression" priority="249" id="{005A9672-4D5E-40E3-8F87-CF5B55503B3B}">
            <xm:f>O31=INputs!$AF$3</xm:f>
            <x14:dxf>
              <font>
                <color theme="2" tint="-0.24994659260841701"/>
              </font>
              <fill>
                <patternFill>
                  <bgColor theme="2" tint="-0.24994659260841701"/>
                </patternFill>
              </fill>
            </x14:dxf>
          </x14:cfRule>
          <xm:sqref>U31</xm:sqref>
        </x14:conditionalFormatting>
        <x14:conditionalFormatting xmlns:xm="http://schemas.microsoft.com/office/excel/2006/main">
          <x14:cfRule type="expression" priority="248" id="{A40962B9-18E5-4EA9-AEFD-D00C783BFBC1}">
            <xm:f>O33=INputs!$AF$3</xm:f>
            <x14:dxf>
              <font>
                <color theme="2" tint="-0.24994659260841701"/>
              </font>
              <fill>
                <patternFill>
                  <bgColor theme="2" tint="-0.24994659260841701"/>
                </patternFill>
              </fill>
            </x14:dxf>
          </x14:cfRule>
          <xm:sqref>U33</xm:sqref>
        </x14:conditionalFormatting>
        <x14:conditionalFormatting xmlns:xm="http://schemas.microsoft.com/office/excel/2006/main">
          <x14:cfRule type="expression" priority="247" id="{1FFC8972-3B47-4256-978A-8C7898396B35}">
            <xm:f>O35=INputs!$AF$3</xm:f>
            <x14:dxf>
              <font>
                <color theme="2" tint="-0.24994659260841701"/>
              </font>
              <fill>
                <patternFill>
                  <bgColor theme="2" tint="-0.24994659260841701"/>
                </patternFill>
              </fill>
            </x14:dxf>
          </x14:cfRule>
          <xm:sqref>U35</xm:sqref>
        </x14:conditionalFormatting>
        <x14:conditionalFormatting xmlns:xm="http://schemas.microsoft.com/office/excel/2006/main">
          <x14:cfRule type="expression" priority="246" id="{ED8FB18C-B5E6-4525-AA12-58773E163FE8}">
            <xm:f>O37=INputs!$AF$3</xm:f>
            <x14:dxf>
              <font>
                <color theme="2" tint="-0.24994659260841701"/>
              </font>
              <fill>
                <patternFill>
                  <bgColor theme="2" tint="-0.24994659260841701"/>
                </patternFill>
              </fill>
            </x14:dxf>
          </x14:cfRule>
          <xm:sqref>U37</xm:sqref>
        </x14:conditionalFormatting>
        <x14:conditionalFormatting xmlns:xm="http://schemas.microsoft.com/office/excel/2006/main">
          <x14:cfRule type="expression" priority="245" id="{280BD478-465A-4830-BD15-66008F55154C}">
            <xm:f>O39=INputs!$AF$3</xm:f>
            <x14:dxf>
              <font>
                <color theme="2" tint="-0.24994659260841701"/>
              </font>
              <fill>
                <patternFill>
                  <bgColor theme="2" tint="-0.24994659260841701"/>
                </patternFill>
              </fill>
            </x14:dxf>
          </x14:cfRule>
          <xm:sqref>U39</xm:sqref>
        </x14:conditionalFormatting>
        <x14:conditionalFormatting xmlns:xm="http://schemas.microsoft.com/office/excel/2006/main">
          <x14:cfRule type="expression" priority="244" id="{3EE0FEDE-E5B4-4D57-8165-43B92104121D}">
            <xm:f>O41=INputs!$AF$3</xm:f>
            <x14:dxf>
              <font>
                <color theme="2" tint="-0.24994659260841701"/>
              </font>
              <fill>
                <patternFill>
                  <bgColor theme="2" tint="-0.24994659260841701"/>
                </patternFill>
              </fill>
            </x14:dxf>
          </x14:cfRule>
          <xm:sqref>U41</xm:sqref>
        </x14:conditionalFormatting>
        <x14:conditionalFormatting xmlns:xm="http://schemas.microsoft.com/office/excel/2006/main">
          <x14:cfRule type="expression" priority="243" id="{E9703D63-1AA3-4B89-9281-97E55B762917}">
            <xm:f>O43=INputs!$AF$3</xm:f>
            <x14:dxf>
              <font>
                <color theme="2" tint="-0.24994659260841701"/>
              </font>
              <fill>
                <patternFill>
                  <bgColor theme="2" tint="-0.24994659260841701"/>
                </patternFill>
              </fill>
            </x14:dxf>
          </x14:cfRule>
          <xm:sqref>U43</xm:sqref>
        </x14:conditionalFormatting>
        <x14:conditionalFormatting xmlns:xm="http://schemas.microsoft.com/office/excel/2006/main">
          <x14:cfRule type="expression" priority="242" id="{C9120D0C-1BA6-483A-8DFD-C0BCFF05BED4}">
            <xm:f>O45=INputs!$AF$3</xm:f>
            <x14:dxf>
              <font>
                <color theme="2" tint="-0.24994659260841701"/>
              </font>
              <fill>
                <patternFill>
                  <bgColor theme="2" tint="-0.24994659260841701"/>
                </patternFill>
              </fill>
            </x14:dxf>
          </x14:cfRule>
          <xm:sqref>U45</xm:sqref>
        </x14:conditionalFormatting>
        <x14:conditionalFormatting xmlns:xm="http://schemas.microsoft.com/office/excel/2006/main">
          <x14:cfRule type="expression" priority="241" id="{448A4B36-5825-4D8B-92A8-79686ABDFFE9}">
            <xm:f>O47=INputs!$AF$3</xm:f>
            <x14:dxf>
              <font>
                <color theme="2" tint="-0.24994659260841701"/>
              </font>
              <fill>
                <patternFill>
                  <bgColor theme="2" tint="-0.24994659260841701"/>
                </patternFill>
              </fill>
            </x14:dxf>
          </x14:cfRule>
          <xm:sqref>U47</xm:sqref>
        </x14:conditionalFormatting>
        <x14:conditionalFormatting xmlns:xm="http://schemas.microsoft.com/office/excel/2006/main">
          <x14:cfRule type="expression" priority="240" id="{80C97877-5D06-4B97-BD5F-9B46B3951CA9}">
            <xm:f>O49=INputs!$AF$3</xm:f>
            <x14:dxf>
              <font>
                <color theme="2" tint="-0.24994659260841701"/>
              </font>
              <fill>
                <patternFill>
                  <bgColor theme="2" tint="-0.24994659260841701"/>
                </patternFill>
              </fill>
            </x14:dxf>
          </x14:cfRule>
          <xm:sqref>U49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A3B84-FFD3-4705-BD9F-39A152B0740F}">
  <sheetPr>
    <tabColor rgb="FF00B0F0"/>
  </sheetPr>
  <dimension ref="A1:U191"/>
  <sheetViews>
    <sheetView showGridLines="0" zoomScaleNormal="100" workbookViewId="0">
      <pane xSplit="3" ySplit="11" topLeftCell="D13" activePane="bottomRight" state="frozen"/>
      <selection pane="topRight" activeCell="D1" sqref="D1"/>
      <selection pane="bottomLeft" activeCell="A12" sqref="A12"/>
      <selection pane="bottomRight" activeCell="F26" sqref="F26"/>
    </sheetView>
  </sheetViews>
  <sheetFormatPr defaultRowHeight="14.5" outlineLevelRow="1" x14ac:dyDescent="0.35"/>
  <cols>
    <col min="1" max="1" width="3.7265625" style="87" customWidth="1"/>
    <col min="2" max="2" width="9.1796875" style="87" hidden="1" customWidth="1"/>
    <col min="3" max="3" width="34.1796875" customWidth="1"/>
    <col min="4" max="4" width="1.1796875" customWidth="1"/>
    <col min="5" max="5" width="5" customWidth="1"/>
    <col min="6" max="6" width="63.7265625" customWidth="1"/>
    <col min="7" max="7" width="2.1796875" customWidth="1"/>
    <col min="8" max="8" width="5.1796875" customWidth="1"/>
    <col min="9" max="9" width="51.7265625" customWidth="1"/>
    <col min="10" max="10" width="2.26953125" customWidth="1"/>
    <col min="11" max="11" width="5" customWidth="1"/>
    <col min="12" max="12" width="45.26953125" customWidth="1"/>
    <col min="13" max="13" width="2.1796875" customWidth="1"/>
    <col min="14" max="14" width="49.1796875" customWidth="1"/>
    <col min="15" max="15" width="2.1796875" customWidth="1"/>
    <col min="16" max="16" width="5" customWidth="1"/>
    <col min="17" max="17" width="69.81640625" customWidth="1"/>
    <col min="18" max="18" width="2.1796875" customWidth="1"/>
    <col min="19" max="19" width="5" customWidth="1"/>
    <col min="20" max="20" width="64.453125" customWidth="1"/>
  </cols>
  <sheetData>
    <row r="1" spans="1:21" ht="23.5" x14ac:dyDescent="0.35">
      <c r="C1" s="42" t="s">
        <v>93</v>
      </c>
      <c r="D1" s="42"/>
      <c r="E1" s="42"/>
      <c r="F1" s="42"/>
      <c r="G1" s="42"/>
      <c r="H1" s="42"/>
      <c r="I1" s="42"/>
      <c r="J1" s="42"/>
      <c r="K1" s="42"/>
      <c r="L1" s="42"/>
      <c r="M1" s="42"/>
      <c r="N1" s="42"/>
      <c r="O1" s="42"/>
      <c r="P1" s="42"/>
      <c r="Q1" s="42"/>
      <c r="R1" s="42"/>
      <c r="S1" s="42"/>
      <c r="T1" s="42"/>
    </row>
    <row r="2" spans="1:21" ht="15" thickBot="1" x14ac:dyDescent="0.4">
      <c r="C2" s="1"/>
    </row>
    <row r="3" spans="1:21" ht="19" thickBot="1" x14ac:dyDescent="0.4">
      <c r="C3" s="96" t="s">
        <v>145</v>
      </c>
      <c r="E3" s="678" t="s">
        <v>225</v>
      </c>
      <c r="F3" s="679"/>
      <c r="H3" s="670" t="s">
        <v>226</v>
      </c>
      <c r="I3" s="671"/>
      <c r="K3" s="670" t="s">
        <v>227</v>
      </c>
      <c r="L3" s="671"/>
      <c r="N3" s="98" t="s">
        <v>228</v>
      </c>
      <c r="P3" s="670" t="s">
        <v>229</v>
      </c>
      <c r="Q3" s="671"/>
      <c r="S3" s="670" t="s">
        <v>230</v>
      </c>
      <c r="T3" s="671"/>
    </row>
    <row r="4" spans="1:21" s="3" customFormat="1" ht="189" hidden="1" customHeight="1" outlineLevel="1" x14ac:dyDescent="0.35">
      <c r="A4" s="225" t="s">
        <v>119</v>
      </c>
      <c r="B4" s="147"/>
      <c r="C4" s="155" t="s">
        <v>155</v>
      </c>
      <c r="D4" s="154"/>
      <c r="E4" s="682" t="s">
        <v>95</v>
      </c>
      <c r="F4" s="682"/>
      <c r="G4" s="154"/>
      <c r="H4" s="682" t="s">
        <v>231</v>
      </c>
      <c r="I4" s="682"/>
      <c r="J4" s="154"/>
      <c r="K4" s="682" t="s">
        <v>232</v>
      </c>
      <c r="L4" s="682"/>
      <c r="M4" s="154"/>
      <c r="N4" s="157" t="s">
        <v>233</v>
      </c>
      <c r="O4" s="154"/>
      <c r="P4" s="682" t="s">
        <v>234</v>
      </c>
      <c r="Q4" s="682"/>
      <c r="R4" s="154"/>
      <c r="S4" s="682" t="s">
        <v>235</v>
      </c>
      <c r="T4" s="631"/>
    </row>
    <row r="5" spans="1:21" s="3" customFormat="1" ht="43.5" hidden="1" outlineLevel="1" x14ac:dyDescent="0.35">
      <c r="A5" s="683" t="s">
        <v>127</v>
      </c>
      <c r="B5" s="225"/>
      <c r="C5" s="160" t="s">
        <v>236</v>
      </c>
      <c r="D5" s="124"/>
      <c r="E5" s="606"/>
      <c r="F5" s="606"/>
      <c r="G5" s="124"/>
      <c r="H5" s="606"/>
      <c r="I5" s="606"/>
      <c r="J5" s="124"/>
      <c r="K5" s="606"/>
      <c r="L5" s="606"/>
      <c r="M5" s="124"/>
      <c r="N5" s="163"/>
      <c r="O5" s="124"/>
      <c r="P5" s="606"/>
      <c r="Q5" s="606"/>
      <c r="R5" s="124"/>
      <c r="S5" s="596" t="s">
        <v>237</v>
      </c>
      <c r="T5" s="596"/>
    </row>
    <row r="6" spans="1:21" s="3" customFormat="1" hidden="1" outlineLevel="1" x14ac:dyDescent="0.35">
      <c r="A6" s="683"/>
      <c r="B6" s="225"/>
      <c r="C6" s="163"/>
      <c r="D6" s="124"/>
      <c r="E6" s="606"/>
      <c r="F6" s="606"/>
      <c r="G6" s="124"/>
      <c r="H6" s="606"/>
      <c r="I6" s="606"/>
      <c r="J6" s="124"/>
      <c r="K6" s="606"/>
      <c r="L6" s="606"/>
      <c r="M6" s="124"/>
      <c r="N6" s="163"/>
      <c r="O6" s="124"/>
      <c r="P6" s="606"/>
      <c r="Q6" s="606"/>
      <c r="R6" s="124"/>
      <c r="S6" s="606"/>
      <c r="T6" s="606"/>
    </row>
    <row r="7" spans="1:21" s="3" customFormat="1" hidden="1" outlineLevel="1" x14ac:dyDescent="0.35">
      <c r="A7" s="683"/>
      <c r="B7" s="225"/>
      <c r="C7" s="163"/>
      <c r="D7" s="124"/>
      <c r="E7" s="606"/>
      <c r="F7" s="606"/>
      <c r="G7" s="124"/>
      <c r="H7" s="606"/>
      <c r="I7" s="606"/>
      <c r="J7" s="124"/>
      <c r="K7" s="606"/>
      <c r="L7" s="606"/>
      <c r="M7" s="124"/>
      <c r="N7" s="163"/>
      <c r="O7" s="124"/>
      <c r="P7" s="606"/>
      <c r="Q7" s="606"/>
      <c r="R7" s="124"/>
      <c r="S7" s="606"/>
      <c r="T7" s="606"/>
    </row>
    <row r="8" spans="1:21" s="3" customFormat="1" hidden="1" outlineLevel="1" x14ac:dyDescent="0.35">
      <c r="A8" s="683"/>
      <c r="B8" s="225"/>
      <c r="C8" s="163"/>
      <c r="D8" s="124"/>
      <c r="E8" s="605"/>
      <c r="F8" s="605"/>
      <c r="G8" s="124"/>
      <c r="H8" s="606"/>
      <c r="I8" s="606"/>
      <c r="J8" s="124"/>
      <c r="K8" s="606"/>
      <c r="L8" s="606"/>
      <c r="M8" s="124"/>
      <c r="N8" s="163"/>
      <c r="O8" s="124"/>
      <c r="P8" s="606"/>
      <c r="Q8" s="606"/>
      <c r="R8" s="124"/>
      <c r="S8" s="606"/>
      <c r="T8" s="606"/>
    </row>
    <row r="9" spans="1:21" s="3" customFormat="1" hidden="1" outlineLevel="1" x14ac:dyDescent="0.35">
      <c r="A9" s="683"/>
      <c r="B9" s="225"/>
      <c r="C9" s="163"/>
      <c r="D9" s="124"/>
      <c r="E9" s="684"/>
      <c r="F9" s="685"/>
      <c r="G9" s="124"/>
      <c r="H9" s="606"/>
      <c r="I9" s="605"/>
      <c r="J9" s="124"/>
      <c r="K9" s="606"/>
      <c r="L9" s="606"/>
      <c r="M9" s="124"/>
      <c r="N9" s="163"/>
      <c r="O9" s="124"/>
      <c r="P9" s="606"/>
      <c r="Q9" s="606"/>
      <c r="R9" s="124"/>
      <c r="S9" s="606"/>
      <c r="T9" s="606"/>
    </row>
    <row r="10" spans="1:21" ht="15" collapsed="1" thickBot="1" x14ac:dyDescent="0.4">
      <c r="C10" s="8"/>
      <c r="E10" s="668" t="s">
        <v>136</v>
      </c>
      <c r="F10" s="668"/>
      <c r="G10" s="175"/>
      <c r="H10" s="37"/>
      <c r="I10" s="174" t="s">
        <v>137</v>
      </c>
      <c r="K10" s="36"/>
      <c r="L10" s="24" t="s">
        <v>136</v>
      </c>
      <c r="M10" s="24"/>
      <c r="N10" s="16"/>
      <c r="P10" s="38"/>
      <c r="Q10" s="24" t="s">
        <v>136</v>
      </c>
      <c r="R10" s="24"/>
      <c r="S10" s="580" t="s">
        <v>136</v>
      </c>
      <c r="T10" s="580"/>
      <c r="U10" s="29"/>
    </row>
    <row r="11" spans="1:21" ht="3.65" customHeight="1" thickBot="1" x14ac:dyDescent="0.4">
      <c r="C11" s="301"/>
      <c r="D11" s="229"/>
      <c r="E11" s="229"/>
      <c r="F11" s="229"/>
      <c r="G11" s="229"/>
      <c r="H11" s="229"/>
      <c r="I11" s="229"/>
      <c r="J11" s="229"/>
      <c r="K11" s="229"/>
      <c r="L11" s="229"/>
      <c r="M11" s="229"/>
      <c r="N11" s="229"/>
      <c r="O11" s="229"/>
      <c r="P11" s="229"/>
      <c r="Q11" s="229"/>
      <c r="R11" s="229"/>
      <c r="S11" s="229"/>
      <c r="T11" s="302"/>
    </row>
    <row r="12" spans="1:21" hidden="1" x14ac:dyDescent="0.35">
      <c r="C12" s="30"/>
      <c r="D12" s="30"/>
      <c r="E12" s="30"/>
      <c r="F12" s="30"/>
      <c r="G12" s="30"/>
      <c r="H12" s="30"/>
      <c r="I12" s="30"/>
      <c r="J12" s="30"/>
      <c r="K12" s="30"/>
      <c r="L12" s="30"/>
      <c r="M12" s="30"/>
      <c r="N12" s="30"/>
      <c r="O12" s="30"/>
      <c r="P12" s="30"/>
      <c r="Q12" s="30"/>
      <c r="R12" s="30"/>
      <c r="S12" s="30"/>
      <c r="T12" s="30"/>
    </row>
    <row r="13" spans="1:21" ht="16.5" thickBot="1" x14ac:dyDescent="0.4">
      <c r="A13" s="675">
        <v>1</v>
      </c>
      <c r="B13" s="13">
        <f>A13+10</f>
        <v>11</v>
      </c>
      <c r="C13" s="663" t="str">
        <f>VLOOKUP(A13,INputs!$G$3:$O$22,9,FALSE)</f>
        <v>Please fill out Sensitivity Labels Tab</v>
      </c>
      <c r="D13" s="507"/>
      <c r="E13" s="508" t="b">
        <v>0</v>
      </c>
      <c r="F13" s="509" t="s">
        <v>238</v>
      </c>
      <c r="G13" s="510"/>
      <c r="H13" s="680"/>
      <c r="I13" s="680"/>
      <c r="J13" s="511"/>
      <c r="K13" s="512" t="b">
        <v>0</v>
      </c>
      <c r="L13" s="511" t="s">
        <v>239</v>
      </c>
      <c r="M13" s="510"/>
      <c r="N13" s="513" t="s">
        <v>240</v>
      </c>
      <c r="O13" s="510"/>
      <c r="P13" s="681" t="s">
        <v>241</v>
      </c>
      <c r="Q13" s="681"/>
      <c r="R13" s="510"/>
      <c r="S13" s="673" t="s">
        <v>242</v>
      </c>
      <c r="T13" s="674"/>
    </row>
    <row r="14" spans="1:21" ht="16" x14ac:dyDescent="0.35">
      <c r="A14" s="676"/>
      <c r="B14" s="241">
        <f>B13+1</f>
        <v>12</v>
      </c>
      <c r="C14" s="664"/>
      <c r="D14" s="514"/>
      <c r="E14" s="64" t="b">
        <v>0</v>
      </c>
      <c r="F14" s="65" t="s">
        <v>243</v>
      </c>
      <c r="H14" s="44"/>
      <c r="I14" s="573" t="s">
        <v>136</v>
      </c>
      <c r="J14" s="573"/>
      <c r="K14" s="662" t="b">
        <v>0</v>
      </c>
      <c r="L14" s="579" t="s">
        <v>241</v>
      </c>
      <c r="N14" s="40" t="s">
        <v>137</v>
      </c>
      <c r="P14" s="45" t="b">
        <v>0</v>
      </c>
      <c r="Q14" s="44" t="s">
        <v>244</v>
      </c>
      <c r="S14" s="45" t="b">
        <v>0</v>
      </c>
      <c r="T14" s="515" t="s">
        <v>245</v>
      </c>
    </row>
    <row r="15" spans="1:21" ht="16" x14ac:dyDescent="0.35">
      <c r="A15" s="676"/>
      <c r="B15" s="241">
        <f>B14+1</f>
        <v>13</v>
      </c>
      <c r="C15" s="664"/>
      <c r="D15" s="514"/>
      <c r="E15" s="64" t="b">
        <v>0</v>
      </c>
      <c r="F15" s="65" t="s">
        <v>246</v>
      </c>
      <c r="H15" s="45" t="b">
        <v>0</v>
      </c>
      <c r="I15" s="579" t="s">
        <v>247</v>
      </c>
      <c r="J15" s="44"/>
      <c r="K15" s="662"/>
      <c r="L15" s="579"/>
      <c r="N15" s="44"/>
      <c r="P15" s="44"/>
      <c r="Q15" s="46"/>
      <c r="S15" s="656" t="s">
        <v>248</v>
      </c>
      <c r="T15" s="672"/>
    </row>
    <row r="16" spans="1:21" x14ac:dyDescent="0.35">
      <c r="A16" s="676"/>
      <c r="B16" s="241">
        <f>B15+1</f>
        <v>14</v>
      </c>
      <c r="C16" s="664"/>
      <c r="D16" s="514"/>
      <c r="H16" s="44"/>
      <c r="I16" s="579"/>
      <c r="J16" s="44"/>
      <c r="P16" s="45" t="b">
        <v>0</v>
      </c>
      <c r="Q16" s="44" t="s">
        <v>249</v>
      </c>
      <c r="S16" s="45" t="b">
        <v>0</v>
      </c>
      <c r="T16" s="515" t="s">
        <v>250</v>
      </c>
    </row>
    <row r="17" spans="1:20" x14ac:dyDescent="0.35">
      <c r="A17" s="676"/>
      <c r="B17" s="241">
        <f>B16+1</f>
        <v>15</v>
      </c>
      <c r="C17" s="664"/>
      <c r="D17" s="514"/>
      <c r="H17" s="44"/>
      <c r="I17" s="44"/>
      <c r="J17" s="44"/>
      <c r="Q17" s="23" t="s">
        <v>135</v>
      </c>
      <c r="S17" s="45" t="b">
        <v>0</v>
      </c>
      <c r="T17" s="515" t="s">
        <v>251</v>
      </c>
    </row>
    <row r="18" spans="1:20" ht="15" thickBot="1" x14ac:dyDescent="0.4">
      <c r="A18" s="677"/>
      <c r="B18" s="241">
        <f>B17+1</f>
        <v>16</v>
      </c>
      <c r="C18" s="665"/>
      <c r="D18" s="516"/>
      <c r="E18" s="517"/>
      <c r="F18" s="517"/>
      <c r="G18" s="517"/>
      <c r="H18" s="518"/>
      <c r="I18" s="518"/>
      <c r="J18" s="518"/>
      <c r="K18" s="517"/>
      <c r="L18" s="517"/>
      <c r="M18" s="517"/>
      <c r="N18" s="517"/>
      <c r="O18" s="517"/>
      <c r="P18" s="517"/>
      <c r="Q18" s="519"/>
      <c r="R18" s="517"/>
      <c r="S18" s="520" t="b">
        <v>0</v>
      </c>
      <c r="T18" s="521" t="s">
        <v>252</v>
      </c>
    </row>
    <row r="19" spans="1:20" hidden="1" x14ac:dyDescent="0.35">
      <c r="C19" s="301"/>
      <c r="D19" s="220"/>
      <c r="E19" s="220"/>
      <c r="F19" s="220"/>
      <c r="G19" s="220"/>
      <c r="H19" s="220"/>
      <c r="I19" s="220"/>
      <c r="J19" s="220"/>
      <c r="K19" s="220"/>
      <c r="L19" s="220"/>
      <c r="M19" s="220"/>
      <c r="N19" s="220"/>
      <c r="O19" s="220"/>
      <c r="P19" s="220"/>
      <c r="Q19" s="220"/>
      <c r="R19" s="220"/>
      <c r="S19" s="220"/>
      <c r="T19" s="221"/>
    </row>
    <row r="20" spans="1:20" ht="3.65" customHeight="1" thickBot="1" x14ac:dyDescent="0.4">
      <c r="C20" s="301"/>
      <c r="D20" s="229"/>
      <c r="E20" s="229"/>
      <c r="F20" s="229"/>
      <c r="G20" s="229"/>
      <c r="H20" s="229"/>
      <c r="I20" s="229"/>
      <c r="J20" s="229"/>
      <c r="K20" s="229"/>
      <c r="L20" s="229"/>
      <c r="M20" s="229"/>
      <c r="N20" s="229"/>
      <c r="O20" s="229"/>
      <c r="P20" s="229"/>
      <c r="Q20" s="229"/>
      <c r="R20" s="229"/>
      <c r="S20" s="229"/>
      <c r="T20" s="302"/>
    </row>
    <row r="21" spans="1:20" ht="15" hidden="1" thickBot="1" x14ac:dyDescent="0.4">
      <c r="C21" s="301"/>
      <c r="D21" s="229"/>
      <c r="E21" s="229"/>
      <c r="F21" s="229"/>
      <c r="G21" s="229"/>
      <c r="H21" s="229"/>
      <c r="I21" s="229"/>
      <c r="J21" s="229"/>
      <c r="K21" s="229"/>
      <c r="L21" s="229"/>
      <c r="M21" s="229"/>
      <c r="N21" s="229"/>
      <c r="O21" s="229"/>
      <c r="P21" s="229"/>
      <c r="Q21" s="229"/>
      <c r="R21" s="229"/>
      <c r="S21" s="229"/>
      <c r="T21" s="302"/>
    </row>
    <row r="22" spans="1:20" ht="16.5" customHeight="1" thickBot="1" x14ac:dyDescent="0.4">
      <c r="A22" s="553">
        <f>A13+1</f>
        <v>2</v>
      </c>
      <c r="B22" s="13">
        <f>B13+10</f>
        <v>21</v>
      </c>
      <c r="C22" s="663" t="str">
        <f>VLOOKUP(A22,INputs!$G$3:$O$22,9,FALSE)</f>
        <v>Please fill out Sensitivity Labels Tab</v>
      </c>
      <c r="D22" s="62"/>
      <c r="E22" s="60" t="b">
        <v>0</v>
      </c>
      <c r="F22" s="61" t="s">
        <v>238</v>
      </c>
      <c r="G22" s="62"/>
      <c r="H22" s="658"/>
      <c r="I22" s="666"/>
      <c r="J22" s="63"/>
      <c r="K22" s="77" t="b">
        <v>0</v>
      </c>
      <c r="L22" s="63" t="s">
        <v>239</v>
      </c>
      <c r="M22" s="62"/>
      <c r="N22" s="470" t="s">
        <v>240</v>
      </c>
      <c r="O22" s="62"/>
      <c r="P22" s="659" t="s">
        <v>241</v>
      </c>
      <c r="Q22" s="659"/>
      <c r="R22" s="62"/>
      <c r="S22" s="660" t="s">
        <v>242</v>
      </c>
      <c r="T22" s="661"/>
    </row>
    <row r="23" spans="1:20" ht="16" x14ac:dyDescent="0.35">
      <c r="A23" s="554"/>
      <c r="B23" s="233">
        <f>B22+1</f>
        <v>22</v>
      </c>
      <c r="C23" s="664"/>
      <c r="E23" s="64" t="b">
        <v>0</v>
      </c>
      <c r="F23" s="65" t="s">
        <v>243</v>
      </c>
      <c r="H23" s="44"/>
      <c r="I23" s="573" t="s">
        <v>136</v>
      </c>
      <c r="J23" s="573"/>
      <c r="K23" s="662" t="b">
        <v>0</v>
      </c>
      <c r="L23" s="579" t="s">
        <v>241</v>
      </c>
      <c r="N23" s="40" t="s">
        <v>137</v>
      </c>
      <c r="P23" s="45" t="b">
        <v>0</v>
      </c>
      <c r="Q23" s="44" t="s">
        <v>244</v>
      </c>
      <c r="S23" s="45" t="b">
        <v>0</v>
      </c>
      <c r="T23" s="72" t="s">
        <v>245</v>
      </c>
    </row>
    <row r="24" spans="1:20" ht="16" x14ac:dyDescent="0.35">
      <c r="A24" s="554"/>
      <c r="B24" s="233">
        <f>B23+1</f>
        <v>23</v>
      </c>
      <c r="C24" s="664"/>
      <c r="E24" s="64" t="b">
        <v>0</v>
      </c>
      <c r="F24" s="65" t="s">
        <v>246</v>
      </c>
      <c r="H24" s="45" t="b">
        <v>0</v>
      </c>
      <c r="I24" s="579" t="s">
        <v>247</v>
      </c>
      <c r="J24" s="44"/>
      <c r="K24" s="662"/>
      <c r="L24" s="579"/>
      <c r="N24" s="44"/>
      <c r="P24" s="44"/>
      <c r="Q24" s="46"/>
      <c r="S24" s="656" t="s">
        <v>248</v>
      </c>
      <c r="T24" s="657"/>
    </row>
    <row r="25" spans="1:20" x14ac:dyDescent="0.35">
      <c r="A25" s="554"/>
      <c r="B25" s="233">
        <f>B24+1</f>
        <v>24</v>
      </c>
      <c r="C25" s="664"/>
      <c r="H25" s="44"/>
      <c r="I25" s="579"/>
      <c r="J25" s="44"/>
      <c r="P25" s="45" t="b">
        <v>0</v>
      </c>
      <c r="Q25" s="44" t="s">
        <v>249</v>
      </c>
      <c r="S25" s="45" t="b">
        <v>0</v>
      </c>
      <c r="T25" s="72" t="s">
        <v>250</v>
      </c>
    </row>
    <row r="26" spans="1:20" x14ac:dyDescent="0.35">
      <c r="A26" s="554"/>
      <c r="B26" s="233">
        <f>B25+1</f>
        <v>25</v>
      </c>
      <c r="C26" s="664"/>
      <c r="H26" s="44"/>
      <c r="I26" s="44"/>
      <c r="J26" s="44"/>
      <c r="Q26" s="23" t="s">
        <v>135</v>
      </c>
      <c r="S26" s="45" t="b">
        <v>0</v>
      </c>
      <c r="T26" s="72" t="s">
        <v>251</v>
      </c>
    </row>
    <row r="27" spans="1:20" ht="15" thickBot="1" x14ac:dyDescent="0.4">
      <c r="A27" s="555"/>
      <c r="B27" s="233">
        <f>B26+1</f>
        <v>26</v>
      </c>
      <c r="C27" s="665"/>
      <c r="D27" s="67"/>
      <c r="E27" s="67"/>
      <c r="F27" s="67"/>
      <c r="G27" s="67"/>
      <c r="H27" s="74"/>
      <c r="I27" s="74"/>
      <c r="J27" s="74"/>
      <c r="K27" s="67"/>
      <c r="L27" s="67"/>
      <c r="M27" s="67"/>
      <c r="N27" s="67"/>
      <c r="O27" s="67"/>
      <c r="P27" s="67"/>
      <c r="Q27" s="68"/>
      <c r="R27" s="67"/>
      <c r="S27" s="117" t="b">
        <v>0</v>
      </c>
      <c r="T27" s="118" t="s">
        <v>252</v>
      </c>
    </row>
    <row r="28" spans="1:20" ht="15" hidden="1" thickBot="1" x14ac:dyDescent="0.4">
      <c r="C28" s="301"/>
      <c r="D28" s="229"/>
      <c r="E28" s="229"/>
      <c r="F28" s="229"/>
      <c r="G28" s="229"/>
      <c r="H28" s="229"/>
      <c r="I28" s="229"/>
      <c r="J28" s="229"/>
      <c r="K28" s="229"/>
      <c r="L28" s="229"/>
      <c r="M28" s="229"/>
      <c r="N28" s="229"/>
      <c r="O28" s="229"/>
      <c r="P28" s="229"/>
      <c r="Q28" s="229"/>
      <c r="R28" s="229"/>
      <c r="S28" s="229"/>
      <c r="T28" s="302"/>
    </row>
    <row r="29" spans="1:20" ht="3.65" customHeight="1" thickBot="1" x14ac:dyDescent="0.4">
      <c r="C29" s="301"/>
      <c r="D29" s="229"/>
      <c r="E29" s="229"/>
      <c r="F29" s="229"/>
      <c r="G29" s="229"/>
      <c r="H29" s="229"/>
      <c r="I29" s="229"/>
      <c r="J29" s="229"/>
      <c r="K29" s="229"/>
      <c r="L29" s="229"/>
      <c r="M29" s="229"/>
      <c r="N29" s="229"/>
      <c r="O29" s="229"/>
      <c r="P29" s="229"/>
      <c r="Q29" s="229"/>
      <c r="R29" s="229"/>
      <c r="S29" s="229"/>
      <c r="T29" s="302"/>
    </row>
    <row r="30" spans="1:20" ht="15" hidden="1" thickBot="1" x14ac:dyDescent="0.4">
      <c r="C30" s="301"/>
      <c r="D30" s="229"/>
      <c r="E30" s="229"/>
      <c r="F30" s="229"/>
      <c r="G30" s="229"/>
      <c r="H30" s="229"/>
      <c r="I30" s="229"/>
      <c r="J30" s="229"/>
      <c r="K30" s="229"/>
      <c r="L30" s="229"/>
      <c r="M30" s="229"/>
      <c r="N30" s="229"/>
      <c r="O30" s="229"/>
      <c r="P30" s="229"/>
      <c r="Q30" s="229"/>
      <c r="R30" s="229"/>
      <c r="S30" s="229"/>
      <c r="T30" s="302"/>
    </row>
    <row r="31" spans="1:20" ht="16.5" customHeight="1" thickBot="1" x14ac:dyDescent="0.4">
      <c r="A31" s="553">
        <f>A22+1</f>
        <v>3</v>
      </c>
      <c r="B31" s="13">
        <f>B22+10</f>
        <v>31</v>
      </c>
      <c r="C31" s="663" t="str">
        <f>VLOOKUP(A31,INputs!$G$3:$O$22,9,FALSE)</f>
        <v>Please fill out Sensitivity Labels Tab</v>
      </c>
      <c r="D31" s="62"/>
      <c r="E31" s="60" t="b">
        <v>0</v>
      </c>
      <c r="F31" s="61" t="s">
        <v>238</v>
      </c>
      <c r="G31" s="62"/>
      <c r="H31" s="658"/>
      <c r="I31" s="658"/>
      <c r="J31" s="63"/>
      <c r="K31" s="77" t="b">
        <v>0</v>
      </c>
      <c r="L31" s="63" t="s">
        <v>239</v>
      </c>
      <c r="M31" s="62"/>
      <c r="N31" s="470" t="s">
        <v>240</v>
      </c>
      <c r="O31" s="62"/>
      <c r="P31" s="659" t="s">
        <v>241</v>
      </c>
      <c r="Q31" s="659"/>
      <c r="R31" s="62"/>
      <c r="S31" s="660" t="s">
        <v>242</v>
      </c>
      <c r="T31" s="661"/>
    </row>
    <row r="32" spans="1:20" ht="16" x14ac:dyDescent="0.35">
      <c r="A32" s="554"/>
      <c r="B32" s="233">
        <f>B31+1</f>
        <v>32</v>
      </c>
      <c r="C32" s="664"/>
      <c r="E32" s="64" t="b">
        <v>0</v>
      </c>
      <c r="F32" s="65" t="s">
        <v>243</v>
      </c>
      <c r="H32" s="44"/>
      <c r="I32" s="573" t="s">
        <v>136</v>
      </c>
      <c r="J32" s="573"/>
      <c r="K32" s="662" t="b">
        <v>0</v>
      </c>
      <c r="L32" s="579" t="s">
        <v>241</v>
      </c>
      <c r="N32" s="40" t="s">
        <v>137</v>
      </c>
      <c r="P32" s="45" t="b">
        <v>0</v>
      </c>
      <c r="Q32" s="44" t="s">
        <v>244</v>
      </c>
      <c r="S32" s="45" t="b">
        <v>0</v>
      </c>
      <c r="T32" s="72" t="s">
        <v>245</v>
      </c>
    </row>
    <row r="33" spans="1:20" ht="16" x14ac:dyDescent="0.35">
      <c r="A33" s="554"/>
      <c r="B33" s="233">
        <f>B32+1</f>
        <v>33</v>
      </c>
      <c r="C33" s="664"/>
      <c r="E33" s="64" t="b">
        <v>0</v>
      </c>
      <c r="F33" s="65" t="s">
        <v>246</v>
      </c>
      <c r="H33" s="45" t="b">
        <v>0</v>
      </c>
      <c r="I33" s="579" t="s">
        <v>247</v>
      </c>
      <c r="J33" s="44"/>
      <c r="K33" s="662"/>
      <c r="L33" s="579"/>
      <c r="N33" s="44"/>
      <c r="P33" s="44"/>
      <c r="Q33" s="46"/>
      <c r="S33" s="656" t="s">
        <v>248</v>
      </c>
      <c r="T33" s="657"/>
    </row>
    <row r="34" spans="1:20" x14ac:dyDescent="0.35">
      <c r="A34" s="554"/>
      <c r="B34" s="233">
        <f>B33+1</f>
        <v>34</v>
      </c>
      <c r="C34" s="664"/>
      <c r="H34" s="44"/>
      <c r="I34" s="579"/>
      <c r="J34" s="44"/>
      <c r="P34" s="45" t="b">
        <v>0</v>
      </c>
      <c r="Q34" s="44" t="s">
        <v>249</v>
      </c>
      <c r="S34" s="45" t="b">
        <v>0</v>
      </c>
      <c r="T34" s="72" t="s">
        <v>250</v>
      </c>
    </row>
    <row r="35" spans="1:20" x14ac:dyDescent="0.35">
      <c r="A35" s="554"/>
      <c r="B35" s="233">
        <f>B34+1</f>
        <v>35</v>
      </c>
      <c r="C35" s="664"/>
      <c r="H35" s="44"/>
      <c r="I35" s="44"/>
      <c r="J35" s="44"/>
      <c r="Q35" s="23" t="s">
        <v>135</v>
      </c>
      <c r="S35" s="45" t="b">
        <v>0</v>
      </c>
      <c r="T35" s="72" t="s">
        <v>251</v>
      </c>
    </row>
    <row r="36" spans="1:20" ht="15" thickBot="1" x14ac:dyDescent="0.4">
      <c r="A36" s="555"/>
      <c r="B36" s="233">
        <f>B35+1</f>
        <v>36</v>
      </c>
      <c r="C36" s="665"/>
      <c r="D36" s="67"/>
      <c r="E36" s="67"/>
      <c r="F36" s="67"/>
      <c r="G36" s="67"/>
      <c r="H36" s="74"/>
      <c r="I36" s="74"/>
      <c r="J36" s="74"/>
      <c r="K36" s="67"/>
      <c r="L36" s="67"/>
      <c r="M36" s="67"/>
      <c r="N36" s="67"/>
      <c r="O36" s="67"/>
      <c r="P36" s="67"/>
      <c r="Q36" s="68"/>
      <c r="R36" s="67"/>
      <c r="S36" s="117" t="b">
        <v>0</v>
      </c>
      <c r="T36" s="118" t="s">
        <v>252</v>
      </c>
    </row>
    <row r="37" spans="1:20" ht="15" hidden="1" thickBot="1" x14ac:dyDescent="0.4">
      <c r="C37" s="301"/>
      <c r="D37" s="229"/>
      <c r="E37" s="229"/>
      <c r="F37" s="229"/>
      <c r="G37" s="229"/>
      <c r="H37" s="229"/>
      <c r="I37" s="229"/>
      <c r="J37" s="229"/>
      <c r="K37" s="229"/>
      <c r="L37" s="229"/>
      <c r="M37" s="229"/>
      <c r="N37" s="229"/>
      <c r="O37" s="229"/>
      <c r="P37" s="229"/>
      <c r="Q37" s="229"/>
      <c r="R37" s="229"/>
      <c r="S37" s="229"/>
      <c r="T37" s="302"/>
    </row>
    <row r="38" spans="1:20" ht="3.65" customHeight="1" thickBot="1" x14ac:dyDescent="0.4">
      <c r="C38" s="301"/>
      <c r="D38" s="229"/>
      <c r="E38" s="229"/>
      <c r="F38" s="229"/>
      <c r="G38" s="229"/>
      <c r="H38" s="229"/>
      <c r="I38" s="229"/>
      <c r="J38" s="229"/>
      <c r="K38" s="229"/>
      <c r="L38" s="229"/>
      <c r="M38" s="229"/>
      <c r="N38" s="229"/>
      <c r="O38" s="229"/>
      <c r="P38" s="229"/>
      <c r="Q38" s="229"/>
      <c r="R38" s="229"/>
      <c r="S38" s="229"/>
      <c r="T38" s="302"/>
    </row>
    <row r="39" spans="1:20" ht="15" hidden="1" thickBot="1" x14ac:dyDescent="0.4">
      <c r="C39" s="301"/>
      <c r="D39" s="229"/>
      <c r="E39" s="229"/>
      <c r="F39" s="229"/>
      <c r="G39" s="229"/>
      <c r="H39" s="229"/>
      <c r="I39" s="229"/>
      <c r="J39" s="229"/>
      <c r="K39" s="229"/>
      <c r="L39" s="229"/>
      <c r="M39" s="229"/>
      <c r="N39" s="229"/>
      <c r="O39" s="229"/>
      <c r="P39" s="229"/>
      <c r="Q39" s="229"/>
      <c r="R39" s="229"/>
      <c r="S39" s="229"/>
      <c r="T39" s="302"/>
    </row>
    <row r="40" spans="1:20" ht="16.5" thickBot="1" x14ac:dyDescent="0.4">
      <c r="A40" s="553">
        <f>A31+1</f>
        <v>4</v>
      </c>
      <c r="B40" s="13">
        <f>B31+10</f>
        <v>41</v>
      </c>
      <c r="C40" s="663" t="str">
        <f>VLOOKUP(A40,INputs!$G$3:$O$22,9,FALSE)</f>
        <v>Please fill out Sensitivity Labels Tab</v>
      </c>
      <c r="E40" s="64" t="b">
        <v>0</v>
      </c>
      <c r="F40" s="65" t="s">
        <v>238</v>
      </c>
      <c r="H40" s="666"/>
      <c r="I40" s="666"/>
      <c r="J40" s="44"/>
      <c r="K40" s="45" t="b">
        <v>0</v>
      </c>
      <c r="L40" s="44" t="s">
        <v>239</v>
      </c>
      <c r="M40" s="62"/>
      <c r="N40" s="470" t="s">
        <v>240</v>
      </c>
      <c r="O40" s="62"/>
      <c r="P40" s="667" t="s">
        <v>241</v>
      </c>
      <c r="Q40" s="667"/>
      <c r="S40" s="656" t="s">
        <v>242</v>
      </c>
      <c r="T40" s="657"/>
    </row>
    <row r="41" spans="1:20" ht="16" x14ac:dyDescent="0.35">
      <c r="A41" s="554"/>
      <c r="B41" s="233">
        <f>B40+1</f>
        <v>42</v>
      </c>
      <c r="C41" s="664"/>
      <c r="E41" s="64" t="b">
        <v>0</v>
      </c>
      <c r="F41" s="65" t="s">
        <v>243</v>
      </c>
      <c r="H41" s="44"/>
      <c r="I41" s="573" t="s">
        <v>136</v>
      </c>
      <c r="J41" s="573"/>
      <c r="K41" s="662" t="b">
        <v>0</v>
      </c>
      <c r="L41" s="579" t="s">
        <v>241</v>
      </c>
      <c r="N41" s="40" t="s">
        <v>137</v>
      </c>
      <c r="P41" s="45" t="b">
        <v>0</v>
      </c>
      <c r="Q41" s="44" t="s">
        <v>244</v>
      </c>
      <c r="S41" s="45" t="b">
        <v>0</v>
      </c>
      <c r="T41" s="72" t="s">
        <v>245</v>
      </c>
    </row>
    <row r="42" spans="1:20" ht="16" x14ac:dyDescent="0.35">
      <c r="A42" s="554"/>
      <c r="B42" s="233">
        <f>B41+1</f>
        <v>43</v>
      </c>
      <c r="C42" s="664"/>
      <c r="E42" s="64" t="b">
        <v>0</v>
      </c>
      <c r="F42" s="65" t="s">
        <v>246</v>
      </c>
      <c r="H42" s="45" t="b">
        <v>0</v>
      </c>
      <c r="I42" s="579" t="s">
        <v>247</v>
      </c>
      <c r="J42" s="44"/>
      <c r="K42" s="662"/>
      <c r="L42" s="669"/>
      <c r="N42" s="44"/>
      <c r="P42" s="44"/>
      <c r="Q42" s="46"/>
      <c r="S42" s="656" t="s">
        <v>248</v>
      </c>
      <c r="T42" s="657"/>
    </row>
    <row r="43" spans="1:20" x14ac:dyDescent="0.35">
      <c r="A43" s="554"/>
      <c r="B43" s="233">
        <f>B42+1</f>
        <v>44</v>
      </c>
      <c r="C43" s="664"/>
      <c r="H43" s="44"/>
      <c r="I43" s="579"/>
      <c r="J43" s="44"/>
      <c r="P43" s="45" t="b">
        <v>0</v>
      </c>
      <c r="Q43" s="44" t="s">
        <v>249</v>
      </c>
      <c r="S43" s="45" t="b">
        <v>0</v>
      </c>
      <c r="T43" s="72" t="s">
        <v>250</v>
      </c>
    </row>
    <row r="44" spans="1:20" x14ac:dyDescent="0.35">
      <c r="A44" s="554"/>
      <c r="B44" s="233">
        <f>B43+1</f>
        <v>45</v>
      </c>
      <c r="C44" s="664"/>
      <c r="H44" s="44"/>
      <c r="I44" s="44"/>
      <c r="J44" s="44"/>
      <c r="Q44" s="23" t="s">
        <v>135</v>
      </c>
      <c r="S44" s="45" t="b">
        <v>0</v>
      </c>
      <c r="T44" s="72" t="s">
        <v>251</v>
      </c>
    </row>
    <row r="45" spans="1:20" ht="15" thickBot="1" x14ac:dyDescent="0.4">
      <c r="A45" s="555"/>
      <c r="B45" s="233">
        <f>B44+1</f>
        <v>46</v>
      </c>
      <c r="C45" s="665"/>
      <c r="D45" s="67"/>
      <c r="E45" s="67"/>
      <c r="F45" s="67"/>
      <c r="G45" s="67"/>
      <c r="H45" s="74"/>
      <c r="I45" s="74"/>
      <c r="J45" s="74"/>
      <c r="K45" s="67"/>
      <c r="L45" s="67"/>
      <c r="M45" s="67"/>
      <c r="N45" s="67"/>
      <c r="O45" s="67"/>
      <c r="P45" s="67"/>
      <c r="Q45" s="68"/>
      <c r="R45" s="67"/>
      <c r="S45" s="117" t="b">
        <v>0</v>
      </c>
      <c r="T45" s="118" t="s">
        <v>252</v>
      </c>
    </row>
    <row r="46" spans="1:20" ht="15" hidden="1" thickBot="1" x14ac:dyDescent="0.4">
      <c r="C46" s="301"/>
      <c r="D46" s="229"/>
      <c r="E46" s="229"/>
      <c r="F46" s="229"/>
      <c r="G46" s="229"/>
      <c r="H46" s="229"/>
      <c r="I46" s="229"/>
      <c r="J46" s="229"/>
      <c r="K46" s="229"/>
      <c r="L46" s="229"/>
      <c r="M46" s="229"/>
      <c r="N46" s="229"/>
      <c r="O46" s="229"/>
      <c r="P46" s="229"/>
      <c r="Q46" s="229"/>
      <c r="R46" s="229"/>
      <c r="S46" s="229"/>
      <c r="T46" s="302"/>
    </row>
    <row r="47" spans="1:20" ht="3.65" customHeight="1" thickBot="1" x14ac:dyDescent="0.4">
      <c r="C47" s="301"/>
      <c r="D47" s="229"/>
      <c r="E47" s="229"/>
      <c r="F47" s="229"/>
      <c r="G47" s="229"/>
      <c r="H47" s="229"/>
      <c r="I47" s="229"/>
      <c r="J47" s="229"/>
      <c r="K47" s="229"/>
      <c r="L47" s="229"/>
      <c r="M47" s="229"/>
      <c r="N47" s="229"/>
      <c r="O47" s="229"/>
      <c r="P47" s="229"/>
      <c r="Q47" s="229"/>
      <c r="R47" s="229"/>
      <c r="S47" s="229"/>
      <c r="T47" s="302"/>
    </row>
    <row r="48" spans="1:20" ht="15" hidden="1" thickBot="1" x14ac:dyDescent="0.4">
      <c r="C48" s="301"/>
      <c r="D48" s="229"/>
      <c r="E48" s="229"/>
      <c r="F48" s="229"/>
      <c r="G48" s="229"/>
      <c r="H48" s="229"/>
      <c r="I48" s="229"/>
      <c r="J48" s="229"/>
      <c r="K48" s="229"/>
      <c r="L48" s="229"/>
      <c r="M48" s="229"/>
      <c r="N48" s="229"/>
      <c r="O48" s="229"/>
      <c r="P48" s="229"/>
      <c r="Q48" s="229"/>
      <c r="R48" s="229"/>
      <c r="S48" s="229"/>
      <c r="T48" s="302"/>
    </row>
    <row r="49" spans="1:20" ht="16.5" thickBot="1" x14ac:dyDescent="0.4">
      <c r="A49" s="553">
        <f>A40+1</f>
        <v>5</v>
      </c>
      <c r="B49" s="13">
        <f>B40+10</f>
        <v>51</v>
      </c>
      <c r="C49" s="663" t="str">
        <f>VLOOKUP(A49,INputs!$G$3:$O$22,9,FALSE)</f>
        <v>Please fill out Sensitivity Labels Tab</v>
      </c>
      <c r="D49" s="62"/>
      <c r="E49" s="60" t="b">
        <v>0</v>
      </c>
      <c r="F49" s="61" t="s">
        <v>238</v>
      </c>
      <c r="G49" s="62"/>
      <c r="H49" s="658"/>
      <c r="I49" s="658"/>
      <c r="J49" s="63"/>
      <c r="K49" s="77" t="b">
        <v>0</v>
      </c>
      <c r="L49" s="63" t="s">
        <v>239</v>
      </c>
      <c r="M49" s="62"/>
      <c r="N49" s="470" t="s">
        <v>240</v>
      </c>
      <c r="O49" s="62"/>
      <c r="P49" s="659" t="s">
        <v>241</v>
      </c>
      <c r="Q49" s="659"/>
      <c r="R49" s="62"/>
      <c r="S49" s="660" t="s">
        <v>242</v>
      </c>
      <c r="T49" s="661"/>
    </row>
    <row r="50" spans="1:20" ht="16" x14ac:dyDescent="0.35">
      <c r="A50" s="554"/>
      <c r="B50" s="233">
        <f>B49+1</f>
        <v>52</v>
      </c>
      <c r="C50" s="664"/>
      <c r="E50" s="64" t="b">
        <v>0</v>
      </c>
      <c r="F50" s="65" t="s">
        <v>243</v>
      </c>
      <c r="H50" s="44"/>
      <c r="I50" s="573" t="s">
        <v>136</v>
      </c>
      <c r="J50" s="573"/>
      <c r="K50" s="662" t="b">
        <v>0</v>
      </c>
      <c r="L50" s="579" t="s">
        <v>241</v>
      </c>
      <c r="N50" s="40" t="s">
        <v>137</v>
      </c>
      <c r="P50" s="45" t="b">
        <v>0</v>
      </c>
      <c r="Q50" s="44" t="s">
        <v>244</v>
      </c>
      <c r="S50" s="45" t="b">
        <v>0</v>
      </c>
      <c r="T50" s="72" t="s">
        <v>245</v>
      </c>
    </row>
    <row r="51" spans="1:20" ht="16" x14ac:dyDescent="0.35">
      <c r="A51" s="554"/>
      <c r="B51" s="233">
        <f>B50+1</f>
        <v>53</v>
      </c>
      <c r="C51" s="664"/>
      <c r="E51" s="64" t="b">
        <v>0</v>
      </c>
      <c r="F51" s="65" t="s">
        <v>246</v>
      </c>
      <c r="H51" s="45" t="b">
        <v>0</v>
      </c>
      <c r="I51" s="579" t="s">
        <v>247</v>
      </c>
      <c r="J51" s="44"/>
      <c r="K51" s="662"/>
      <c r="L51" s="579"/>
      <c r="N51" s="44"/>
      <c r="P51" s="44"/>
      <c r="Q51" s="46"/>
      <c r="S51" s="656" t="s">
        <v>248</v>
      </c>
      <c r="T51" s="657"/>
    </row>
    <row r="52" spans="1:20" x14ac:dyDescent="0.35">
      <c r="A52" s="554"/>
      <c r="B52" s="233">
        <f>B51+1</f>
        <v>54</v>
      </c>
      <c r="C52" s="664"/>
      <c r="H52" s="44"/>
      <c r="I52" s="579"/>
      <c r="J52" s="44"/>
      <c r="P52" s="45" t="b">
        <v>0</v>
      </c>
      <c r="Q52" s="44" t="s">
        <v>249</v>
      </c>
      <c r="S52" s="45" t="b">
        <v>0</v>
      </c>
      <c r="T52" s="72" t="s">
        <v>250</v>
      </c>
    </row>
    <row r="53" spans="1:20" x14ac:dyDescent="0.35">
      <c r="A53" s="554"/>
      <c r="B53" s="233">
        <f>B52+1</f>
        <v>55</v>
      </c>
      <c r="C53" s="664"/>
      <c r="H53" s="44"/>
      <c r="I53" s="44"/>
      <c r="J53" s="44"/>
      <c r="Q53" s="23" t="s">
        <v>135</v>
      </c>
      <c r="S53" s="45" t="b">
        <v>0</v>
      </c>
      <c r="T53" s="72" t="s">
        <v>251</v>
      </c>
    </row>
    <row r="54" spans="1:20" ht="15" thickBot="1" x14ac:dyDescent="0.4">
      <c r="A54" s="555"/>
      <c r="B54" s="233">
        <f>B53+1</f>
        <v>56</v>
      </c>
      <c r="C54" s="665"/>
      <c r="D54" s="67"/>
      <c r="E54" s="67"/>
      <c r="F54" s="67"/>
      <c r="G54" s="67"/>
      <c r="H54" s="74"/>
      <c r="I54" s="74"/>
      <c r="J54" s="74"/>
      <c r="K54" s="67"/>
      <c r="L54" s="67"/>
      <c r="M54" s="67"/>
      <c r="N54" s="67"/>
      <c r="O54" s="67"/>
      <c r="P54" s="67"/>
      <c r="Q54" s="68"/>
      <c r="R54" s="67"/>
      <c r="S54" s="117" t="b">
        <v>0</v>
      </c>
      <c r="T54" s="118" t="s">
        <v>252</v>
      </c>
    </row>
    <row r="55" spans="1:20" ht="15" hidden="1" thickBot="1" x14ac:dyDescent="0.4">
      <c r="C55" s="301"/>
      <c r="D55" s="229"/>
      <c r="E55" s="229"/>
      <c r="F55" s="229"/>
      <c r="G55" s="229"/>
      <c r="H55" s="229"/>
      <c r="I55" s="229"/>
      <c r="J55" s="229"/>
      <c r="K55" s="229"/>
      <c r="L55" s="229"/>
      <c r="M55" s="229"/>
      <c r="N55" s="229"/>
      <c r="O55" s="229"/>
      <c r="P55" s="229"/>
      <c r="Q55" s="229"/>
      <c r="R55" s="229"/>
      <c r="S55" s="229"/>
      <c r="T55" s="302"/>
    </row>
    <row r="56" spans="1:20" ht="3.65" customHeight="1" thickBot="1" x14ac:dyDescent="0.4">
      <c r="C56" s="301"/>
      <c r="D56" s="229"/>
      <c r="E56" s="229"/>
      <c r="F56" s="229"/>
      <c r="G56" s="229"/>
      <c r="H56" s="229"/>
      <c r="I56" s="229"/>
      <c r="J56" s="229"/>
      <c r="K56" s="229"/>
      <c r="L56" s="229"/>
      <c r="M56" s="229"/>
      <c r="N56" s="229"/>
      <c r="O56" s="229"/>
      <c r="P56" s="229"/>
      <c r="Q56" s="229"/>
      <c r="R56" s="229"/>
      <c r="S56" s="229"/>
      <c r="T56" s="302"/>
    </row>
    <row r="57" spans="1:20" ht="15" hidden="1" thickBot="1" x14ac:dyDescent="0.4">
      <c r="C57" s="301"/>
      <c r="D57" s="229"/>
      <c r="E57" s="229"/>
      <c r="F57" s="229"/>
      <c r="G57" s="229"/>
      <c r="H57" s="229"/>
      <c r="I57" s="229"/>
      <c r="J57" s="229"/>
      <c r="K57" s="229"/>
      <c r="L57" s="229"/>
      <c r="M57" s="229"/>
      <c r="N57" s="229"/>
      <c r="O57" s="229"/>
      <c r="P57" s="229"/>
      <c r="Q57" s="229"/>
      <c r="R57" s="229"/>
      <c r="S57" s="229"/>
      <c r="T57" s="302"/>
    </row>
    <row r="58" spans="1:20" ht="16.5" thickBot="1" x14ac:dyDescent="0.4">
      <c r="A58" s="553">
        <f>A49+1</f>
        <v>6</v>
      </c>
      <c r="B58" s="13">
        <f>B49+10</f>
        <v>61</v>
      </c>
      <c r="C58" s="663" t="str">
        <f>VLOOKUP(A58,INputs!$G$3:$O$22,9,FALSE)</f>
        <v>Please fill out Sensitivity Labels Tab</v>
      </c>
      <c r="D58" s="62"/>
      <c r="E58" s="60" t="b">
        <v>0</v>
      </c>
      <c r="F58" s="61" t="s">
        <v>238</v>
      </c>
      <c r="G58" s="62"/>
      <c r="H58" s="658"/>
      <c r="I58" s="658"/>
      <c r="J58" s="63"/>
      <c r="K58" s="77" t="b">
        <v>0</v>
      </c>
      <c r="L58" s="63" t="s">
        <v>239</v>
      </c>
      <c r="M58" s="62"/>
      <c r="N58" s="470" t="s">
        <v>240</v>
      </c>
      <c r="O58" s="62"/>
      <c r="P58" s="659" t="s">
        <v>241</v>
      </c>
      <c r="Q58" s="659"/>
      <c r="R58" s="62"/>
      <c r="S58" s="660" t="s">
        <v>242</v>
      </c>
      <c r="T58" s="661"/>
    </row>
    <row r="59" spans="1:20" ht="16" x14ac:dyDescent="0.35">
      <c r="A59" s="554"/>
      <c r="B59" s="233">
        <f>B58+1</f>
        <v>62</v>
      </c>
      <c r="C59" s="664"/>
      <c r="E59" s="64" t="b">
        <v>0</v>
      </c>
      <c r="F59" s="65" t="s">
        <v>243</v>
      </c>
      <c r="H59" s="44"/>
      <c r="I59" s="573" t="s">
        <v>136</v>
      </c>
      <c r="J59" s="573"/>
      <c r="K59" s="662" t="b">
        <v>0</v>
      </c>
      <c r="L59" s="579" t="s">
        <v>241</v>
      </c>
      <c r="N59" s="40" t="s">
        <v>137</v>
      </c>
      <c r="P59" s="45" t="b">
        <v>0</v>
      </c>
      <c r="Q59" s="44" t="s">
        <v>244</v>
      </c>
      <c r="S59" s="45" t="b">
        <v>0</v>
      </c>
      <c r="T59" s="72" t="s">
        <v>245</v>
      </c>
    </row>
    <row r="60" spans="1:20" ht="16" x14ac:dyDescent="0.35">
      <c r="A60" s="554"/>
      <c r="B60" s="233">
        <f>B59+1</f>
        <v>63</v>
      </c>
      <c r="C60" s="664"/>
      <c r="E60" s="64" t="b">
        <v>0</v>
      </c>
      <c r="F60" s="65" t="s">
        <v>246</v>
      </c>
      <c r="H60" s="45" t="b">
        <v>0</v>
      </c>
      <c r="I60" s="579" t="s">
        <v>247</v>
      </c>
      <c r="J60" s="44"/>
      <c r="K60" s="662"/>
      <c r="L60" s="579"/>
      <c r="N60" s="44"/>
      <c r="P60" s="44"/>
      <c r="Q60" s="46"/>
      <c r="S60" s="656" t="s">
        <v>248</v>
      </c>
      <c r="T60" s="657"/>
    </row>
    <row r="61" spans="1:20" x14ac:dyDescent="0.35">
      <c r="A61" s="554"/>
      <c r="B61" s="233">
        <f>B60+1</f>
        <v>64</v>
      </c>
      <c r="C61" s="664"/>
      <c r="H61" s="44"/>
      <c r="I61" s="579"/>
      <c r="J61" s="44"/>
      <c r="P61" s="45" t="b">
        <v>0</v>
      </c>
      <c r="Q61" s="44" t="s">
        <v>249</v>
      </c>
      <c r="S61" s="45" t="b">
        <v>0</v>
      </c>
      <c r="T61" s="72" t="s">
        <v>250</v>
      </c>
    </row>
    <row r="62" spans="1:20" x14ac:dyDescent="0.35">
      <c r="A62" s="554"/>
      <c r="B62" s="233">
        <f>B61+1</f>
        <v>65</v>
      </c>
      <c r="C62" s="664"/>
      <c r="H62" s="44"/>
      <c r="I62" s="44"/>
      <c r="J62" s="44"/>
      <c r="Q62" s="23" t="s">
        <v>135</v>
      </c>
      <c r="S62" s="45" t="b">
        <v>0</v>
      </c>
      <c r="T62" s="72" t="s">
        <v>251</v>
      </c>
    </row>
    <row r="63" spans="1:20" ht="15" thickBot="1" x14ac:dyDescent="0.4">
      <c r="A63" s="555"/>
      <c r="B63" s="233">
        <f>B62+1</f>
        <v>66</v>
      </c>
      <c r="C63" s="665"/>
      <c r="D63" s="67"/>
      <c r="E63" s="67"/>
      <c r="F63" s="67"/>
      <c r="G63" s="67"/>
      <c r="H63" s="74"/>
      <c r="I63" s="74"/>
      <c r="J63" s="74"/>
      <c r="K63" s="67"/>
      <c r="L63" s="67"/>
      <c r="M63" s="67"/>
      <c r="N63" s="67"/>
      <c r="O63" s="67"/>
      <c r="P63" s="67"/>
      <c r="Q63" s="68"/>
      <c r="R63" s="67"/>
      <c r="S63" s="117" t="b">
        <v>0</v>
      </c>
      <c r="T63" s="118" t="s">
        <v>252</v>
      </c>
    </row>
    <row r="64" spans="1:20" ht="15" hidden="1" thickBot="1" x14ac:dyDescent="0.4">
      <c r="C64" s="301"/>
      <c r="D64" s="229"/>
      <c r="E64" s="229"/>
      <c r="F64" s="229"/>
      <c r="G64" s="229"/>
      <c r="H64" s="229"/>
      <c r="I64" s="229"/>
      <c r="J64" s="229"/>
      <c r="K64" s="229"/>
      <c r="L64" s="229"/>
      <c r="M64" s="229"/>
      <c r="N64" s="229"/>
      <c r="O64" s="229"/>
      <c r="P64" s="229"/>
      <c r="Q64" s="229"/>
      <c r="R64" s="229"/>
      <c r="S64" s="229"/>
      <c r="T64" s="302"/>
    </row>
    <row r="65" spans="1:20" ht="3.65" customHeight="1" thickBot="1" x14ac:dyDescent="0.4">
      <c r="C65" s="301"/>
      <c r="D65" s="229"/>
      <c r="E65" s="229"/>
      <c r="F65" s="229"/>
      <c r="G65" s="229"/>
      <c r="H65" s="229"/>
      <c r="I65" s="229"/>
      <c r="J65" s="229"/>
      <c r="K65" s="229"/>
      <c r="L65" s="229"/>
      <c r="M65" s="229"/>
      <c r="N65" s="229"/>
      <c r="O65" s="229"/>
      <c r="P65" s="229"/>
      <c r="Q65" s="229"/>
      <c r="R65" s="229"/>
      <c r="S65" s="229"/>
      <c r="T65" s="302"/>
    </row>
    <row r="66" spans="1:20" ht="15" hidden="1" thickBot="1" x14ac:dyDescent="0.4">
      <c r="C66" s="301"/>
      <c r="D66" s="229"/>
      <c r="E66" s="229"/>
      <c r="F66" s="229"/>
      <c r="G66" s="229"/>
      <c r="H66" s="229"/>
      <c r="I66" s="229"/>
      <c r="J66" s="229"/>
      <c r="K66" s="229"/>
      <c r="L66" s="229"/>
      <c r="M66" s="229"/>
      <c r="N66" s="229"/>
      <c r="O66" s="229"/>
      <c r="P66" s="229"/>
      <c r="Q66" s="229"/>
      <c r="R66" s="229"/>
      <c r="S66" s="229"/>
      <c r="T66" s="302"/>
    </row>
    <row r="67" spans="1:20" ht="16.5" thickBot="1" x14ac:dyDescent="0.4">
      <c r="A67" s="553">
        <f>A58+1</f>
        <v>7</v>
      </c>
      <c r="B67" s="13">
        <f>B58+10</f>
        <v>71</v>
      </c>
      <c r="C67" s="663" t="str">
        <f>VLOOKUP(A67,INputs!$G$3:$O$22,9,FALSE)</f>
        <v>Please fill out Sensitivity Labels Tab</v>
      </c>
      <c r="D67" s="62"/>
      <c r="E67" s="60" t="b">
        <v>0</v>
      </c>
      <c r="F67" s="61" t="s">
        <v>238</v>
      </c>
      <c r="G67" s="62"/>
      <c r="H67" s="658" t="s">
        <v>48</v>
      </c>
      <c r="I67" s="658"/>
      <c r="J67" s="63"/>
      <c r="K67" s="77" t="b">
        <v>0</v>
      </c>
      <c r="L67" s="63" t="s">
        <v>239</v>
      </c>
      <c r="M67" s="62"/>
      <c r="N67" s="470" t="s">
        <v>240</v>
      </c>
      <c r="O67" s="62"/>
      <c r="P67" s="659" t="s">
        <v>241</v>
      </c>
      <c r="Q67" s="659"/>
      <c r="R67" s="62"/>
      <c r="S67" s="660" t="s">
        <v>242</v>
      </c>
      <c r="T67" s="661"/>
    </row>
    <row r="68" spans="1:20" ht="16" x14ac:dyDescent="0.35">
      <c r="A68" s="554"/>
      <c r="B68" s="233">
        <f>B67+1</f>
        <v>72</v>
      </c>
      <c r="C68" s="664"/>
      <c r="E68" s="64" t="b">
        <v>0</v>
      </c>
      <c r="F68" s="65" t="s">
        <v>243</v>
      </c>
      <c r="H68" s="44"/>
      <c r="I68" s="573" t="s">
        <v>136</v>
      </c>
      <c r="J68" s="573"/>
      <c r="K68" s="662" t="b">
        <v>0</v>
      </c>
      <c r="L68" s="579" t="s">
        <v>241</v>
      </c>
      <c r="N68" s="40" t="s">
        <v>137</v>
      </c>
      <c r="P68" s="45" t="b">
        <v>0</v>
      </c>
      <c r="Q68" s="44" t="s">
        <v>244</v>
      </c>
      <c r="S68" s="45" t="b">
        <v>0</v>
      </c>
      <c r="T68" s="72" t="s">
        <v>245</v>
      </c>
    </row>
    <row r="69" spans="1:20" ht="16" x14ac:dyDescent="0.35">
      <c r="A69" s="554"/>
      <c r="B69" s="233">
        <f>B68+1</f>
        <v>73</v>
      </c>
      <c r="C69" s="664"/>
      <c r="E69" s="64" t="b">
        <v>0</v>
      </c>
      <c r="F69" s="65" t="s">
        <v>246</v>
      </c>
      <c r="H69" s="45" t="b">
        <v>0</v>
      </c>
      <c r="I69" s="579" t="s">
        <v>247</v>
      </c>
      <c r="J69" s="44"/>
      <c r="K69" s="662"/>
      <c r="L69" s="579"/>
      <c r="N69" s="44"/>
      <c r="P69" s="44"/>
      <c r="Q69" s="46"/>
      <c r="S69" s="656" t="s">
        <v>248</v>
      </c>
      <c r="T69" s="657"/>
    </row>
    <row r="70" spans="1:20" x14ac:dyDescent="0.35">
      <c r="A70" s="554"/>
      <c r="B70" s="233">
        <f>B69+1</f>
        <v>74</v>
      </c>
      <c r="C70" s="664"/>
      <c r="H70" s="44"/>
      <c r="I70" s="579"/>
      <c r="J70" s="44"/>
      <c r="P70" s="45" t="b">
        <v>0</v>
      </c>
      <c r="Q70" s="44" t="s">
        <v>249</v>
      </c>
      <c r="S70" s="45" t="b">
        <v>0</v>
      </c>
      <c r="T70" s="72" t="s">
        <v>250</v>
      </c>
    </row>
    <row r="71" spans="1:20" x14ac:dyDescent="0.35">
      <c r="A71" s="554"/>
      <c r="B71" s="233">
        <f>B70+1</f>
        <v>75</v>
      </c>
      <c r="C71" s="664"/>
      <c r="H71" s="44"/>
      <c r="I71" s="44"/>
      <c r="J71" s="44"/>
      <c r="Q71" s="23" t="s">
        <v>135</v>
      </c>
      <c r="S71" s="45" t="b">
        <v>0</v>
      </c>
      <c r="T71" s="72" t="s">
        <v>251</v>
      </c>
    </row>
    <row r="72" spans="1:20" ht="15" thickBot="1" x14ac:dyDescent="0.4">
      <c r="A72" s="555"/>
      <c r="B72" s="233">
        <f>B71+1</f>
        <v>76</v>
      </c>
      <c r="C72" s="665"/>
      <c r="D72" s="67"/>
      <c r="E72" s="67"/>
      <c r="F72" s="67"/>
      <c r="G72" s="67"/>
      <c r="H72" s="74"/>
      <c r="I72" s="74"/>
      <c r="J72" s="74"/>
      <c r="K72" s="67"/>
      <c r="L72" s="67"/>
      <c r="M72" s="67"/>
      <c r="N72" s="67"/>
      <c r="O72" s="67"/>
      <c r="P72" s="67"/>
      <c r="Q72" s="68"/>
      <c r="R72" s="67"/>
      <c r="S72" s="117" t="b">
        <v>0</v>
      </c>
      <c r="T72" s="118" t="s">
        <v>252</v>
      </c>
    </row>
    <row r="73" spans="1:20" ht="15" hidden="1" thickBot="1" x14ac:dyDescent="0.4">
      <c r="C73" s="301"/>
      <c r="D73" s="229"/>
      <c r="E73" s="229"/>
      <c r="F73" s="229"/>
      <c r="G73" s="229"/>
      <c r="H73" s="229"/>
      <c r="I73" s="229"/>
      <c r="J73" s="229"/>
      <c r="K73" s="229"/>
      <c r="L73" s="229"/>
      <c r="M73" s="229"/>
      <c r="N73" s="229"/>
      <c r="O73" s="229"/>
      <c r="P73" s="229"/>
      <c r="Q73" s="229"/>
      <c r="R73" s="229"/>
      <c r="S73" s="229"/>
      <c r="T73" s="302"/>
    </row>
    <row r="74" spans="1:20" ht="3.65" customHeight="1" thickBot="1" x14ac:dyDescent="0.4">
      <c r="C74" s="301"/>
      <c r="D74" s="229"/>
      <c r="E74" s="229"/>
      <c r="F74" s="229"/>
      <c r="G74" s="229"/>
      <c r="H74" s="229"/>
      <c r="I74" s="229"/>
      <c r="J74" s="229"/>
      <c r="K74" s="229"/>
      <c r="L74" s="229"/>
      <c r="M74" s="229"/>
      <c r="N74" s="229"/>
      <c r="O74" s="229"/>
      <c r="P74" s="229"/>
      <c r="Q74" s="229"/>
      <c r="R74" s="229"/>
      <c r="S74" s="229"/>
      <c r="T74" s="302"/>
    </row>
    <row r="75" spans="1:20" ht="15" hidden="1" thickBot="1" x14ac:dyDescent="0.4">
      <c r="C75" s="301"/>
      <c r="D75" s="229"/>
      <c r="E75" s="229"/>
      <c r="F75" s="229"/>
      <c r="G75" s="229"/>
      <c r="H75" s="229"/>
      <c r="I75" s="229"/>
      <c r="J75" s="229"/>
      <c r="K75" s="229"/>
      <c r="L75" s="229"/>
      <c r="M75" s="229"/>
      <c r="N75" s="229"/>
      <c r="O75" s="229"/>
      <c r="P75" s="229"/>
      <c r="Q75" s="229"/>
      <c r="R75" s="229"/>
      <c r="S75" s="229"/>
      <c r="T75" s="302"/>
    </row>
    <row r="76" spans="1:20" ht="16.5" thickBot="1" x14ac:dyDescent="0.4">
      <c r="A76" s="553">
        <f>A67+1</f>
        <v>8</v>
      </c>
      <c r="B76" s="13">
        <f>B67+10</f>
        <v>81</v>
      </c>
      <c r="C76" s="663" t="str">
        <f>VLOOKUP(A76,INputs!$G$3:$O$22,9,FALSE)</f>
        <v>Please fill out Sensitivity Labels Tab</v>
      </c>
      <c r="D76" s="62"/>
      <c r="E76" s="60" t="b">
        <v>0</v>
      </c>
      <c r="F76" s="61" t="s">
        <v>238</v>
      </c>
      <c r="G76" s="62"/>
      <c r="H76" s="658" t="s">
        <v>48</v>
      </c>
      <c r="I76" s="658"/>
      <c r="J76" s="63"/>
      <c r="K76" s="77" t="b">
        <v>0</v>
      </c>
      <c r="L76" s="63" t="s">
        <v>239</v>
      </c>
      <c r="M76" s="62"/>
      <c r="N76" s="470" t="s">
        <v>240</v>
      </c>
      <c r="O76" s="62"/>
      <c r="P76" s="659" t="s">
        <v>241</v>
      </c>
      <c r="Q76" s="659"/>
      <c r="R76" s="62"/>
      <c r="S76" s="660" t="s">
        <v>242</v>
      </c>
      <c r="T76" s="661"/>
    </row>
    <row r="77" spans="1:20" ht="16" x14ac:dyDescent="0.35">
      <c r="A77" s="554"/>
      <c r="B77" s="233">
        <f>B76+1</f>
        <v>82</v>
      </c>
      <c r="C77" s="664"/>
      <c r="E77" s="64" t="b">
        <v>0</v>
      </c>
      <c r="F77" s="65" t="s">
        <v>243</v>
      </c>
      <c r="H77" s="44"/>
      <c r="I77" s="573" t="s">
        <v>136</v>
      </c>
      <c r="J77" s="573"/>
      <c r="K77" s="662" t="b">
        <v>0</v>
      </c>
      <c r="L77" s="579" t="s">
        <v>241</v>
      </c>
      <c r="N77" s="40" t="s">
        <v>137</v>
      </c>
      <c r="P77" s="45" t="b">
        <v>0</v>
      </c>
      <c r="Q77" s="44" t="s">
        <v>244</v>
      </c>
      <c r="S77" s="45" t="b">
        <v>0</v>
      </c>
      <c r="T77" s="72" t="s">
        <v>245</v>
      </c>
    </row>
    <row r="78" spans="1:20" ht="16" x14ac:dyDescent="0.35">
      <c r="A78" s="554"/>
      <c r="B78" s="233">
        <f>B77+1</f>
        <v>83</v>
      </c>
      <c r="C78" s="664"/>
      <c r="E78" s="64" t="b">
        <v>0</v>
      </c>
      <c r="F78" s="65" t="s">
        <v>246</v>
      </c>
      <c r="H78" s="45" t="b">
        <v>0</v>
      </c>
      <c r="I78" s="579" t="s">
        <v>247</v>
      </c>
      <c r="J78" s="44"/>
      <c r="K78" s="662"/>
      <c r="L78" s="579"/>
      <c r="N78" s="44"/>
      <c r="P78" s="44"/>
      <c r="Q78" s="46"/>
      <c r="S78" s="656" t="s">
        <v>248</v>
      </c>
      <c r="T78" s="657"/>
    </row>
    <row r="79" spans="1:20" x14ac:dyDescent="0.35">
      <c r="A79" s="554"/>
      <c r="B79" s="233">
        <f>B78+1</f>
        <v>84</v>
      </c>
      <c r="C79" s="664"/>
      <c r="H79" s="44"/>
      <c r="I79" s="579"/>
      <c r="J79" s="44"/>
      <c r="P79" s="45" t="b">
        <v>0</v>
      </c>
      <c r="Q79" s="44" t="s">
        <v>249</v>
      </c>
      <c r="S79" s="45" t="b">
        <v>0</v>
      </c>
      <c r="T79" s="72" t="s">
        <v>250</v>
      </c>
    </row>
    <row r="80" spans="1:20" x14ac:dyDescent="0.35">
      <c r="A80" s="554"/>
      <c r="B80" s="233">
        <f>B79+1</f>
        <v>85</v>
      </c>
      <c r="C80" s="664"/>
      <c r="H80" s="44"/>
      <c r="I80" s="44"/>
      <c r="J80" s="44"/>
      <c r="Q80" s="23" t="s">
        <v>135</v>
      </c>
      <c r="S80" s="45" t="b">
        <v>0</v>
      </c>
      <c r="T80" s="72" t="s">
        <v>251</v>
      </c>
    </row>
    <row r="81" spans="1:20" ht="15" thickBot="1" x14ac:dyDescent="0.4">
      <c r="A81" s="555"/>
      <c r="B81" s="233">
        <f>B80+1</f>
        <v>86</v>
      </c>
      <c r="C81" s="665"/>
      <c r="D81" s="67"/>
      <c r="E81" s="67"/>
      <c r="F81" s="67"/>
      <c r="G81" s="67"/>
      <c r="H81" s="74"/>
      <c r="I81" s="74"/>
      <c r="J81" s="74"/>
      <c r="K81" s="67"/>
      <c r="L81" s="67"/>
      <c r="M81" s="67"/>
      <c r="N81" s="67"/>
      <c r="O81" s="67"/>
      <c r="P81" s="67"/>
      <c r="Q81" s="68"/>
      <c r="R81" s="67"/>
      <c r="S81" s="117" t="b">
        <v>0</v>
      </c>
      <c r="T81" s="118" t="s">
        <v>252</v>
      </c>
    </row>
    <row r="82" spans="1:20" ht="15" hidden="1" thickBot="1" x14ac:dyDescent="0.4">
      <c r="C82" s="301"/>
      <c r="D82" s="229"/>
      <c r="E82" s="229"/>
      <c r="F82" s="229"/>
      <c r="G82" s="229"/>
      <c r="H82" s="229"/>
      <c r="I82" s="229"/>
      <c r="J82" s="229"/>
      <c r="K82" s="229"/>
      <c r="L82" s="229"/>
      <c r="M82" s="229"/>
      <c r="N82" s="229"/>
      <c r="O82" s="229"/>
      <c r="P82" s="229"/>
      <c r="Q82" s="229"/>
      <c r="R82" s="229"/>
      <c r="S82" s="229"/>
      <c r="T82" s="302"/>
    </row>
    <row r="83" spans="1:20" ht="3.65" customHeight="1" thickBot="1" x14ac:dyDescent="0.4">
      <c r="C83" s="301"/>
      <c r="D83" s="229"/>
      <c r="E83" s="229"/>
      <c r="F83" s="229"/>
      <c r="G83" s="229"/>
      <c r="H83" s="229"/>
      <c r="I83" s="229"/>
      <c r="J83" s="229"/>
      <c r="K83" s="229"/>
      <c r="L83" s="229"/>
      <c r="M83" s="229"/>
      <c r="N83" s="229"/>
      <c r="O83" s="229"/>
      <c r="P83" s="229"/>
      <c r="Q83" s="229"/>
      <c r="R83" s="229"/>
      <c r="S83" s="229"/>
      <c r="T83" s="302"/>
    </row>
    <row r="84" spans="1:20" ht="15" hidden="1" thickBot="1" x14ac:dyDescent="0.4">
      <c r="C84" s="301"/>
      <c r="D84" s="229"/>
      <c r="E84" s="229"/>
      <c r="F84" s="229"/>
      <c r="G84" s="229"/>
      <c r="H84" s="229"/>
      <c r="I84" s="229"/>
      <c r="J84" s="229"/>
      <c r="K84" s="229"/>
      <c r="L84" s="229"/>
      <c r="M84" s="229"/>
      <c r="N84" s="229"/>
      <c r="O84" s="229"/>
      <c r="P84" s="229"/>
      <c r="Q84" s="229"/>
      <c r="R84" s="229"/>
      <c r="S84" s="229"/>
      <c r="T84" s="302"/>
    </row>
    <row r="85" spans="1:20" ht="16.5" thickBot="1" x14ac:dyDescent="0.4">
      <c r="A85" s="553">
        <f>A76+1</f>
        <v>9</v>
      </c>
      <c r="B85" s="13">
        <f>B76+10</f>
        <v>91</v>
      </c>
      <c r="C85" s="663" t="str">
        <f>VLOOKUP(A85,INputs!$G$3:$O$22,9,FALSE)</f>
        <v>Please fill out Sensitivity Labels Tab</v>
      </c>
      <c r="D85" s="62"/>
      <c r="E85" s="60" t="b">
        <v>0</v>
      </c>
      <c r="F85" s="61" t="s">
        <v>238</v>
      </c>
      <c r="G85" s="62"/>
      <c r="H85" s="658" t="s">
        <v>48</v>
      </c>
      <c r="I85" s="658"/>
      <c r="J85" s="63"/>
      <c r="K85" s="77" t="b">
        <v>0</v>
      </c>
      <c r="L85" s="63" t="s">
        <v>239</v>
      </c>
      <c r="M85" s="62"/>
      <c r="N85" s="470" t="s">
        <v>240</v>
      </c>
      <c r="O85" s="62"/>
      <c r="P85" s="659" t="s">
        <v>241</v>
      </c>
      <c r="Q85" s="659"/>
      <c r="R85" s="62"/>
      <c r="S85" s="660" t="s">
        <v>242</v>
      </c>
      <c r="T85" s="661"/>
    </row>
    <row r="86" spans="1:20" ht="16" x14ac:dyDescent="0.35">
      <c r="A86" s="554"/>
      <c r="B86" s="233">
        <f>B85+1</f>
        <v>92</v>
      </c>
      <c r="C86" s="664"/>
      <c r="E86" s="64" t="b">
        <v>0</v>
      </c>
      <c r="F86" s="65" t="s">
        <v>243</v>
      </c>
      <c r="H86" s="44"/>
      <c r="I86" s="573" t="s">
        <v>136</v>
      </c>
      <c r="J86" s="573"/>
      <c r="K86" s="662" t="b">
        <v>0</v>
      </c>
      <c r="L86" s="579" t="s">
        <v>241</v>
      </c>
      <c r="N86" s="40" t="s">
        <v>137</v>
      </c>
      <c r="P86" s="45" t="b">
        <v>0</v>
      </c>
      <c r="Q86" s="44" t="s">
        <v>244</v>
      </c>
      <c r="S86" s="45" t="b">
        <v>0</v>
      </c>
      <c r="T86" s="72" t="s">
        <v>245</v>
      </c>
    </row>
    <row r="87" spans="1:20" ht="16" x14ac:dyDescent="0.35">
      <c r="A87" s="554"/>
      <c r="B87" s="233">
        <f>B86+1</f>
        <v>93</v>
      </c>
      <c r="C87" s="664"/>
      <c r="E87" s="64" t="b">
        <v>0</v>
      </c>
      <c r="F87" s="65" t="s">
        <v>246</v>
      </c>
      <c r="H87" s="45" t="b">
        <v>0</v>
      </c>
      <c r="I87" s="579" t="s">
        <v>247</v>
      </c>
      <c r="J87" s="44"/>
      <c r="K87" s="662"/>
      <c r="L87" s="579"/>
      <c r="N87" s="44"/>
      <c r="P87" s="44"/>
      <c r="Q87" s="46"/>
      <c r="S87" s="656" t="s">
        <v>248</v>
      </c>
      <c r="T87" s="657"/>
    </row>
    <row r="88" spans="1:20" x14ac:dyDescent="0.35">
      <c r="A88" s="554"/>
      <c r="B88" s="233">
        <f>B87+1</f>
        <v>94</v>
      </c>
      <c r="C88" s="664"/>
      <c r="H88" s="44"/>
      <c r="I88" s="579"/>
      <c r="J88" s="44"/>
      <c r="P88" s="45" t="b">
        <v>0</v>
      </c>
      <c r="Q88" s="44" t="s">
        <v>249</v>
      </c>
      <c r="S88" s="45" t="b">
        <v>0</v>
      </c>
      <c r="T88" s="72" t="s">
        <v>250</v>
      </c>
    </row>
    <row r="89" spans="1:20" x14ac:dyDescent="0.35">
      <c r="A89" s="554"/>
      <c r="B89" s="233">
        <f>B88+1</f>
        <v>95</v>
      </c>
      <c r="C89" s="664"/>
      <c r="H89" s="44"/>
      <c r="I89" s="44"/>
      <c r="J89" s="44"/>
      <c r="Q89" s="23" t="s">
        <v>135</v>
      </c>
      <c r="S89" s="45" t="b">
        <v>0</v>
      </c>
      <c r="T89" s="72" t="s">
        <v>251</v>
      </c>
    </row>
    <row r="90" spans="1:20" ht="15" thickBot="1" x14ac:dyDescent="0.4">
      <c r="A90" s="555"/>
      <c r="B90" s="233">
        <f>B89+1</f>
        <v>96</v>
      </c>
      <c r="C90" s="665"/>
      <c r="D90" s="67"/>
      <c r="E90" s="67"/>
      <c r="F90" s="67"/>
      <c r="G90" s="67"/>
      <c r="H90" s="74"/>
      <c r="I90" s="74"/>
      <c r="J90" s="74"/>
      <c r="K90" s="67"/>
      <c r="L90" s="67"/>
      <c r="M90" s="67"/>
      <c r="N90" s="67"/>
      <c r="O90" s="67"/>
      <c r="P90" s="67"/>
      <c r="Q90" s="68"/>
      <c r="R90" s="67"/>
      <c r="S90" s="117" t="b">
        <v>0</v>
      </c>
      <c r="T90" s="118" t="s">
        <v>252</v>
      </c>
    </row>
    <row r="91" spans="1:20" ht="15" hidden="1" thickBot="1" x14ac:dyDescent="0.4">
      <c r="C91" s="301"/>
      <c r="D91" s="229"/>
      <c r="E91" s="229"/>
      <c r="F91" s="229"/>
      <c r="G91" s="229"/>
      <c r="H91" s="229"/>
      <c r="I91" s="229"/>
      <c r="J91" s="229"/>
      <c r="K91" s="229"/>
      <c r="L91" s="229"/>
      <c r="M91" s="229"/>
      <c r="N91" s="229"/>
      <c r="O91" s="229"/>
      <c r="P91" s="229"/>
      <c r="Q91" s="229"/>
      <c r="R91" s="229"/>
      <c r="S91" s="229"/>
      <c r="T91" s="302"/>
    </row>
    <row r="92" spans="1:20" ht="3.65" customHeight="1" thickBot="1" x14ac:dyDescent="0.4">
      <c r="C92" s="301"/>
      <c r="D92" s="229"/>
      <c r="E92" s="229"/>
      <c r="F92" s="229"/>
      <c r="G92" s="229"/>
      <c r="H92" s="229"/>
      <c r="I92" s="229"/>
      <c r="J92" s="229"/>
      <c r="K92" s="229"/>
      <c r="L92" s="229"/>
      <c r="M92" s="229"/>
      <c r="N92" s="229"/>
      <c r="O92" s="229"/>
      <c r="P92" s="229"/>
      <c r="Q92" s="229"/>
      <c r="R92" s="229"/>
      <c r="S92" s="229"/>
      <c r="T92" s="302"/>
    </row>
    <row r="93" spans="1:20" ht="15" hidden="1" thickBot="1" x14ac:dyDescent="0.4">
      <c r="C93" s="301"/>
      <c r="D93" s="229"/>
      <c r="E93" s="229"/>
      <c r="F93" s="229"/>
      <c r="G93" s="229"/>
      <c r="H93" s="229"/>
      <c r="I93" s="229"/>
      <c r="J93" s="229"/>
      <c r="K93" s="229"/>
      <c r="L93" s="229"/>
      <c r="M93" s="229"/>
      <c r="N93" s="229"/>
      <c r="O93" s="229"/>
      <c r="P93" s="229"/>
      <c r="Q93" s="229"/>
      <c r="R93" s="229"/>
      <c r="S93" s="229"/>
      <c r="T93" s="302"/>
    </row>
    <row r="94" spans="1:20" ht="16.5" thickBot="1" x14ac:dyDescent="0.4">
      <c r="A94" s="553">
        <f>A85+1</f>
        <v>10</v>
      </c>
      <c r="B94" s="13">
        <f>B85+10</f>
        <v>101</v>
      </c>
      <c r="C94" s="663" t="str">
        <f>VLOOKUP(A94,INputs!$G$3:$O$22,9,FALSE)</f>
        <v>Please fill out Sensitivity Labels Tab</v>
      </c>
      <c r="D94" s="62"/>
      <c r="E94" s="60" t="b">
        <v>0</v>
      </c>
      <c r="F94" s="61" t="s">
        <v>238</v>
      </c>
      <c r="G94" s="62"/>
      <c r="H94" s="658"/>
      <c r="I94" s="658"/>
      <c r="J94" s="63"/>
      <c r="K94" s="77" t="b">
        <v>0</v>
      </c>
      <c r="L94" s="63" t="s">
        <v>239</v>
      </c>
      <c r="M94" s="62"/>
      <c r="N94" s="470" t="s">
        <v>240</v>
      </c>
      <c r="O94" s="62"/>
      <c r="P94" s="659" t="s">
        <v>241</v>
      </c>
      <c r="Q94" s="659"/>
      <c r="R94" s="62"/>
      <c r="S94" s="660" t="s">
        <v>242</v>
      </c>
      <c r="T94" s="661"/>
    </row>
    <row r="95" spans="1:20" ht="16" x14ac:dyDescent="0.35">
      <c r="A95" s="554"/>
      <c r="B95" s="233">
        <f>B94+1</f>
        <v>102</v>
      </c>
      <c r="C95" s="664"/>
      <c r="E95" s="64" t="b">
        <v>0</v>
      </c>
      <c r="F95" s="65" t="s">
        <v>243</v>
      </c>
      <c r="H95" s="44"/>
      <c r="I95" s="573" t="s">
        <v>136</v>
      </c>
      <c r="J95" s="573"/>
      <c r="K95" s="662" t="b">
        <v>0</v>
      </c>
      <c r="L95" s="579" t="s">
        <v>241</v>
      </c>
      <c r="N95" s="40" t="s">
        <v>137</v>
      </c>
      <c r="P95" s="45" t="b">
        <v>0</v>
      </c>
      <c r="Q95" s="44" t="s">
        <v>244</v>
      </c>
      <c r="S95" s="45" t="b">
        <v>0</v>
      </c>
      <c r="T95" s="72" t="s">
        <v>245</v>
      </c>
    </row>
    <row r="96" spans="1:20" ht="16" x14ac:dyDescent="0.35">
      <c r="A96" s="554"/>
      <c r="B96" s="233">
        <f>B95+1</f>
        <v>103</v>
      </c>
      <c r="C96" s="664"/>
      <c r="E96" s="64" t="b">
        <v>0</v>
      </c>
      <c r="F96" s="65" t="s">
        <v>246</v>
      </c>
      <c r="H96" s="45" t="b">
        <v>0</v>
      </c>
      <c r="I96" s="579" t="s">
        <v>247</v>
      </c>
      <c r="J96" s="44"/>
      <c r="K96" s="662"/>
      <c r="L96" s="579"/>
      <c r="N96" s="44"/>
      <c r="P96" s="44"/>
      <c r="Q96" s="46"/>
      <c r="S96" s="656" t="s">
        <v>248</v>
      </c>
      <c r="T96" s="657"/>
    </row>
    <row r="97" spans="1:20" x14ac:dyDescent="0.35">
      <c r="A97" s="554"/>
      <c r="B97" s="233">
        <f>B96+1</f>
        <v>104</v>
      </c>
      <c r="C97" s="664"/>
      <c r="H97" s="44"/>
      <c r="I97" s="579"/>
      <c r="J97" s="44"/>
      <c r="P97" s="45" t="b">
        <v>0</v>
      </c>
      <c r="Q97" s="44" t="s">
        <v>249</v>
      </c>
      <c r="S97" s="45" t="b">
        <v>0</v>
      </c>
      <c r="T97" s="72" t="s">
        <v>250</v>
      </c>
    </row>
    <row r="98" spans="1:20" x14ac:dyDescent="0.35">
      <c r="A98" s="554"/>
      <c r="B98" s="233">
        <f>B97+1</f>
        <v>105</v>
      </c>
      <c r="C98" s="664"/>
      <c r="H98" s="44"/>
      <c r="I98" s="44"/>
      <c r="J98" s="44"/>
      <c r="Q98" s="23" t="s">
        <v>135</v>
      </c>
      <c r="S98" s="45" t="b">
        <v>0</v>
      </c>
      <c r="T98" s="72" t="s">
        <v>251</v>
      </c>
    </row>
    <row r="99" spans="1:20" ht="15" thickBot="1" x14ac:dyDescent="0.4">
      <c r="A99" s="555"/>
      <c r="B99" s="233">
        <f>B98+1</f>
        <v>106</v>
      </c>
      <c r="C99" s="665"/>
      <c r="D99" s="67"/>
      <c r="E99" s="67"/>
      <c r="F99" s="67"/>
      <c r="G99" s="67"/>
      <c r="H99" s="74"/>
      <c r="I99" s="74"/>
      <c r="J99" s="74"/>
      <c r="K99" s="67"/>
      <c r="L99" s="67"/>
      <c r="M99" s="67"/>
      <c r="N99" s="67"/>
      <c r="O99" s="67"/>
      <c r="P99" s="67"/>
      <c r="Q99" s="68"/>
      <c r="R99" s="67"/>
      <c r="S99" s="117" t="b">
        <v>0</v>
      </c>
      <c r="T99" s="118" t="s">
        <v>252</v>
      </c>
    </row>
    <row r="100" spans="1:20" ht="15" hidden="1" thickBot="1" x14ac:dyDescent="0.4">
      <c r="C100" s="301"/>
      <c r="D100" s="229"/>
      <c r="E100" s="229"/>
      <c r="F100" s="229"/>
      <c r="G100" s="229"/>
      <c r="H100" s="229"/>
      <c r="I100" s="229"/>
      <c r="J100" s="229"/>
      <c r="K100" s="229"/>
      <c r="L100" s="229"/>
      <c r="M100" s="229"/>
      <c r="N100" s="229"/>
      <c r="O100" s="229"/>
      <c r="P100" s="229"/>
      <c r="Q100" s="229"/>
      <c r="R100" s="229"/>
      <c r="S100" s="229"/>
      <c r="T100" s="302"/>
    </row>
    <row r="101" spans="1:20" ht="3.65" customHeight="1" thickBot="1" x14ac:dyDescent="0.4">
      <c r="C101" s="301"/>
      <c r="D101" s="229"/>
      <c r="E101" s="229"/>
      <c r="F101" s="229"/>
      <c r="G101" s="229"/>
      <c r="H101" s="229"/>
      <c r="I101" s="229"/>
      <c r="J101" s="229"/>
      <c r="K101" s="229"/>
      <c r="L101" s="229"/>
      <c r="M101" s="229"/>
      <c r="N101" s="229"/>
      <c r="O101" s="229"/>
      <c r="P101" s="229"/>
      <c r="Q101" s="229"/>
      <c r="R101" s="229"/>
      <c r="S101" s="229"/>
      <c r="T101" s="302"/>
    </row>
    <row r="102" spans="1:20" ht="15" hidden="1" thickBot="1" x14ac:dyDescent="0.4">
      <c r="C102" s="301"/>
      <c r="D102" s="229"/>
      <c r="E102" s="229"/>
      <c r="F102" s="229"/>
      <c r="G102" s="229"/>
      <c r="H102" s="229"/>
      <c r="I102" s="229"/>
      <c r="J102" s="229"/>
      <c r="K102" s="229"/>
      <c r="L102" s="229"/>
      <c r="M102" s="229"/>
      <c r="N102" s="229"/>
      <c r="O102" s="229"/>
      <c r="P102" s="229"/>
      <c r="Q102" s="229"/>
      <c r="R102" s="229"/>
      <c r="S102" s="229"/>
      <c r="T102" s="302"/>
    </row>
    <row r="103" spans="1:20" ht="16.5" thickBot="1" x14ac:dyDescent="0.4">
      <c r="A103" s="553">
        <f>A94+1</f>
        <v>11</v>
      </c>
      <c r="B103" s="13">
        <f>B94+10</f>
        <v>111</v>
      </c>
      <c r="C103" s="663" t="str">
        <f>VLOOKUP(A103,INputs!$G$3:$O$22,9,FALSE)</f>
        <v>Please fill out Sensitivity Labels Tab</v>
      </c>
      <c r="D103" s="62"/>
      <c r="E103" s="60" t="b">
        <v>0</v>
      </c>
      <c r="F103" s="61" t="s">
        <v>238</v>
      </c>
      <c r="G103" s="62"/>
      <c r="H103" s="658"/>
      <c r="I103" s="658"/>
      <c r="J103" s="63"/>
      <c r="K103" s="77" t="b">
        <v>0</v>
      </c>
      <c r="L103" s="63" t="s">
        <v>239</v>
      </c>
      <c r="M103" s="62"/>
      <c r="N103" s="470" t="s">
        <v>240</v>
      </c>
      <c r="O103" s="62"/>
      <c r="P103" s="659" t="s">
        <v>241</v>
      </c>
      <c r="Q103" s="659"/>
      <c r="R103" s="62"/>
      <c r="S103" s="660" t="s">
        <v>242</v>
      </c>
      <c r="T103" s="661"/>
    </row>
    <row r="104" spans="1:20" ht="16" x14ac:dyDescent="0.35">
      <c r="A104" s="554"/>
      <c r="B104" s="233">
        <f>B103+1</f>
        <v>112</v>
      </c>
      <c r="C104" s="664"/>
      <c r="E104" s="64" t="b">
        <v>0</v>
      </c>
      <c r="F104" s="65" t="s">
        <v>243</v>
      </c>
      <c r="H104" s="44"/>
      <c r="I104" s="573" t="s">
        <v>136</v>
      </c>
      <c r="J104" s="573"/>
      <c r="K104" s="662" t="b">
        <v>0</v>
      </c>
      <c r="L104" s="579" t="s">
        <v>241</v>
      </c>
      <c r="N104" s="40" t="s">
        <v>137</v>
      </c>
      <c r="P104" s="45" t="b">
        <v>0</v>
      </c>
      <c r="Q104" s="44" t="s">
        <v>244</v>
      </c>
      <c r="S104" s="45" t="b">
        <v>0</v>
      </c>
      <c r="T104" s="72" t="s">
        <v>245</v>
      </c>
    </row>
    <row r="105" spans="1:20" ht="16" x14ac:dyDescent="0.35">
      <c r="A105" s="554"/>
      <c r="B105" s="233">
        <f>B104+1</f>
        <v>113</v>
      </c>
      <c r="C105" s="664"/>
      <c r="E105" s="64" t="b">
        <v>0</v>
      </c>
      <c r="F105" s="65" t="s">
        <v>246</v>
      </c>
      <c r="H105" s="45" t="b">
        <v>0</v>
      </c>
      <c r="I105" s="579" t="s">
        <v>247</v>
      </c>
      <c r="J105" s="44"/>
      <c r="K105" s="662"/>
      <c r="L105" s="579"/>
      <c r="N105" s="44"/>
      <c r="P105" s="44"/>
      <c r="Q105" s="46"/>
      <c r="S105" s="656" t="s">
        <v>248</v>
      </c>
      <c r="T105" s="657"/>
    </row>
    <row r="106" spans="1:20" x14ac:dyDescent="0.35">
      <c r="A106" s="554"/>
      <c r="B106" s="233">
        <f>B105+1</f>
        <v>114</v>
      </c>
      <c r="C106" s="664"/>
      <c r="H106" s="44"/>
      <c r="I106" s="579"/>
      <c r="J106" s="44"/>
      <c r="P106" s="45" t="b">
        <v>0</v>
      </c>
      <c r="Q106" s="44" t="s">
        <v>249</v>
      </c>
      <c r="S106" s="45" t="b">
        <v>0</v>
      </c>
      <c r="T106" s="72" t="s">
        <v>250</v>
      </c>
    </row>
    <row r="107" spans="1:20" x14ac:dyDescent="0.35">
      <c r="A107" s="554"/>
      <c r="B107" s="233">
        <f>B106+1</f>
        <v>115</v>
      </c>
      <c r="C107" s="664"/>
      <c r="H107" s="44"/>
      <c r="I107" s="44"/>
      <c r="J107" s="44"/>
      <c r="Q107" s="23" t="s">
        <v>135</v>
      </c>
      <c r="S107" s="45" t="b">
        <v>0</v>
      </c>
      <c r="T107" s="72" t="s">
        <v>251</v>
      </c>
    </row>
    <row r="108" spans="1:20" ht="15" thickBot="1" x14ac:dyDescent="0.4">
      <c r="A108" s="555"/>
      <c r="B108" s="233">
        <f>B107+1</f>
        <v>116</v>
      </c>
      <c r="C108" s="665"/>
      <c r="D108" s="67"/>
      <c r="E108" s="67"/>
      <c r="F108" s="67"/>
      <c r="G108" s="67"/>
      <c r="H108" s="74"/>
      <c r="I108" s="74"/>
      <c r="J108" s="74"/>
      <c r="K108" s="67"/>
      <c r="L108" s="67"/>
      <c r="M108" s="67"/>
      <c r="N108" s="67"/>
      <c r="O108" s="67"/>
      <c r="P108" s="67"/>
      <c r="Q108" s="68"/>
      <c r="R108" s="67"/>
      <c r="S108" s="117" t="b">
        <v>0</v>
      </c>
      <c r="T108" s="118" t="s">
        <v>252</v>
      </c>
    </row>
    <row r="109" spans="1:20" ht="15" hidden="1" thickBot="1" x14ac:dyDescent="0.4">
      <c r="C109" s="301"/>
      <c r="D109" s="229"/>
      <c r="E109" s="229"/>
      <c r="F109" s="229"/>
      <c r="G109" s="229"/>
      <c r="H109" s="229"/>
      <c r="I109" s="229"/>
      <c r="J109" s="229"/>
      <c r="K109" s="229"/>
      <c r="L109" s="229"/>
      <c r="M109" s="229"/>
      <c r="N109" s="229"/>
      <c r="O109" s="229"/>
      <c r="P109" s="229"/>
      <c r="Q109" s="229"/>
      <c r="R109" s="229"/>
      <c r="S109" s="229"/>
      <c r="T109" s="302"/>
    </row>
    <row r="110" spans="1:20" ht="3.65" customHeight="1" thickBot="1" x14ac:dyDescent="0.4">
      <c r="C110" s="301"/>
      <c r="D110" s="229"/>
      <c r="E110" s="229"/>
      <c r="F110" s="229"/>
      <c r="G110" s="229"/>
      <c r="H110" s="229"/>
      <c r="I110" s="229"/>
      <c r="J110" s="229"/>
      <c r="K110" s="229"/>
      <c r="L110" s="229"/>
      <c r="M110" s="229"/>
      <c r="N110" s="229"/>
      <c r="O110" s="229"/>
      <c r="P110" s="229"/>
      <c r="Q110" s="229"/>
      <c r="R110" s="229"/>
      <c r="S110" s="229"/>
      <c r="T110" s="302"/>
    </row>
    <row r="111" spans="1:20" ht="15" hidden="1" thickBot="1" x14ac:dyDescent="0.4">
      <c r="C111" s="301"/>
      <c r="D111" s="229"/>
      <c r="E111" s="229"/>
      <c r="F111" s="229"/>
      <c r="G111" s="229"/>
      <c r="H111" s="229"/>
      <c r="I111" s="229"/>
      <c r="J111" s="229"/>
      <c r="K111" s="229"/>
      <c r="L111" s="229"/>
      <c r="M111" s="229"/>
      <c r="N111" s="229"/>
      <c r="O111" s="229"/>
      <c r="P111" s="229"/>
      <c r="Q111" s="229"/>
      <c r="R111" s="229"/>
      <c r="S111" s="229"/>
      <c r="T111" s="302"/>
    </row>
    <row r="112" spans="1:20" ht="16.5" thickBot="1" x14ac:dyDescent="0.4">
      <c r="A112" s="553">
        <f>A103+1</f>
        <v>12</v>
      </c>
      <c r="B112" s="13">
        <f>B103+10</f>
        <v>121</v>
      </c>
      <c r="C112" s="663" t="str">
        <f>VLOOKUP(A112,INputs!$G$3:$O$22,9,FALSE)</f>
        <v>Please fill out Sensitivity Labels Tab</v>
      </c>
      <c r="D112" s="62"/>
      <c r="E112" s="60" t="b">
        <v>0</v>
      </c>
      <c r="F112" s="61" t="s">
        <v>238</v>
      </c>
      <c r="G112" s="62"/>
      <c r="H112" s="658"/>
      <c r="I112" s="658"/>
      <c r="J112" s="63"/>
      <c r="K112" s="77" t="b">
        <v>0</v>
      </c>
      <c r="L112" s="63" t="s">
        <v>239</v>
      </c>
      <c r="M112" s="62"/>
      <c r="N112" s="470" t="s">
        <v>240</v>
      </c>
      <c r="O112" s="62"/>
      <c r="P112" s="659" t="s">
        <v>241</v>
      </c>
      <c r="Q112" s="659"/>
      <c r="R112" s="62"/>
      <c r="S112" s="660" t="s">
        <v>242</v>
      </c>
      <c r="T112" s="661"/>
    </row>
    <row r="113" spans="1:20" ht="16" x14ac:dyDescent="0.35">
      <c r="A113" s="554"/>
      <c r="B113" s="233">
        <f>B112+1</f>
        <v>122</v>
      </c>
      <c r="C113" s="664"/>
      <c r="E113" s="64" t="b">
        <v>0</v>
      </c>
      <c r="F113" s="65" t="s">
        <v>243</v>
      </c>
      <c r="H113" s="44"/>
      <c r="I113" s="573" t="s">
        <v>136</v>
      </c>
      <c r="J113" s="573"/>
      <c r="K113" s="662" t="b">
        <v>0</v>
      </c>
      <c r="L113" s="579" t="s">
        <v>241</v>
      </c>
      <c r="N113" s="40" t="s">
        <v>137</v>
      </c>
      <c r="P113" s="45" t="b">
        <v>0</v>
      </c>
      <c r="Q113" s="44" t="s">
        <v>244</v>
      </c>
      <c r="S113" s="45" t="b">
        <v>0</v>
      </c>
      <c r="T113" s="72" t="s">
        <v>245</v>
      </c>
    </row>
    <row r="114" spans="1:20" ht="16" x14ac:dyDescent="0.35">
      <c r="A114" s="554"/>
      <c r="B114" s="233">
        <f>B113+1</f>
        <v>123</v>
      </c>
      <c r="C114" s="664"/>
      <c r="E114" s="64" t="b">
        <v>0</v>
      </c>
      <c r="F114" s="65" t="s">
        <v>246</v>
      </c>
      <c r="H114" s="45" t="b">
        <v>0</v>
      </c>
      <c r="I114" s="579" t="s">
        <v>247</v>
      </c>
      <c r="J114" s="44"/>
      <c r="K114" s="662"/>
      <c r="L114" s="579"/>
      <c r="N114" s="44"/>
      <c r="P114" s="44"/>
      <c r="Q114" s="46"/>
      <c r="S114" s="656" t="s">
        <v>248</v>
      </c>
      <c r="T114" s="657"/>
    </row>
    <row r="115" spans="1:20" x14ac:dyDescent="0.35">
      <c r="A115" s="554"/>
      <c r="B115" s="233">
        <f>B114+1</f>
        <v>124</v>
      </c>
      <c r="C115" s="664"/>
      <c r="H115" s="44"/>
      <c r="I115" s="579"/>
      <c r="J115" s="44"/>
      <c r="P115" s="45" t="b">
        <v>0</v>
      </c>
      <c r="Q115" s="44" t="s">
        <v>249</v>
      </c>
      <c r="S115" s="45" t="b">
        <v>0</v>
      </c>
      <c r="T115" s="72" t="s">
        <v>250</v>
      </c>
    </row>
    <row r="116" spans="1:20" x14ac:dyDescent="0.35">
      <c r="A116" s="554"/>
      <c r="B116" s="233">
        <f>B115+1</f>
        <v>125</v>
      </c>
      <c r="C116" s="664"/>
      <c r="H116" s="44"/>
      <c r="I116" s="44"/>
      <c r="J116" s="44"/>
      <c r="Q116" s="23" t="s">
        <v>135</v>
      </c>
      <c r="S116" s="45" t="b">
        <v>0</v>
      </c>
      <c r="T116" s="72" t="s">
        <v>251</v>
      </c>
    </row>
    <row r="117" spans="1:20" ht="15" thickBot="1" x14ac:dyDescent="0.4">
      <c r="A117" s="555"/>
      <c r="B117" s="233">
        <f>B116+1</f>
        <v>126</v>
      </c>
      <c r="C117" s="665"/>
      <c r="D117" s="67"/>
      <c r="E117" s="67"/>
      <c r="F117" s="67"/>
      <c r="G117" s="67"/>
      <c r="H117" s="74"/>
      <c r="I117" s="74"/>
      <c r="J117" s="74"/>
      <c r="K117" s="67"/>
      <c r="L117" s="67"/>
      <c r="M117" s="67"/>
      <c r="N117" s="67"/>
      <c r="O117" s="67"/>
      <c r="P117" s="67"/>
      <c r="Q117" s="68"/>
      <c r="R117" s="67"/>
      <c r="S117" s="117" t="b">
        <v>0</v>
      </c>
      <c r="T117" s="118" t="s">
        <v>252</v>
      </c>
    </row>
    <row r="118" spans="1:20" ht="15" hidden="1" thickBot="1" x14ac:dyDescent="0.4">
      <c r="C118" s="301"/>
      <c r="D118" s="229"/>
      <c r="E118" s="229"/>
      <c r="F118" s="229"/>
      <c r="G118" s="229"/>
      <c r="H118" s="229"/>
      <c r="I118" s="229"/>
      <c r="J118" s="229"/>
      <c r="K118" s="229"/>
      <c r="L118" s="229"/>
      <c r="M118" s="229"/>
      <c r="N118" s="229"/>
      <c r="O118" s="229"/>
      <c r="P118" s="229"/>
      <c r="Q118" s="229"/>
      <c r="R118" s="229"/>
      <c r="S118" s="229"/>
      <c r="T118" s="302"/>
    </row>
    <row r="119" spans="1:20" ht="3.65" customHeight="1" thickBot="1" x14ac:dyDescent="0.4">
      <c r="C119" s="301"/>
      <c r="D119" s="229"/>
      <c r="E119" s="229"/>
      <c r="F119" s="229"/>
      <c r="G119" s="229"/>
      <c r="H119" s="229"/>
      <c r="I119" s="229"/>
      <c r="J119" s="229"/>
      <c r="K119" s="229"/>
      <c r="L119" s="229"/>
      <c r="M119" s="229"/>
      <c r="N119" s="229"/>
      <c r="O119" s="229"/>
      <c r="P119" s="229"/>
      <c r="Q119" s="229"/>
      <c r="R119" s="229"/>
      <c r="S119" s="229"/>
      <c r="T119" s="302"/>
    </row>
    <row r="120" spans="1:20" ht="15" hidden="1" thickBot="1" x14ac:dyDescent="0.4">
      <c r="C120" s="301"/>
      <c r="D120" s="229"/>
      <c r="E120" s="229"/>
      <c r="F120" s="229"/>
      <c r="G120" s="229"/>
      <c r="H120" s="229"/>
      <c r="I120" s="229"/>
      <c r="J120" s="229"/>
      <c r="K120" s="229"/>
      <c r="L120" s="229"/>
      <c r="M120" s="229"/>
      <c r="N120" s="229"/>
      <c r="O120" s="229"/>
      <c r="P120" s="229"/>
      <c r="Q120" s="229"/>
      <c r="R120" s="229"/>
      <c r="S120" s="229"/>
      <c r="T120" s="302"/>
    </row>
    <row r="121" spans="1:20" ht="16.5" thickBot="1" x14ac:dyDescent="0.4">
      <c r="A121" s="553">
        <f>A112+1</f>
        <v>13</v>
      </c>
      <c r="B121" s="13">
        <f>B112+10</f>
        <v>131</v>
      </c>
      <c r="C121" s="663" t="str">
        <f>VLOOKUP(A121,INputs!$G$3:$O$22,9,FALSE)</f>
        <v>Please fill out Sensitivity Labels Tab</v>
      </c>
      <c r="D121" s="62"/>
      <c r="E121" s="60" t="b">
        <v>0</v>
      </c>
      <c r="F121" s="61" t="s">
        <v>238</v>
      </c>
      <c r="G121" s="62"/>
      <c r="H121" s="658"/>
      <c r="I121" s="658"/>
      <c r="J121" s="63"/>
      <c r="K121" s="77" t="b">
        <v>0</v>
      </c>
      <c r="L121" s="63" t="s">
        <v>239</v>
      </c>
      <c r="M121" s="62"/>
      <c r="N121" s="470" t="s">
        <v>240</v>
      </c>
      <c r="O121" s="62"/>
      <c r="P121" s="659" t="s">
        <v>241</v>
      </c>
      <c r="Q121" s="659"/>
      <c r="R121" s="62"/>
      <c r="S121" s="660" t="s">
        <v>242</v>
      </c>
      <c r="T121" s="661"/>
    </row>
    <row r="122" spans="1:20" ht="16" x14ac:dyDescent="0.35">
      <c r="A122" s="554"/>
      <c r="B122" s="233">
        <f>B121+1</f>
        <v>132</v>
      </c>
      <c r="C122" s="664"/>
      <c r="E122" s="64" t="b">
        <v>0</v>
      </c>
      <c r="F122" s="65" t="s">
        <v>243</v>
      </c>
      <c r="H122" s="44"/>
      <c r="I122" s="573" t="s">
        <v>136</v>
      </c>
      <c r="J122" s="573"/>
      <c r="K122" s="662" t="b">
        <v>0</v>
      </c>
      <c r="L122" s="579" t="s">
        <v>241</v>
      </c>
      <c r="N122" s="40" t="s">
        <v>137</v>
      </c>
      <c r="P122" s="45" t="b">
        <v>0</v>
      </c>
      <c r="Q122" s="44" t="s">
        <v>244</v>
      </c>
      <c r="S122" s="45" t="b">
        <v>0</v>
      </c>
      <c r="T122" s="72" t="s">
        <v>245</v>
      </c>
    </row>
    <row r="123" spans="1:20" ht="16" x14ac:dyDescent="0.35">
      <c r="A123" s="554"/>
      <c r="B123" s="233">
        <f>B122+1</f>
        <v>133</v>
      </c>
      <c r="C123" s="664"/>
      <c r="E123" s="64" t="b">
        <v>0</v>
      </c>
      <c r="F123" s="65" t="s">
        <v>246</v>
      </c>
      <c r="H123" s="45" t="b">
        <v>0</v>
      </c>
      <c r="I123" s="579" t="s">
        <v>247</v>
      </c>
      <c r="J123" s="44"/>
      <c r="K123" s="662"/>
      <c r="L123" s="579"/>
      <c r="N123" s="44"/>
      <c r="P123" s="44"/>
      <c r="Q123" s="46"/>
      <c r="S123" s="656" t="s">
        <v>248</v>
      </c>
      <c r="T123" s="657"/>
    </row>
    <row r="124" spans="1:20" x14ac:dyDescent="0.35">
      <c r="A124" s="554"/>
      <c r="B124" s="233">
        <f>B123+1</f>
        <v>134</v>
      </c>
      <c r="C124" s="664"/>
      <c r="H124" s="44"/>
      <c r="I124" s="579"/>
      <c r="J124" s="44"/>
      <c r="P124" s="45" t="b">
        <v>0</v>
      </c>
      <c r="Q124" s="44" t="s">
        <v>249</v>
      </c>
      <c r="S124" s="45" t="b">
        <v>0</v>
      </c>
      <c r="T124" s="72" t="s">
        <v>250</v>
      </c>
    </row>
    <row r="125" spans="1:20" x14ac:dyDescent="0.35">
      <c r="A125" s="554"/>
      <c r="B125" s="233">
        <f>B124+1</f>
        <v>135</v>
      </c>
      <c r="C125" s="664"/>
      <c r="H125" s="44"/>
      <c r="I125" s="44"/>
      <c r="J125" s="44"/>
      <c r="Q125" s="23" t="s">
        <v>135</v>
      </c>
      <c r="S125" s="45" t="b">
        <v>0</v>
      </c>
      <c r="T125" s="72" t="s">
        <v>251</v>
      </c>
    </row>
    <row r="126" spans="1:20" ht="15" thickBot="1" x14ac:dyDescent="0.4">
      <c r="A126" s="555"/>
      <c r="B126" s="233">
        <f>B125+1</f>
        <v>136</v>
      </c>
      <c r="C126" s="665"/>
      <c r="D126" s="67"/>
      <c r="E126" s="67"/>
      <c r="F126" s="67"/>
      <c r="G126" s="67"/>
      <c r="H126" s="74"/>
      <c r="I126" s="74"/>
      <c r="J126" s="74"/>
      <c r="K126" s="67"/>
      <c r="L126" s="67"/>
      <c r="M126" s="67"/>
      <c r="N126" s="67"/>
      <c r="O126" s="67"/>
      <c r="P126" s="67"/>
      <c r="Q126" s="68"/>
      <c r="R126" s="67"/>
      <c r="S126" s="117" t="b">
        <v>0</v>
      </c>
      <c r="T126" s="118" t="s">
        <v>252</v>
      </c>
    </row>
    <row r="127" spans="1:20" ht="15" hidden="1" thickBot="1" x14ac:dyDescent="0.4">
      <c r="C127" s="301"/>
      <c r="D127" s="229"/>
      <c r="E127" s="229"/>
      <c r="F127" s="229"/>
      <c r="G127" s="229"/>
      <c r="H127" s="229"/>
      <c r="I127" s="229"/>
      <c r="J127" s="229"/>
      <c r="K127" s="229"/>
      <c r="L127" s="229"/>
      <c r="M127" s="229"/>
      <c r="N127" s="229"/>
      <c r="O127" s="229"/>
      <c r="P127" s="229"/>
      <c r="Q127" s="229"/>
      <c r="R127" s="229"/>
      <c r="S127" s="229"/>
      <c r="T127" s="302"/>
    </row>
    <row r="128" spans="1:20" ht="3.65" customHeight="1" thickBot="1" x14ac:dyDescent="0.4">
      <c r="C128" s="301"/>
      <c r="D128" s="229"/>
      <c r="E128" s="229"/>
      <c r="F128" s="229"/>
      <c r="G128" s="229"/>
      <c r="H128" s="229"/>
      <c r="I128" s="229"/>
      <c r="J128" s="229"/>
      <c r="K128" s="229"/>
      <c r="L128" s="229"/>
      <c r="M128" s="229"/>
      <c r="N128" s="229"/>
      <c r="O128" s="229"/>
      <c r="P128" s="229"/>
      <c r="Q128" s="229"/>
      <c r="R128" s="229"/>
      <c r="S128" s="229"/>
      <c r="T128" s="302"/>
    </row>
    <row r="129" spans="1:20" ht="15" hidden="1" thickBot="1" x14ac:dyDescent="0.4">
      <c r="C129" s="301"/>
      <c r="D129" s="229"/>
      <c r="E129" s="229"/>
      <c r="F129" s="229"/>
      <c r="G129" s="229"/>
      <c r="H129" s="229"/>
      <c r="I129" s="229"/>
      <c r="J129" s="229"/>
      <c r="K129" s="229"/>
      <c r="L129" s="229"/>
      <c r="M129" s="229"/>
      <c r="N129" s="229"/>
      <c r="O129" s="229"/>
      <c r="P129" s="229"/>
      <c r="Q129" s="229"/>
      <c r="R129" s="229"/>
      <c r="S129" s="229"/>
      <c r="T129" s="302"/>
    </row>
    <row r="130" spans="1:20" ht="16.5" thickBot="1" x14ac:dyDescent="0.4">
      <c r="A130" s="553">
        <f>A121+1</f>
        <v>14</v>
      </c>
      <c r="B130" s="13">
        <f>B121+10</f>
        <v>141</v>
      </c>
      <c r="C130" s="663" t="str">
        <f>VLOOKUP(A130,INputs!$G$3:$O$22,9,FALSE)</f>
        <v>Please fill out Sensitivity Labels Tab</v>
      </c>
      <c r="D130" s="62"/>
      <c r="E130" s="60" t="b">
        <v>0</v>
      </c>
      <c r="F130" s="61" t="s">
        <v>238</v>
      </c>
      <c r="G130" s="62"/>
      <c r="H130" s="658"/>
      <c r="I130" s="658"/>
      <c r="J130" s="63"/>
      <c r="K130" s="77" t="b">
        <v>0</v>
      </c>
      <c r="L130" s="63" t="s">
        <v>239</v>
      </c>
      <c r="M130" s="62"/>
      <c r="N130" s="470" t="s">
        <v>240</v>
      </c>
      <c r="O130" s="62"/>
      <c r="P130" s="659" t="s">
        <v>241</v>
      </c>
      <c r="Q130" s="659"/>
      <c r="R130" s="62"/>
      <c r="S130" s="660" t="s">
        <v>242</v>
      </c>
      <c r="T130" s="661"/>
    </row>
    <row r="131" spans="1:20" ht="16" x14ac:dyDescent="0.35">
      <c r="A131" s="554"/>
      <c r="B131" s="233">
        <f>B130+1</f>
        <v>142</v>
      </c>
      <c r="C131" s="664"/>
      <c r="E131" s="64" t="b">
        <v>0</v>
      </c>
      <c r="F131" s="65" t="s">
        <v>243</v>
      </c>
      <c r="H131" s="44"/>
      <c r="I131" s="573" t="s">
        <v>136</v>
      </c>
      <c r="J131" s="573"/>
      <c r="K131" s="662" t="b">
        <v>0</v>
      </c>
      <c r="L131" s="579" t="s">
        <v>241</v>
      </c>
      <c r="N131" s="40" t="s">
        <v>137</v>
      </c>
      <c r="P131" s="45" t="b">
        <v>0</v>
      </c>
      <c r="Q131" s="44" t="s">
        <v>244</v>
      </c>
      <c r="S131" s="45" t="b">
        <v>0</v>
      </c>
      <c r="T131" s="72" t="s">
        <v>245</v>
      </c>
    </row>
    <row r="132" spans="1:20" ht="16" x14ac:dyDescent="0.35">
      <c r="A132" s="554"/>
      <c r="B132" s="233">
        <f>B131+1</f>
        <v>143</v>
      </c>
      <c r="C132" s="664"/>
      <c r="E132" s="64" t="b">
        <v>0</v>
      </c>
      <c r="F132" s="65" t="s">
        <v>246</v>
      </c>
      <c r="H132" s="45" t="b">
        <v>0</v>
      </c>
      <c r="I132" s="579" t="s">
        <v>247</v>
      </c>
      <c r="J132" s="44"/>
      <c r="K132" s="662"/>
      <c r="L132" s="579"/>
      <c r="N132" s="44"/>
      <c r="P132" s="44"/>
      <c r="Q132" s="46"/>
      <c r="S132" s="656" t="s">
        <v>248</v>
      </c>
      <c r="T132" s="657"/>
    </row>
    <row r="133" spans="1:20" x14ac:dyDescent="0.35">
      <c r="A133" s="554"/>
      <c r="B133" s="233">
        <f>B132+1</f>
        <v>144</v>
      </c>
      <c r="C133" s="664"/>
      <c r="H133" s="44"/>
      <c r="I133" s="579"/>
      <c r="J133" s="44"/>
      <c r="P133" s="45" t="b">
        <v>0</v>
      </c>
      <c r="Q133" s="44" t="s">
        <v>249</v>
      </c>
      <c r="S133" s="45" t="b">
        <v>0</v>
      </c>
      <c r="T133" s="72" t="s">
        <v>250</v>
      </c>
    </row>
    <row r="134" spans="1:20" x14ac:dyDescent="0.35">
      <c r="A134" s="554"/>
      <c r="B134" s="233">
        <f>B133+1</f>
        <v>145</v>
      </c>
      <c r="C134" s="664"/>
      <c r="H134" s="44"/>
      <c r="I134" s="44"/>
      <c r="J134" s="44"/>
      <c r="Q134" s="23" t="s">
        <v>135</v>
      </c>
      <c r="S134" s="45" t="b">
        <v>0</v>
      </c>
      <c r="T134" s="72" t="s">
        <v>251</v>
      </c>
    </row>
    <row r="135" spans="1:20" ht="15" thickBot="1" x14ac:dyDescent="0.4">
      <c r="A135" s="555"/>
      <c r="B135" s="233">
        <f>B134+1</f>
        <v>146</v>
      </c>
      <c r="C135" s="665"/>
      <c r="D135" s="67"/>
      <c r="E135" s="67"/>
      <c r="F135" s="67"/>
      <c r="G135" s="67"/>
      <c r="H135" s="74"/>
      <c r="I135" s="74"/>
      <c r="J135" s="74"/>
      <c r="K135" s="67"/>
      <c r="L135" s="67"/>
      <c r="M135" s="67"/>
      <c r="N135" s="67"/>
      <c r="O135" s="67"/>
      <c r="P135" s="67"/>
      <c r="Q135" s="68"/>
      <c r="R135" s="67"/>
      <c r="S135" s="117" t="b">
        <v>0</v>
      </c>
      <c r="T135" s="118" t="s">
        <v>252</v>
      </c>
    </row>
    <row r="136" spans="1:20" ht="15" hidden="1" thickBot="1" x14ac:dyDescent="0.4">
      <c r="C136" s="301"/>
      <c r="D136" s="229"/>
      <c r="E136" s="229"/>
      <c r="F136" s="229"/>
      <c r="G136" s="229"/>
      <c r="H136" s="229"/>
      <c r="I136" s="229"/>
      <c r="J136" s="229"/>
      <c r="K136" s="229"/>
      <c r="L136" s="229"/>
      <c r="M136" s="229"/>
      <c r="N136" s="229"/>
      <c r="O136" s="229"/>
      <c r="P136" s="229"/>
      <c r="Q136" s="229"/>
      <c r="R136" s="229"/>
      <c r="S136" s="229"/>
      <c r="T136" s="302"/>
    </row>
    <row r="137" spans="1:20" ht="3.65" customHeight="1" thickBot="1" x14ac:dyDescent="0.4">
      <c r="C137" s="301"/>
      <c r="D137" s="229"/>
      <c r="E137" s="229"/>
      <c r="F137" s="229"/>
      <c r="G137" s="229"/>
      <c r="H137" s="229"/>
      <c r="I137" s="229"/>
      <c r="J137" s="229"/>
      <c r="K137" s="229"/>
      <c r="L137" s="229"/>
      <c r="M137" s="229"/>
      <c r="N137" s="229"/>
      <c r="O137" s="229"/>
      <c r="P137" s="229"/>
      <c r="Q137" s="229"/>
      <c r="R137" s="229"/>
      <c r="S137" s="229"/>
      <c r="T137" s="302"/>
    </row>
    <row r="138" spans="1:20" ht="15" hidden="1" thickBot="1" x14ac:dyDescent="0.4">
      <c r="C138" s="301"/>
      <c r="D138" s="229"/>
      <c r="E138" s="229"/>
      <c r="F138" s="229"/>
      <c r="G138" s="229"/>
      <c r="H138" s="229"/>
      <c r="I138" s="229"/>
      <c r="J138" s="229"/>
      <c r="K138" s="229"/>
      <c r="L138" s="229"/>
      <c r="M138" s="229"/>
      <c r="N138" s="229"/>
      <c r="O138" s="229"/>
      <c r="P138" s="229"/>
      <c r="Q138" s="229"/>
      <c r="R138" s="229"/>
      <c r="S138" s="229"/>
      <c r="T138" s="302"/>
    </row>
    <row r="139" spans="1:20" ht="16.5" thickBot="1" x14ac:dyDescent="0.4">
      <c r="A139" s="553">
        <f>A130+1</f>
        <v>15</v>
      </c>
      <c r="B139" s="13">
        <f>B130+10</f>
        <v>151</v>
      </c>
      <c r="C139" s="663" t="str">
        <f>VLOOKUP(A139,INputs!$G$3:$O$22,9,FALSE)</f>
        <v>Please fill out Sensitivity Labels Tab</v>
      </c>
      <c r="D139" s="62"/>
      <c r="E139" s="60" t="b">
        <v>0</v>
      </c>
      <c r="F139" s="61" t="s">
        <v>238</v>
      </c>
      <c r="G139" s="62"/>
      <c r="H139" s="658"/>
      <c r="I139" s="658"/>
      <c r="J139" s="63"/>
      <c r="K139" s="77" t="b">
        <v>0</v>
      </c>
      <c r="L139" s="63" t="s">
        <v>239</v>
      </c>
      <c r="M139" s="62"/>
      <c r="N139" s="470" t="s">
        <v>240</v>
      </c>
      <c r="O139" s="62"/>
      <c r="P139" s="659" t="s">
        <v>241</v>
      </c>
      <c r="Q139" s="659"/>
      <c r="R139" s="62"/>
      <c r="S139" s="660" t="s">
        <v>242</v>
      </c>
      <c r="T139" s="661"/>
    </row>
    <row r="140" spans="1:20" ht="16" x14ac:dyDescent="0.35">
      <c r="A140" s="554"/>
      <c r="B140" s="233">
        <f>B139+1</f>
        <v>152</v>
      </c>
      <c r="C140" s="664"/>
      <c r="E140" s="64" t="b">
        <v>0</v>
      </c>
      <c r="F140" s="65" t="s">
        <v>243</v>
      </c>
      <c r="H140" s="44"/>
      <c r="I140" s="573" t="s">
        <v>136</v>
      </c>
      <c r="J140" s="573"/>
      <c r="K140" s="662" t="b">
        <v>0</v>
      </c>
      <c r="L140" s="579" t="s">
        <v>241</v>
      </c>
      <c r="N140" s="40" t="s">
        <v>137</v>
      </c>
      <c r="P140" s="45" t="b">
        <v>0</v>
      </c>
      <c r="Q140" s="44" t="s">
        <v>244</v>
      </c>
      <c r="S140" s="45" t="b">
        <v>0</v>
      </c>
      <c r="T140" s="72" t="s">
        <v>245</v>
      </c>
    </row>
    <row r="141" spans="1:20" ht="16" x14ac:dyDescent="0.35">
      <c r="A141" s="554"/>
      <c r="B141" s="233">
        <f>B140+1</f>
        <v>153</v>
      </c>
      <c r="C141" s="664"/>
      <c r="E141" s="64" t="b">
        <v>0</v>
      </c>
      <c r="F141" s="65" t="s">
        <v>246</v>
      </c>
      <c r="H141" s="45" t="b">
        <v>0</v>
      </c>
      <c r="I141" s="579" t="s">
        <v>247</v>
      </c>
      <c r="J141" s="44"/>
      <c r="K141" s="662"/>
      <c r="L141" s="579"/>
      <c r="N141" s="44"/>
      <c r="P141" s="44"/>
      <c r="Q141" s="46"/>
      <c r="S141" s="656" t="s">
        <v>248</v>
      </c>
      <c r="T141" s="657"/>
    </row>
    <row r="142" spans="1:20" x14ac:dyDescent="0.35">
      <c r="A142" s="554"/>
      <c r="B142" s="233">
        <f>B141+1</f>
        <v>154</v>
      </c>
      <c r="C142" s="664"/>
      <c r="H142" s="44"/>
      <c r="I142" s="579"/>
      <c r="J142" s="44"/>
      <c r="P142" s="45" t="b">
        <v>0</v>
      </c>
      <c r="Q142" s="44" t="s">
        <v>249</v>
      </c>
      <c r="S142" s="45" t="b">
        <v>0</v>
      </c>
      <c r="T142" s="72" t="s">
        <v>250</v>
      </c>
    </row>
    <row r="143" spans="1:20" x14ac:dyDescent="0.35">
      <c r="A143" s="554"/>
      <c r="B143" s="233">
        <f>B142+1</f>
        <v>155</v>
      </c>
      <c r="C143" s="664"/>
      <c r="H143" s="44"/>
      <c r="I143" s="44"/>
      <c r="J143" s="44"/>
      <c r="Q143" s="23" t="s">
        <v>135</v>
      </c>
      <c r="S143" s="45" t="b">
        <v>0</v>
      </c>
      <c r="T143" s="72" t="s">
        <v>251</v>
      </c>
    </row>
    <row r="144" spans="1:20" ht="15" thickBot="1" x14ac:dyDescent="0.4">
      <c r="A144" s="555"/>
      <c r="B144" s="233">
        <f>B143+1</f>
        <v>156</v>
      </c>
      <c r="C144" s="665"/>
      <c r="D144" s="67"/>
      <c r="E144" s="67"/>
      <c r="F144" s="67"/>
      <c r="G144" s="67"/>
      <c r="H144" s="74"/>
      <c r="I144" s="74"/>
      <c r="J144" s="74"/>
      <c r="K144" s="67"/>
      <c r="L144" s="67"/>
      <c r="M144" s="67"/>
      <c r="N144" s="67"/>
      <c r="O144" s="67"/>
      <c r="P144" s="67"/>
      <c r="Q144" s="68"/>
      <c r="R144" s="67"/>
      <c r="S144" s="117" t="b">
        <v>0</v>
      </c>
      <c r="T144" s="118" t="s">
        <v>252</v>
      </c>
    </row>
    <row r="145" spans="1:20" ht="15" hidden="1" thickBot="1" x14ac:dyDescent="0.4">
      <c r="C145" s="301"/>
      <c r="D145" s="229"/>
      <c r="E145" s="229"/>
      <c r="F145" s="229"/>
      <c r="G145" s="229"/>
      <c r="H145" s="229"/>
      <c r="I145" s="229"/>
      <c r="J145" s="229"/>
      <c r="K145" s="229"/>
      <c r="L145" s="229"/>
      <c r="M145" s="229"/>
      <c r="N145" s="229"/>
      <c r="O145" s="229"/>
      <c r="P145" s="229"/>
      <c r="Q145" s="229"/>
      <c r="R145" s="229"/>
      <c r="S145" s="229"/>
      <c r="T145" s="302"/>
    </row>
    <row r="146" spans="1:20" ht="3.65" customHeight="1" thickBot="1" x14ac:dyDescent="0.4">
      <c r="C146" s="301"/>
      <c r="D146" s="229"/>
      <c r="E146" s="229"/>
      <c r="F146" s="229"/>
      <c r="G146" s="229"/>
      <c r="H146" s="229"/>
      <c r="I146" s="229"/>
      <c r="J146" s="229"/>
      <c r="K146" s="229"/>
      <c r="L146" s="229"/>
      <c r="M146" s="229"/>
      <c r="N146" s="229"/>
      <c r="O146" s="229"/>
      <c r="P146" s="229"/>
      <c r="Q146" s="229"/>
      <c r="R146" s="229"/>
      <c r="S146" s="229"/>
      <c r="T146" s="302"/>
    </row>
    <row r="147" spans="1:20" ht="15" hidden="1" thickBot="1" x14ac:dyDescent="0.4">
      <c r="C147" s="301"/>
      <c r="D147" s="229"/>
      <c r="E147" s="229"/>
      <c r="F147" s="229"/>
      <c r="G147" s="229"/>
      <c r="H147" s="229"/>
      <c r="I147" s="229"/>
      <c r="J147" s="229"/>
      <c r="K147" s="229"/>
      <c r="L147" s="229"/>
      <c r="M147" s="229"/>
      <c r="N147" s="229"/>
      <c r="O147" s="229"/>
      <c r="P147" s="229"/>
      <c r="Q147" s="229"/>
      <c r="R147" s="229"/>
      <c r="S147" s="229"/>
      <c r="T147" s="302"/>
    </row>
    <row r="148" spans="1:20" ht="16.5" thickBot="1" x14ac:dyDescent="0.4">
      <c r="A148" s="553">
        <f>A139+1</f>
        <v>16</v>
      </c>
      <c r="B148" s="13">
        <f>B139+10</f>
        <v>161</v>
      </c>
      <c r="C148" s="663" t="str">
        <f>VLOOKUP(A148,INputs!$G$3:$O$22,9,FALSE)</f>
        <v>Please fill out Sensitivity Labels Tab</v>
      </c>
      <c r="D148" s="62"/>
      <c r="E148" s="60" t="b">
        <v>0</v>
      </c>
      <c r="F148" s="61" t="s">
        <v>238</v>
      </c>
      <c r="G148" s="62"/>
      <c r="H148" s="658"/>
      <c r="I148" s="658"/>
      <c r="J148" s="63"/>
      <c r="K148" s="77" t="b">
        <v>0</v>
      </c>
      <c r="L148" s="63" t="s">
        <v>239</v>
      </c>
      <c r="M148" s="62"/>
      <c r="N148" s="470" t="s">
        <v>240</v>
      </c>
      <c r="O148" s="62"/>
      <c r="P148" s="659" t="s">
        <v>241</v>
      </c>
      <c r="Q148" s="659"/>
      <c r="R148" s="62"/>
      <c r="S148" s="660" t="s">
        <v>242</v>
      </c>
      <c r="T148" s="661"/>
    </row>
    <row r="149" spans="1:20" ht="16" x14ac:dyDescent="0.35">
      <c r="A149" s="554"/>
      <c r="B149" s="233">
        <f>B148+1</f>
        <v>162</v>
      </c>
      <c r="C149" s="664"/>
      <c r="E149" s="64" t="b">
        <v>0</v>
      </c>
      <c r="F149" s="65" t="s">
        <v>243</v>
      </c>
      <c r="H149" s="44"/>
      <c r="I149" s="573" t="s">
        <v>136</v>
      </c>
      <c r="J149" s="573"/>
      <c r="K149" s="662" t="b">
        <v>0</v>
      </c>
      <c r="L149" s="579" t="s">
        <v>241</v>
      </c>
      <c r="N149" s="40" t="s">
        <v>137</v>
      </c>
      <c r="P149" s="45" t="b">
        <v>0</v>
      </c>
      <c r="Q149" s="44" t="s">
        <v>244</v>
      </c>
      <c r="S149" s="45" t="b">
        <v>0</v>
      </c>
      <c r="T149" s="72" t="s">
        <v>245</v>
      </c>
    </row>
    <row r="150" spans="1:20" ht="16" x14ac:dyDescent="0.35">
      <c r="A150" s="554"/>
      <c r="B150" s="233">
        <f>B149+1</f>
        <v>163</v>
      </c>
      <c r="C150" s="664"/>
      <c r="E150" s="64" t="b">
        <v>0</v>
      </c>
      <c r="F150" s="65" t="s">
        <v>246</v>
      </c>
      <c r="H150" s="45" t="b">
        <v>0</v>
      </c>
      <c r="I150" s="579" t="s">
        <v>247</v>
      </c>
      <c r="J150" s="44"/>
      <c r="K150" s="662"/>
      <c r="L150" s="579"/>
      <c r="N150" s="44" t="s">
        <v>20</v>
      </c>
      <c r="P150" s="44"/>
      <c r="Q150" s="46"/>
      <c r="S150" s="656" t="s">
        <v>248</v>
      </c>
      <c r="T150" s="657"/>
    </row>
    <row r="151" spans="1:20" x14ac:dyDescent="0.35">
      <c r="A151" s="554"/>
      <c r="B151" s="233">
        <f>B150+1</f>
        <v>164</v>
      </c>
      <c r="C151" s="664"/>
      <c r="H151" s="44"/>
      <c r="I151" s="579"/>
      <c r="J151" s="44"/>
      <c r="P151" s="45" t="b">
        <v>0</v>
      </c>
      <c r="Q151" s="44" t="s">
        <v>249</v>
      </c>
      <c r="S151" s="45" t="b">
        <v>0</v>
      </c>
      <c r="T151" s="72" t="s">
        <v>250</v>
      </c>
    </row>
    <row r="152" spans="1:20" x14ac:dyDescent="0.35">
      <c r="A152" s="554"/>
      <c r="B152" s="233">
        <f>B151+1</f>
        <v>165</v>
      </c>
      <c r="C152" s="664"/>
      <c r="H152" s="44"/>
      <c r="I152" s="44"/>
      <c r="J152" s="44"/>
      <c r="Q152" s="23" t="s">
        <v>135</v>
      </c>
      <c r="S152" s="45" t="b">
        <v>0</v>
      </c>
      <c r="T152" s="72" t="s">
        <v>251</v>
      </c>
    </row>
    <row r="153" spans="1:20" ht="15" thickBot="1" x14ac:dyDescent="0.4">
      <c r="A153" s="555"/>
      <c r="B153" s="233">
        <f>B152+1</f>
        <v>166</v>
      </c>
      <c r="C153" s="665"/>
      <c r="D153" s="67"/>
      <c r="E153" s="67"/>
      <c r="F153" s="67"/>
      <c r="G153" s="67"/>
      <c r="H153" s="74"/>
      <c r="I153" s="74"/>
      <c r="J153" s="74"/>
      <c r="K153" s="67"/>
      <c r="L153" s="67"/>
      <c r="M153" s="67"/>
      <c r="N153" s="67"/>
      <c r="O153" s="67"/>
      <c r="P153" s="67"/>
      <c r="Q153" s="68"/>
      <c r="R153" s="67"/>
      <c r="S153" s="117" t="b">
        <v>0</v>
      </c>
      <c r="T153" s="118" t="s">
        <v>252</v>
      </c>
    </row>
    <row r="154" spans="1:20" ht="15" hidden="1" thickBot="1" x14ac:dyDescent="0.4">
      <c r="C154" s="301"/>
      <c r="D154" s="229"/>
      <c r="E154" s="229"/>
      <c r="F154" s="229"/>
      <c r="G154" s="229"/>
      <c r="H154" s="229"/>
      <c r="I154" s="229"/>
      <c r="J154" s="229"/>
      <c r="K154" s="229"/>
      <c r="L154" s="229"/>
      <c r="M154" s="229"/>
      <c r="N154" s="229"/>
      <c r="O154" s="229"/>
      <c r="P154" s="229"/>
      <c r="Q154" s="229"/>
      <c r="R154" s="229"/>
      <c r="S154" s="229"/>
      <c r="T154" s="302"/>
    </row>
    <row r="155" spans="1:20" ht="3.65" customHeight="1" thickBot="1" x14ac:dyDescent="0.4">
      <c r="C155" s="301"/>
      <c r="D155" s="229"/>
      <c r="E155" s="229"/>
      <c r="F155" s="229"/>
      <c r="G155" s="229"/>
      <c r="H155" s="229"/>
      <c r="I155" s="229"/>
      <c r="J155" s="229"/>
      <c r="K155" s="229"/>
      <c r="L155" s="229"/>
      <c r="M155" s="229"/>
      <c r="N155" s="229"/>
      <c r="O155" s="229"/>
      <c r="P155" s="229"/>
      <c r="Q155" s="229"/>
      <c r="R155" s="229"/>
      <c r="S155" s="229"/>
      <c r="T155" s="302"/>
    </row>
    <row r="156" spans="1:20" ht="15" hidden="1" thickBot="1" x14ac:dyDescent="0.4">
      <c r="C156" s="301"/>
      <c r="D156" s="229"/>
      <c r="E156" s="229"/>
      <c r="F156" s="229"/>
      <c r="G156" s="229"/>
      <c r="H156" s="229"/>
      <c r="I156" s="229"/>
      <c r="J156" s="229"/>
      <c r="K156" s="229"/>
      <c r="L156" s="229"/>
      <c r="M156" s="229"/>
      <c r="N156" s="229"/>
      <c r="O156" s="229"/>
      <c r="P156" s="229"/>
      <c r="Q156" s="229"/>
      <c r="R156" s="229"/>
      <c r="S156" s="229"/>
      <c r="T156" s="302"/>
    </row>
    <row r="157" spans="1:20" ht="16.5" thickBot="1" x14ac:dyDescent="0.4">
      <c r="A157" s="553">
        <f>A148+1</f>
        <v>17</v>
      </c>
      <c r="B157" s="13">
        <f>B148+10</f>
        <v>171</v>
      </c>
      <c r="C157" s="663" t="str">
        <f>VLOOKUP(A157,INputs!$G$3:$O$22,9,FALSE)</f>
        <v>Please fill out Sensitivity Labels Tab</v>
      </c>
      <c r="D157" s="62"/>
      <c r="E157" s="60" t="b">
        <v>0</v>
      </c>
      <c r="F157" s="61" t="s">
        <v>238</v>
      </c>
      <c r="G157" s="62"/>
      <c r="H157" s="658"/>
      <c r="I157" s="658"/>
      <c r="J157" s="63"/>
      <c r="K157" s="77" t="b">
        <v>0</v>
      </c>
      <c r="L157" s="63" t="s">
        <v>239</v>
      </c>
      <c r="M157" s="62"/>
      <c r="N157" s="470" t="s">
        <v>240</v>
      </c>
      <c r="O157" s="62"/>
      <c r="P157" s="659" t="s">
        <v>241</v>
      </c>
      <c r="Q157" s="659"/>
      <c r="R157" s="62"/>
      <c r="S157" s="660" t="s">
        <v>242</v>
      </c>
      <c r="T157" s="661"/>
    </row>
    <row r="158" spans="1:20" ht="16" x14ac:dyDescent="0.35">
      <c r="A158" s="554"/>
      <c r="B158" s="233">
        <f>B157+1</f>
        <v>172</v>
      </c>
      <c r="C158" s="664"/>
      <c r="E158" s="64" t="b">
        <v>0</v>
      </c>
      <c r="F158" s="65" t="s">
        <v>243</v>
      </c>
      <c r="H158" s="44"/>
      <c r="I158" s="573" t="s">
        <v>136</v>
      </c>
      <c r="J158" s="573"/>
      <c r="K158" s="662" t="b">
        <v>0</v>
      </c>
      <c r="L158" s="579" t="s">
        <v>241</v>
      </c>
      <c r="N158" s="40" t="s">
        <v>137</v>
      </c>
      <c r="P158" s="45" t="b">
        <v>0</v>
      </c>
      <c r="Q158" s="44" t="s">
        <v>244</v>
      </c>
      <c r="S158" s="45" t="b">
        <v>0</v>
      </c>
      <c r="T158" s="72" t="s">
        <v>245</v>
      </c>
    </row>
    <row r="159" spans="1:20" ht="16" x14ac:dyDescent="0.35">
      <c r="A159" s="554"/>
      <c r="B159" s="233">
        <f>B158+1</f>
        <v>173</v>
      </c>
      <c r="C159" s="664"/>
      <c r="E159" s="64" t="b">
        <v>0</v>
      </c>
      <c r="F159" s="65" t="s">
        <v>246</v>
      </c>
      <c r="H159" s="45" t="b">
        <v>0</v>
      </c>
      <c r="I159" s="579" t="s">
        <v>247</v>
      </c>
      <c r="J159" s="44"/>
      <c r="K159" s="662"/>
      <c r="L159" s="579"/>
      <c r="N159" s="44"/>
      <c r="P159" s="44"/>
      <c r="Q159" s="46"/>
      <c r="S159" s="656" t="s">
        <v>248</v>
      </c>
      <c r="T159" s="657"/>
    </row>
    <row r="160" spans="1:20" x14ac:dyDescent="0.35">
      <c r="A160" s="554"/>
      <c r="B160" s="233">
        <f>B159+1</f>
        <v>174</v>
      </c>
      <c r="C160" s="664"/>
      <c r="H160" s="44"/>
      <c r="I160" s="579"/>
      <c r="J160" s="44"/>
      <c r="P160" s="45" t="b">
        <v>0</v>
      </c>
      <c r="Q160" s="44" t="s">
        <v>249</v>
      </c>
      <c r="S160" s="45" t="b">
        <v>0</v>
      </c>
      <c r="T160" s="72" t="s">
        <v>250</v>
      </c>
    </row>
    <row r="161" spans="1:20" x14ac:dyDescent="0.35">
      <c r="A161" s="554"/>
      <c r="B161" s="233">
        <f>B160+1</f>
        <v>175</v>
      </c>
      <c r="C161" s="664"/>
      <c r="H161" s="44"/>
      <c r="I161" s="44"/>
      <c r="J161" s="44"/>
      <c r="Q161" s="23" t="s">
        <v>135</v>
      </c>
      <c r="S161" s="45" t="b">
        <v>0</v>
      </c>
      <c r="T161" s="72" t="s">
        <v>251</v>
      </c>
    </row>
    <row r="162" spans="1:20" ht="15" thickBot="1" x14ac:dyDescent="0.4">
      <c r="A162" s="555"/>
      <c r="B162" s="233">
        <f>B161+1</f>
        <v>176</v>
      </c>
      <c r="C162" s="665"/>
      <c r="D162" s="67"/>
      <c r="E162" s="67"/>
      <c r="F162" s="67"/>
      <c r="G162" s="67"/>
      <c r="H162" s="74"/>
      <c r="I162" s="74"/>
      <c r="J162" s="74"/>
      <c r="K162" s="67"/>
      <c r="L162" s="67"/>
      <c r="M162" s="67"/>
      <c r="N162" s="67"/>
      <c r="O162" s="67"/>
      <c r="P162" s="67"/>
      <c r="Q162" s="68"/>
      <c r="R162" s="67"/>
      <c r="S162" s="117" t="b">
        <v>0</v>
      </c>
      <c r="T162" s="118" t="s">
        <v>252</v>
      </c>
    </row>
    <row r="163" spans="1:20" ht="15" hidden="1" thickBot="1" x14ac:dyDescent="0.4">
      <c r="C163" s="301"/>
      <c r="D163" s="229"/>
      <c r="E163" s="229"/>
      <c r="F163" s="229"/>
      <c r="G163" s="229"/>
      <c r="H163" s="229"/>
      <c r="I163" s="229"/>
      <c r="J163" s="229"/>
      <c r="K163" s="229"/>
      <c r="L163" s="229"/>
      <c r="M163" s="229"/>
      <c r="N163" s="229"/>
      <c r="O163" s="229"/>
      <c r="P163" s="229"/>
      <c r="Q163" s="229"/>
      <c r="R163" s="229"/>
      <c r="S163" s="229"/>
      <c r="T163" s="302"/>
    </row>
    <row r="164" spans="1:20" ht="3.65" customHeight="1" thickBot="1" x14ac:dyDescent="0.4">
      <c r="C164" s="301"/>
      <c r="D164" s="229"/>
      <c r="E164" s="229"/>
      <c r="F164" s="229"/>
      <c r="G164" s="229"/>
      <c r="H164" s="229"/>
      <c r="I164" s="229"/>
      <c r="J164" s="229"/>
      <c r="K164" s="229"/>
      <c r="L164" s="229"/>
      <c r="M164" s="229"/>
      <c r="N164" s="229"/>
      <c r="O164" s="229"/>
      <c r="P164" s="229"/>
      <c r="Q164" s="229"/>
      <c r="R164" s="229"/>
      <c r="S164" s="229"/>
      <c r="T164" s="302"/>
    </row>
    <row r="165" spans="1:20" ht="15" hidden="1" thickBot="1" x14ac:dyDescent="0.4">
      <c r="C165" s="301"/>
      <c r="D165" s="229"/>
      <c r="E165" s="229"/>
      <c r="F165" s="229"/>
      <c r="G165" s="229"/>
      <c r="H165" s="229"/>
      <c r="I165" s="229"/>
      <c r="J165" s="229"/>
      <c r="K165" s="229"/>
      <c r="L165" s="229"/>
      <c r="M165" s="229"/>
      <c r="N165" s="229"/>
      <c r="O165" s="229"/>
      <c r="P165" s="229"/>
      <c r="Q165" s="229"/>
      <c r="R165" s="229"/>
      <c r="S165" s="229"/>
      <c r="T165" s="302"/>
    </row>
    <row r="166" spans="1:20" ht="16.5" thickBot="1" x14ac:dyDescent="0.4">
      <c r="A166" s="553">
        <f>A157+1</f>
        <v>18</v>
      </c>
      <c r="B166" s="13">
        <f>B157+10</f>
        <v>181</v>
      </c>
      <c r="C166" s="663" t="str">
        <f>VLOOKUP(A166,INputs!$G$3:$O$22,9,FALSE)</f>
        <v>Please fill out Sensitivity Labels Tab</v>
      </c>
      <c r="D166" s="62"/>
      <c r="E166" s="60" t="b">
        <v>0</v>
      </c>
      <c r="F166" s="61" t="s">
        <v>238</v>
      </c>
      <c r="G166" s="62"/>
      <c r="H166" s="658"/>
      <c r="I166" s="658"/>
      <c r="J166" s="63"/>
      <c r="K166" s="77" t="b">
        <v>0</v>
      </c>
      <c r="L166" s="63" t="s">
        <v>239</v>
      </c>
      <c r="M166" s="62"/>
      <c r="N166" s="470" t="s">
        <v>240</v>
      </c>
      <c r="O166" s="62"/>
      <c r="P166" s="659" t="s">
        <v>241</v>
      </c>
      <c r="Q166" s="659"/>
      <c r="R166" s="62"/>
      <c r="S166" s="660" t="s">
        <v>242</v>
      </c>
      <c r="T166" s="661"/>
    </row>
    <row r="167" spans="1:20" ht="16" x14ac:dyDescent="0.35">
      <c r="A167" s="554"/>
      <c r="B167" s="233">
        <f>B166+1</f>
        <v>182</v>
      </c>
      <c r="C167" s="664"/>
      <c r="E167" s="64" t="b">
        <v>0</v>
      </c>
      <c r="F167" s="65" t="s">
        <v>243</v>
      </c>
      <c r="H167" s="44"/>
      <c r="I167" s="573" t="s">
        <v>136</v>
      </c>
      <c r="J167" s="573"/>
      <c r="K167" s="662" t="b">
        <v>0</v>
      </c>
      <c r="L167" s="579" t="s">
        <v>241</v>
      </c>
      <c r="N167" s="40" t="s">
        <v>137</v>
      </c>
      <c r="P167" s="45" t="b">
        <v>0</v>
      </c>
      <c r="Q167" s="44" t="s">
        <v>244</v>
      </c>
      <c r="S167" s="45" t="b">
        <v>0</v>
      </c>
      <c r="T167" s="72" t="s">
        <v>245</v>
      </c>
    </row>
    <row r="168" spans="1:20" ht="16" x14ac:dyDescent="0.35">
      <c r="A168" s="554"/>
      <c r="B168" s="233">
        <f>B167+1</f>
        <v>183</v>
      </c>
      <c r="C168" s="664"/>
      <c r="E168" s="64" t="b">
        <v>0</v>
      </c>
      <c r="F168" s="65" t="s">
        <v>246</v>
      </c>
      <c r="H168" s="45" t="b">
        <v>0</v>
      </c>
      <c r="I168" s="579" t="s">
        <v>247</v>
      </c>
      <c r="J168" s="44"/>
      <c r="K168" s="662"/>
      <c r="L168" s="579"/>
      <c r="N168" s="44"/>
      <c r="P168" s="44"/>
      <c r="Q168" s="46"/>
      <c r="S168" s="656" t="s">
        <v>248</v>
      </c>
      <c r="T168" s="657"/>
    </row>
    <row r="169" spans="1:20" x14ac:dyDescent="0.35">
      <c r="A169" s="554"/>
      <c r="B169" s="233">
        <f>B168+1</f>
        <v>184</v>
      </c>
      <c r="C169" s="664"/>
      <c r="H169" s="44"/>
      <c r="I169" s="579"/>
      <c r="J169" s="44"/>
      <c r="P169" s="45" t="b">
        <v>0</v>
      </c>
      <c r="Q169" s="44" t="s">
        <v>249</v>
      </c>
      <c r="S169" s="45" t="b">
        <v>0</v>
      </c>
      <c r="T169" s="72" t="s">
        <v>250</v>
      </c>
    </row>
    <row r="170" spans="1:20" x14ac:dyDescent="0.35">
      <c r="A170" s="554"/>
      <c r="B170" s="233">
        <f>B169+1</f>
        <v>185</v>
      </c>
      <c r="C170" s="664"/>
      <c r="H170" s="44"/>
      <c r="I170" s="44"/>
      <c r="J170" s="44"/>
      <c r="Q170" s="23" t="s">
        <v>135</v>
      </c>
      <c r="S170" s="45" t="b">
        <v>0</v>
      </c>
      <c r="T170" s="72" t="s">
        <v>251</v>
      </c>
    </row>
    <row r="171" spans="1:20" ht="15" thickBot="1" x14ac:dyDescent="0.4">
      <c r="A171" s="555"/>
      <c r="B171" s="233">
        <f>B170+1</f>
        <v>186</v>
      </c>
      <c r="C171" s="665"/>
      <c r="D171" s="67"/>
      <c r="E171" s="67"/>
      <c r="F171" s="67"/>
      <c r="G171" s="67"/>
      <c r="H171" s="74"/>
      <c r="I171" s="74"/>
      <c r="J171" s="74"/>
      <c r="K171" s="67"/>
      <c r="L171" s="67"/>
      <c r="M171" s="67"/>
      <c r="N171" s="67"/>
      <c r="O171" s="67"/>
      <c r="P171" s="67"/>
      <c r="Q171" s="68"/>
      <c r="R171" s="67"/>
      <c r="S171" s="117" t="b">
        <v>0</v>
      </c>
      <c r="T171" s="118" t="s">
        <v>252</v>
      </c>
    </row>
    <row r="172" spans="1:20" ht="15" hidden="1" thickBot="1" x14ac:dyDescent="0.4">
      <c r="C172" s="301"/>
      <c r="D172" s="229"/>
      <c r="E172" s="229"/>
      <c r="F172" s="229"/>
      <c r="G172" s="229"/>
      <c r="H172" s="229"/>
      <c r="I172" s="229"/>
      <c r="J172" s="229"/>
      <c r="K172" s="229"/>
      <c r="L172" s="229"/>
      <c r="M172" s="229"/>
      <c r="N172" s="229"/>
      <c r="O172" s="229"/>
      <c r="P172" s="229"/>
      <c r="Q172" s="229"/>
      <c r="R172" s="229"/>
      <c r="S172" s="229"/>
      <c r="T172" s="302"/>
    </row>
    <row r="173" spans="1:20" ht="3.65" customHeight="1" thickBot="1" x14ac:dyDescent="0.4">
      <c r="C173" s="301"/>
      <c r="D173" s="229"/>
      <c r="E173" s="229"/>
      <c r="F173" s="229"/>
      <c r="G173" s="229"/>
      <c r="H173" s="229"/>
      <c r="I173" s="229"/>
      <c r="J173" s="229"/>
      <c r="K173" s="229"/>
      <c r="L173" s="229"/>
      <c r="M173" s="229"/>
      <c r="N173" s="229"/>
      <c r="O173" s="229"/>
      <c r="P173" s="229"/>
      <c r="Q173" s="229"/>
      <c r="R173" s="229"/>
      <c r="S173" s="229"/>
      <c r="T173" s="302"/>
    </row>
    <row r="174" spans="1:20" ht="15" hidden="1" thickBot="1" x14ac:dyDescent="0.4">
      <c r="C174" s="301"/>
      <c r="D174" s="229"/>
      <c r="E174" s="229"/>
      <c r="F174" s="229"/>
      <c r="G174" s="229"/>
      <c r="H174" s="229"/>
      <c r="I174" s="229"/>
      <c r="J174" s="229"/>
      <c r="K174" s="229"/>
      <c r="L174" s="229"/>
      <c r="M174" s="229"/>
      <c r="N174" s="229"/>
      <c r="O174" s="229"/>
      <c r="P174" s="229"/>
      <c r="Q174" s="229"/>
      <c r="R174" s="229"/>
      <c r="S174" s="229"/>
      <c r="T174" s="302"/>
    </row>
    <row r="175" spans="1:20" ht="16.5" thickBot="1" x14ac:dyDescent="0.4">
      <c r="A175" s="553">
        <f>A166+1</f>
        <v>19</v>
      </c>
      <c r="B175" s="13">
        <f>B166+10</f>
        <v>191</v>
      </c>
      <c r="C175" s="663" t="str">
        <f>VLOOKUP(A175,INputs!$G$3:$O$22,9,FALSE)</f>
        <v>Please fill out Sensitivity Labels Tab</v>
      </c>
      <c r="D175" s="62"/>
      <c r="E175" s="60" t="b">
        <v>0</v>
      </c>
      <c r="F175" s="61" t="s">
        <v>238</v>
      </c>
      <c r="G175" s="62"/>
      <c r="H175" s="658"/>
      <c r="I175" s="658"/>
      <c r="J175" s="63"/>
      <c r="K175" s="77" t="b">
        <v>0</v>
      </c>
      <c r="L175" s="63" t="s">
        <v>239</v>
      </c>
      <c r="M175" s="62"/>
      <c r="N175" s="470" t="s">
        <v>240</v>
      </c>
      <c r="O175" s="62"/>
      <c r="P175" s="659" t="s">
        <v>241</v>
      </c>
      <c r="Q175" s="659"/>
      <c r="R175" s="62"/>
      <c r="S175" s="660" t="s">
        <v>242</v>
      </c>
      <c r="T175" s="661"/>
    </row>
    <row r="176" spans="1:20" ht="16" x14ac:dyDescent="0.35">
      <c r="A176" s="554"/>
      <c r="B176" s="233">
        <f>B175+1</f>
        <v>192</v>
      </c>
      <c r="C176" s="664"/>
      <c r="E176" s="64" t="b">
        <v>0</v>
      </c>
      <c r="F176" s="65" t="s">
        <v>243</v>
      </c>
      <c r="H176" s="44"/>
      <c r="I176" s="573" t="s">
        <v>136</v>
      </c>
      <c r="J176" s="573"/>
      <c r="K176" s="662" t="b">
        <v>0</v>
      </c>
      <c r="L176" s="579" t="s">
        <v>241</v>
      </c>
      <c r="N176" s="40" t="s">
        <v>137</v>
      </c>
      <c r="P176" s="45" t="b">
        <v>0</v>
      </c>
      <c r="Q176" s="44" t="s">
        <v>244</v>
      </c>
      <c r="S176" s="45" t="b">
        <v>0</v>
      </c>
      <c r="T176" s="72" t="s">
        <v>245</v>
      </c>
    </row>
    <row r="177" spans="1:20" ht="16" x14ac:dyDescent="0.35">
      <c r="A177" s="554"/>
      <c r="B177" s="233">
        <f>B176+1</f>
        <v>193</v>
      </c>
      <c r="C177" s="664"/>
      <c r="E177" s="64" t="b">
        <v>0</v>
      </c>
      <c r="F177" s="65" t="s">
        <v>246</v>
      </c>
      <c r="H177" s="45" t="b">
        <v>0</v>
      </c>
      <c r="I177" s="579" t="s">
        <v>247</v>
      </c>
      <c r="J177" s="44"/>
      <c r="K177" s="662"/>
      <c r="L177" s="579"/>
      <c r="N177" s="44"/>
      <c r="P177" s="44"/>
      <c r="Q177" s="46"/>
      <c r="S177" s="656" t="s">
        <v>248</v>
      </c>
      <c r="T177" s="657"/>
    </row>
    <row r="178" spans="1:20" x14ac:dyDescent="0.35">
      <c r="A178" s="554"/>
      <c r="B178" s="233">
        <f>B177+1</f>
        <v>194</v>
      </c>
      <c r="C178" s="664"/>
      <c r="H178" s="44"/>
      <c r="I178" s="579"/>
      <c r="J178" s="44"/>
      <c r="P178" s="45" t="b">
        <v>0</v>
      </c>
      <c r="Q178" s="44" t="s">
        <v>249</v>
      </c>
      <c r="S178" s="45" t="b">
        <v>0</v>
      </c>
      <c r="T178" s="72" t="s">
        <v>250</v>
      </c>
    </row>
    <row r="179" spans="1:20" x14ac:dyDescent="0.35">
      <c r="A179" s="554"/>
      <c r="B179" s="233">
        <f>B178+1</f>
        <v>195</v>
      </c>
      <c r="C179" s="664"/>
      <c r="H179" s="44"/>
      <c r="I179" s="44"/>
      <c r="J179" s="44"/>
      <c r="Q179" s="23" t="s">
        <v>135</v>
      </c>
      <c r="S179" s="45" t="b">
        <v>0</v>
      </c>
      <c r="T179" s="72" t="s">
        <v>251</v>
      </c>
    </row>
    <row r="180" spans="1:20" ht="15" thickBot="1" x14ac:dyDescent="0.4">
      <c r="A180" s="555"/>
      <c r="B180" s="233">
        <f>B179+1</f>
        <v>196</v>
      </c>
      <c r="C180" s="665"/>
      <c r="D180" s="67"/>
      <c r="E180" s="67"/>
      <c r="F180" s="67"/>
      <c r="G180" s="67"/>
      <c r="H180" s="74"/>
      <c r="I180" s="74"/>
      <c r="J180" s="74"/>
      <c r="K180" s="67"/>
      <c r="L180" s="67"/>
      <c r="M180" s="67"/>
      <c r="N180" s="67"/>
      <c r="O180" s="67"/>
      <c r="P180" s="67"/>
      <c r="Q180" s="68"/>
      <c r="R180" s="67"/>
      <c r="S180" s="117" t="b">
        <v>0</v>
      </c>
      <c r="T180" s="118" t="s">
        <v>252</v>
      </c>
    </row>
    <row r="181" spans="1:20" ht="15" hidden="1" thickBot="1" x14ac:dyDescent="0.4">
      <c r="C181" s="301"/>
      <c r="D181" s="229"/>
      <c r="E181" s="229"/>
      <c r="F181" s="229"/>
      <c r="G181" s="229"/>
      <c r="H181" s="229"/>
      <c r="I181" s="229"/>
      <c r="J181" s="229"/>
      <c r="K181" s="229"/>
      <c r="L181" s="229"/>
      <c r="M181" s="229"/>
      <c r="N181" s="229"/>
      <c r="O181" s="229"/>
      <c r="P181" s="229"/>
      <c r="Q181" s="229"/>
      <c r="R181" s="229"/>
      <c r="S181" s="229"/>
      <c r="T181" s="302"/>
    </row>
    <row r="182" spans="1:20" ht="3.65" customHeight="1" thickBot="1" x14ac:dyDescent="0.4">
      <c r="C182" s="301"/>
      <c r="D182" s="229"/>
      <c r="E182" s="229"/>
      <c r="F182" s="229"/>
      <c r="G182" s="229"/>
      <c r="H182" s="229"/>
      <c r="I182" s="229"/>
      <c r="J182" s="229"/>
      <c r="K182" s="229"/>
      <c r="L182" s="229"/>
      <c r="M182" s="229"/>
      <c r="N182" s="229"/>
      <c r="O182" s="229"/>
      <c r="P182" s="229"/>
      <c r="Q182" s="229"/>
      <c r="R182" s="229"/>
      <c r="S182" s="229"/>
      <c r="T182" s="302"/>
    </row>
    <row r="183" spans="1:20" ht="15" hidden="1" thickBot="1" x14ac:dyDescent="0.4">
      <c r="C183" s="301"/>
      <c r="D183" s="229"/>
      <c r="E183" s="229"/>
      <c r="F183" s="229"/>
      <c r="G183" s="229"/>
      <c r="H183" s="229"/>
      <c r="I183" s="229"/>
      <c r="J183" s="229"/>
      <c r="K183" s="229"/>
      <c r="L183" s="229"/>
      <c r="M183" s="229"/>
      <c r="N183" s="229"/>
      <c r="O183" s="229"/>
      <c r="P183" s="229"/>
      <c r="Q183" s="229"/>
      <c r="R183" s="229"/>
      <c r="S183" s="229"/>
      <c r="T183" s="302"/>
    </row>
    <row r="184" spans="1:20" ht="16.5" customHeight="1" thickBot="1" x14ac:dyDescent="0.4">
      <c r="A184" s="553">
        <f>A175+1</f>
        <v>20</v>
      </c>
      <c r="B184" s="13">
        <f>B175+10</f>
        <v>201</v>
      </c>
      <c r="C184" s="663" t="str">
        <f>VLOOKUP(A184,INputs!$G$3:$O$22,9,FALSE)</f>
        <v>Please fill out Sensitivity Labels Tab</v>
      </c>
      <c r="D184" s="62"/>
      <c r="E184" s="60" t="b">
        <v>0</v>
      </c>
      <c r="F184" s="61" t="s">
        <v>238</v>
      </c>
      <c r="G184" s="62"/>
      <c r="H184" s="658"/>
      <c r="I184" s="658"/>
      <c r="J184" s="63"/>
      <c r="K184" s="77" t="b">
        <v>0</v>
      </c>
      <c r="L184" s="63" t="s">
        <v>239</v>
      </c>
      <c r="M184" s="62"/>
      <c r="N184" s="470" t="s">
        <v>240</v>
      </c>
      <c r="O184" s="62"/>
      <c r="P184" s="659" t="s">
        <v>241</v>
      </c>
      <c r="Q184" s="659"/>
      <c r="R184" s="62"/>
      <c r="S184" s="660" t="s">
        <v>242</v>
      </c>
      <c r="T184" s="661"/>
    </row>
    <row r="185" spans="1:20" ht="16" x14ac:dyDescent="0.35">
      <c r="A185" s="554"/>
      <c r="B185" s="233">
        <f>B184+1</f>
        <v>202</v>
      </c>
      <c r="C185" s="664"/>
      <c r="E185" s="64" t="b">
        <v>0</v>
      </c>
      <c r="F185" s="65" t="s">
        <v>243</v>
      </c>
      <c r="H185" s="44"/>
      <c r="I185" s="573" t="s">
        <v>136</v>
      </c>
      <c r="J185" s="573"/>
      <c r="K185" s="662" t="b">
        <v>0</v>
      </c>
      <c r="L185" s="579" t="s">
        <v>241</v>
      </c>
      <c r="N185" s="40" t="s">
        <v>137</v>
      </c>
      <c r="P185" s="45" t="b">
        <v>0</v>
      </c>
      <c r="Q185" s="44" t="s">
        <v>244</v>
      </c>
      <c r="S185" s="45" t="b">
        <v>0</v>
      </c>
      <c r="T185" s="72" t="s">
        <v>245</v>
      </c>
    </row>
    <row r="186" spans="1:20" ht="16" x14ac:dyDescent="0.35">
      <c r="A186" s="554"/>
      <c r="B186" s="233">
        <f>B185+1</f>
        <v>203</v>
      </c>
      <c r="C186" s="664"/>
      <c r="E186" s="64" t="b">
        <v>0</v>
      </c>
      <c r="F186" s="65" t="s">
        <v>246</v>
      </c>
      <c r="H186" s="45" t="b">
        <v>0</v>
      </c>
      <c r="I186" s="579" t="s">
        <v>247</v>
      </c>
      <c r="J186" s="44"/>
      <c r="K186" s="662"/>
      <c r="L186" s="579"/>
      <c r="N186" s="44"/>
      <c r="P186" s="44"/>
      <c r="Q186" s="46"/>
      <c r="S186" s="656" t="s">
        <v>248</v>
      </c>
      <c r="T186" s="657"/>
    </row>
    <row r="187" spans="1:20" x14ac:dyDescent="0.35">
      <c r="A187" s="554"/>
      <c r="B187" s="233">
        <f>B186+1</f>
        <v>204</v>
      </c>
      <c r="C187" s="664"/>
      <c r="H187" s="44"/>
      <c r="I187" s="579"/>
      <c r="J187" s="44"/>
      <c r="P187" s="45" t="b">
        <v>0</v>
      </c>
      <c r="Q187" s="44" t="s">
        <v>249</v>
      </c>
      <c r="S187" s="45" t="b">
        <v>0</v>
      </c>
      <c r="T187" s="72" t="s">
        <v>250</v>
      </c>
    </row>
    <row r="188" spans="1:20" x14ac:dyDescent="0.35">
      <c r="A188" s="554"/>
      <c r="B188" s="233">
        <f>B187+1</f>
        <v>205</v>
      </c>
      <c r="C188" s="664"/>
      <c r="H188" s="44"/>
      <c r="I188" s="44"/>
      <c r="J188" s="44"/>
      <c r="Q188" s="23" t="s">
        <v>135</v>
      </c>
      <c r="S188" s="45" t="b">
        <v>0</v>
      </c>
      <c r="T188" s="72" t="s">
        <v>251</v>
      </c>
    </row>
    <row r="189" spans="1:20" ht="15" thickBot="1" x14ac:dyDescent="0.4">
      <c r="A189" s="555"/>
      <c r="B189" s="233">
        <f>B188+1</f>
        <v>206</v>
      </c>
      <c r="C189" s="665"/>
      <c r="D189" s="67"/>
      <c r="E189" s="67"/>
      <c r="F189" s="67"/>
      <c r="G189" s="67"/>
      <c r="H189" s="74"/>
      <c r="I189" s="74"/>
      <c r="J189" s="74"/>
      <c r="K189" s="67"/>
      <c r="L189" s="67"/>
      <c r="M189" s="67"/>
      <c r="N189" s="67"/>
      <c r="O189" s="67"/>
      <c r="P189" s="67"/>
      <c r="Q189" s="68"/>
      <c r="R189" s="67"/>
      <c r="S189" s="117" t="b">
        <v>0</v>
      </c>
      <c r="T189" s="118" t="s">
        <v>252</v>
      </c>
    </row>
    <row r="190" spans="1:20" ht="15" hidden="1" thickBot="1" x14ac:dyDescent="0.4">
      <c r="C190" s="301"/>
      <c r="D190" s="229"/>
      <c r="E190" s="229"/>
      <c r="F190" s="229"/>
      <c r="G190" s="229"/>
      <c r="H190" s="229"/>
      <c r="I190" s="229"/>
      <c r="J190" s="229"/>
      <c r="K190" s="229"/>
      <c r="L190" s="229"/>
      <c r="M190" s="229"/>
      <c r="N190" s="229"/>
      <c r="O190" s="229"/>
      <c r="P190" s="229"/>
      <c r="Q190" s="229"/>
      <c r="R190" s="229"/>
      <c r="S190" s="229" t="b">
        <v>0</v>
      </c>
      <c r="T190" s="302"/>
    </row>
    <row r="191" spans="1:20" ht="6" customHeight="1" thickBot="1" x14ac:dyDescent="0.4">
      <c r="C191" s="301"/>
      <c r="D191" s="229"/>
      <c r="E191" s="229"/>
      <c r="F191" s="229"/>
      <c r="G191" s="229"/>
      <c r="H191" s="229"/>
      <c r="I191" s="229"/>
      <c r="J191" s="229"/>
      <c r="K191" s="229"/>
      <c r="L191" s="229"/>
      <c r="M191" s="229"/>
      <c r="N191" s="229"/>
      <c r="O191" s="229"/>
      <c r="P191" s="229"/>
      <c r="Q191" s="229"/>
      <c r="R191" s="229"/>
      <c r="S191" s="229"/>
      <c r="T191" s="302"/>
    </row>
  </sheetData>
  <mergeCells count="238">
    <mergeCell ref="P5:Q5"/>
    <mergeCell ref="S5:T5"/>
    <mergeCell ref="A5:A9"/>
    <mergeCell ref="E9:F9"/>
    <mergeCell ref="H9:I9"/>
    <mergeCell ref="K9:L9"/>
    <mergeCell ref="P9:Q9"/>
    <mergeCell ref="S9:T9"/>
    <mergeCell ref="E8:F8"/>
    <mergeCell ref="H8:I8"/>
    <mergeCell ref="K8:L8"/>
    <mergeCell ref="P8:Q8"/>
    <mergeCell ref="S8:T8"/>
    <mergeCell ref="E7:F7"/>
    <mergeCell ref="H7:I7"/>
    <mergeCell ref="K7:L7"/>
    <mergeCell ref="P7:Q7"/>
    <mergeCell ref="S7:T7"/>
    <mergeCell ref="E6:F6"/>
    <mergeCell ref="K6:L6"/>
    <mergeCell ref="P6:Q6"/>
    <mergeCell ref="S6:T6"/>
    <mergeCell ref="E5:F5"/>
    <mergeCell ref="H5:I5"/>
    <mergeCell ref="K5:L5"/>
    <mergeCell ref="E4:F4"/>
    <mergeCell ref="K4:L4"/>
    <mergeCell ref="H4:I4"/>
    <mergeCell ref="S4:T4"/>
    <mergeCell ref="P4:Q4"/>
    <mergeCell ref="A175:A180"/>
    <mergeCell ref="H175:I175"/>
    <mergeCell ref="P175:Q175"/>
    <mergeCell ref="S175:T175"/>
    <mergeCell ref="I176:J176"/>
    <mergeCell ref="K176:K177"/>
    <mergeCell ref="L176:L177"/>
    <mergeCell ref="I177:I178"/>
    <mergeCell ref="S177:T177"/>
    <mergeCell ref="C175:C180"/>
    <mergeCell ref="H166:I166"/>
    <mergeCell ref="P166:Q166"/>
    <mergeCell ref="S166:T166"/>
    <mergeCell ref="I167:J167"/>
    <mergeCell ref="K167:K168"/>
    <mergeCell ref="L167:L168"/>
    <mergeCell ref="I168:I169"/>
    <mergeCell ref="S168:T168"/>
    <mergeCell ref="A157:A162"/>
    <mergeCell ref="A166:A171"/>
    <mergeCell ref="H157:I157"/>
    <mergeCell ref="P157:Q157"/>
    <mergeCell ref="S157:T157"/>
    <mergeCell ref="I158:J158"/>
    <mergeCell ref="K158:K159"/>
    <mergeCell ref="L158:L159"/>
    <mergeCell ref="I159:I160"/>
    <mergeCell ref="S159:T159"/>
    <mergeCell ref="C157:C162"/>
    <mergeCell ref="C166:C171"/>
    <mergeCell ref="A184:A189"/>
    <mergeCell ref="H184:I184"/>
    <mergeCell ref="P184:Q184"/>
    <mergeCell ref="S184:T184"/>
    <mergeCell ref="I185:J185"/>
    <mergeCell ref="K185:K186"/>
    <mergeCell ref="L185:L186"/>
    <mergeCell ref="I186:I187"/>
    <mergeCell ref="S186:T186"/>
    <mergeCell ref="C184:C189"/>
    <mergeCell ref="A148:A153"/>
    <mergeCell ref="H148:I148"/>
    <mergeCell ref="P148:Q148"/>
    <mergeCell ref="S148:T148"/>
    <mergeCell ref="I149:J149"/>
    <mergeCell ref="K149:K150"/>
    <mergeCell ref="L149:L150"/>
    <mergeCell ref="I150:I151"/>
    <mergeCell ref="S150:T150"/>
    <mergeCell ref="C148:C153"/>
    <mergeCell ref="A139:A144"/>
    <mergeCell ref="H139:I139"/>
    <mergeCell ref="P139:Q139"/>
    <mergeCell ref="S139:T139"/>
    <mergeCell ref="I140:J140"/>
    <mergeCell ref="K140:K141"/>
    <mergeCell ref="L140:L141"/>
    <mergeCell ref="I141:I142"/>
    <mergeCell ref="S141:T141"/>
    <mergeCell ref="C139:C144"/>
    <mergeCell ref="A130:A135"/>
    <mergeCell ref="H130:I130"/>
    <mergeCell ref="P130:Q130"/>
    <mergeCell ref="S130:T130"/>
    <mergeCell ref="I131:J131"/>
    <mergeCell ref="K131:K132"/>
    <mergeCell ref="L131:L132"/>
    <mergeCell ref="I132:I133"/>
    <mergeCell ref="S132:T132"/>
    <mergeCell ref="C130:C135"/>
    <mergeCell ref="A121:A126"/>
    <mergeCell ref="H121:I121"/>
    <mergeCell ref="P121:Q121"/>
    <mergeCell ref="S121:T121"/>
    <mergeCell ref="I122:J122"/>
    <mergeCell ref="K122:K123"/>
    <mergeCell ref="L122:L123"/>
    <mergeCell ref="I123:I124"/>
    <mergeCell ref="S123:T123"/>
    <mergeCell ref="C121:C126"/>
    <mergeCell ref="A112:A117"/>
    <mergeCell ref="H112:I112"/>
    <mergeCell ref="P112:Q112"/>
    <mergeCell ref="S112:T112"/>
    <mergeCell ref="I113:J113"/>
    <mergeCell ref="K113:K114"/>
    <mergeCell ref="L113:L114"/>
    <mergeCell ref="I114:I115"/>
    <mergeCell ref="S114:T114"/>
    <mergeCell ref="C112:C117"/>
    <mergeCell ref="A103:A108"/>
    <mergeCell ref="H103:I103"/>
    <mergeCell ref="P103:Q103"/>
    <mergeCell ref="S103:T103"/>
    <mergeCell ref="I104:J104"/>
    <mergeCell ref="K104:K105"/>
    <mergeCell ref="L104:L105"/>
    <mergeCell ref="I105:I106"/>
    <mergeCell ref="S105:T105"/>
    <mergeCell ref="C103:C108"/>
    <mergeCell ref="A85:A90"/>
    <mergeCell ref="H85:I85"/>
    <mergeCell ref="P85:Q85"/>
    <mergeCell ref="S85:T85"/>
    <mergeCell ref="I86:J86"/>
    <mergeCell ref="K86:K87"/>
    <mergeCell ref="L86:L87"/>
    <mergeCell ref="I87:I88"/>
    <mergeCell ref="S87:T87"/>
    <mergeCell ref="C85:C90"/>
    <mergeCell ref="A94:A99"/>
    <mergeCell ref="H94:I94"/>
    <mergeCell ref="P94:Q94"/>
    <mergeCell ref="S94:T94"/>
    <mergeCell ref="I95:J95"/>
    <mergeCell ref="K95:K96"/>
    <mergeCell ref="L95:L96"/>
    <mergeCell ref="I96:I97"/>
    <mergeCell ref="S96:T96"/>
    <mergeCell ref="C94:C99"/>
    <mergeCell ref="P3:Q3"/>
    <mergeCell ref="S3:T3"/>
    <mergeCell ref="S15:T15"/>
    <mergeCell ref="S13:T13"/>
    <mergeCell ref="A22:A27"/>
    <mergeCell ref="H22:I22"/>
    <mergeCell ref="P22:Q22"/>
    <mergeCell ref="S22:T22"/>
    <mergeCell ref="K23:K24"/>
    <mergeCell ref="L23:L24"/>
    <mergeCell ref="I24:I25"/>
    <mergeCell ref="S24:T24"/>
    <mergeCell ref="I23:J23"/>
    <mergeCell ref="A13:A18"/>
    <mergeCell ref="K3:L3"/>
    <mergeCell ref="L14:L15"/>
    <mergeCell ref="K14:K15"/>
    <mergeCell ref="E3:F3"/>
    <mergeCell ref="H3:I3"/>
    <mergeCell ref="H13:I13"/>
    <mergeCell ref="I15:I16"/>
    <mergeCell ref="P13:Q13"/>
    <mergeCell ref="I14:J14"/>
    <mergeCell ref="H6:I6"/>
    <mergeCell ref="A40:A45"/>
    <mergeCell ref="H40:I40"/>
    <mergeCell ref="P40:Q40"/>
    <mergeCell ref="S40:T40"/>
    <mergeCell ref="K41:K42"/>
    <mergeCell ref="E10:F10"/>
    <mergeCell ref="C40:C45"/>
    <mergeCell ref="C13:C18"/>
    <mergeCell ref="C22:C27"/>
    <mergeCell ref="S10:T10"/>
    <mergeCell ref="A31:A36"/>
    <mergeCell ref="H31:I31"/>
    <mergeCell ref="P31:Q31"/>
    <mergeCell ref="S31:T31"/>
    <mergeCell ref="K32:K33"/>
    <mergeCell ref="L32:L33"/>
    <mergeCell ref="I33:I34"/>
    <mergeCell ref="S33:T33"/>
    <mergeCell ref="I32:J32"/>
    <mergeCell ref="C31:C36"/>
    <mergeCell ref="L41:L42"/>
    <mergeCell ref="I42:I43"/>
    <mergeCell ref="S42:T42"/>
    <mergeCell ref="I41:J41"/>
    <mergeCell ref="A76:A81"/>
    <mergeCell ref="H76:I76"/>
    <mergeCell ref="P76:Q76"/>
    <mergeCell ref="S76:T76"/>
    <mergeCell ref="K77:K78"/>
    <mergeCell ref="L77:L78"/>
    <mergeCell ref="I78:I79"/>
    <mergeCell ref="S78:T78"/>
    <mergeCell ref="I77:J77"/>
    <mergeCell ref="C76:C81"/>
    <mergeCell ref="A67:A72"/>
    <mergeCell ref="H67:I67"/>
    <mergeCell ref="P67:Q67"/>
    <mergeCell ref="S67:T67"/>
    <mergeCell ref="K68:K69"/>
    <mergeCell ref="L68:L69"/>
    <mergeCell ref="I69:I70"/>
    <mergeCell ref="S69:T69"/>
    <mergeCell ref="I68:J68"/>
    <mergeCell ref="C67:C72"/>
    <mergeCell ref="L59:L60"/>
    <mergeCell ref="I60:I61"/>
    <mergeCell ref="S60:T60"/>
    <mergeCell ref="I59:J59"/>
    <mergeCell ref="A49:A54"/>
    <mergeCell ref="H49:I49"/>
    <mergeCell ref="P49:Q49"/>
    <mergeCell ref="I50:J50"/>
    <mergeCell ref="A58:A63"/>
    <mergeCell ref="H58:I58"/>
    <mergeCell ref="P58:Q58"/>
    <mergeCell ref="S49:T49"/>
    <mergeCell ref="K50:K51"/>
    <mergeCell ref="L50:L51"/>
    <mergeCell ref="I51:I52"/>
    <mergeCell ref="S51:T51"/>
    <mergeCell ref="S58:T58"/>
    <mergeCell ref="K59:K60"/>
    <mergeCell ref="C49:C54"/>
    <mergeCell ref="C58:C63"/>
  </mergeCells>
  <conditionalFormatting sqref="H15">
    <cfRule type="expression" dxfId="1386" priority="632">
      <formula>E13=TRUE</formula>
    </cfRule>
  </conditionalFormatting>
  <conditionalFormatting sqref="H24">
    <cfRule type="expression" dxfId="1385" priority="628">
      <formula>E22=TRUE</formula>
    </cfRule>
  </conditionalFormatting>
  <conditionalFormatting sqref="H33">
    <cfRule type="expression" dxfId="1384" priority="624">
      <formula>E31=TRUE</formula>
    </cfRule>
  </conditionalFormatting>
  <conditionalFormatting sqref="H42">
    <cfRule type="expression" dxfId="1383" priority="620">
      <formula>E40=TRUE</formula>
    </cfRule>
  </conditionalFormatting>
  <conditionalFormatting sqref="H51">
    <cfRule type="expression" dxfId="1382" priority="616">
      <formula>E49=TRUE</formula>
    </cfRule>
  </conditionalFormatting>
  <conditionalFormatting sqref="H60">
    <cfRule type="expression" dxfId="1381" priority="612">
      <formula>E58=TRUE</formula>
    </cfRule>
  </conditionalFormatting>
  <conditionalFormatting sqref="H69">
    <cfRule type="expression" dxfId="1380" priority="608">
      <formula>E67=TRUE</formula>
    </cfRule>
  </conditionalFormatting>
  <conditionalFormatting sqref="H78">
    <cfRule type="expression" dxfId="1379" priority="604">
      <formula>E76=TRUE</formula>
    </cfRule>
  </conditionalFormatting>
  <conditionalFormatting sqref="H87">
    <cfRule type="expression" dxfId="1378" priority="600">
      <formula>E85=TRUE</formula>
    </cfRule>
  </conditionalFormatting>
  <conditionalFormatting sqref="H96">
    <cfRule type="expression" dxfId="1377" priority="596">
      <formula>E94=TRUE</formula>
    </cfRule>
  </conditionalFormatting>
  <conditionalFormatting sqref="H105">
    <cfRule type="expression" dxfId="1376" priority="592">
      <formula>E103=TRUE</formula>
    </cfRule>
  </conditionalFormatting>
  <conditionalFormatting sqref="H114">
    <cfRule type="expression" dxfId="1375" priority="588">
      <formula>E112=TRUE</formula>
    </cfRule>
  </conditionalFormatting>
  <conditionalFormatting sqref="H123">
    <cfRule type="expression" dxfId="1374" priority="584">
      <formula>E121=TRUE</formula>
    </cfRule>
  </conditionalFormatting>
  <conditionalFormatting sqref="H132">
    <cfRule type="expression" dxfId="1373" priority="580">
      <formula>E130=TRUE</formula>
    </cfRule>
  </conditionalFormatting>
  <conditionalFormatting sqref="H141">
    <cfRule type="expression" dxfId="1372" priority="576">
      <formula>E139=TRUE</formula>
    </cfRule>
  </conditionalFormatting>
  <conditionalFormatting sqref="H150">
    <cfRule type="expression" dxfId="1371" priority="572">
      <formula>E148=TRUE</formula>
    </cfRule>
  </conditionalFormatting>
  <conditionalFormatting sqref="H159">
    <cfRule type="expression" dxfId="1370" priority="568">
      <formula>E157=TRUE</formula>
    </cfRule>
  </conditionalFormatting>
  <conditionalFormatting sqref="H168">
    <cfRule type="expression" dxfId="1369" priority="564">
      <formula>E166=TRUE</formula>
    </cfRule>
  </conditionalFormatting>
  <conditionalFormatting sqref="H177">
    <cfRule type="expression" dxfId="1368" priority="560">
      <formula>E175=TRUE</formula>
    </cfRule>
  </conditionalFormatting>
  <conditionalFormatting sqref="H186">
    <cfRule type="expression" dxfId="1367" priority="556">
      <formula>E184=TRUE</formula>
    </cfRule>
  </conditionalFormatting>
  <conditionalFormatting sqref="H3:I3 N3">
    <cfRule type="expression" dxfId="1366" priority="4497">
      <formula>OR(E13,E22,E31,E40,E49,E58,E67,E76,E85,E94,E103,E112,E121,E130,E139,E148,E157,E166,E175,E184)=TRUE</formula>
    </cfRule>
  </conditionalFormatting>
  <conditionalFormatting sqref="H13:I13">
    <cfRule type="expression" dxfId="1365" priority="635">
      <formula>E13=TRUE</formula>
    </cfRule>
  </conditionalFormatting>
  <conditionalFormatting sqref="H22:I22">
    <cfRule type="expression" dxfId="1364" priority="241">
      <formula>E22=TRUE</formula>
    </cfRule>
  </conditionalFormatting>
  <conditionalFormatting sqref="H31:I31">
    <cfRule type="expression" dxfId="1363" priority="240">
      <formula>E31=TRUE</formula>
    </cfRule>
  </conditionalFormatting>
  <conditionalFormatting sqref="H40:I40">
    <cfRule type="expression" dxfId="1362" priority="239">
      <formula>E40=TRUE</formula>
    </cfRule>
  </conditionalFormatting>
  <conditionalFormatting sqref="H49:I49">
    <cfRule type="expression" dxfId="1361" priority="238">
      <formula>E49=TRUE</formula>
    </cfRule>
  </conditionalFormatting>
  <conditionalFormatting sqref="H58:I58">
    <cfRule type="expression" dxfId="1360" priority="237">
      <formula>E58=TRUE</formula>
    </cfRule>
  </conditionalFormatting>
  <conditionalFormatting sqref="H67:I67">
    <cfRule type="expression" dxfId="1359" priority="236">
      <formula>E67=TRUE</formula>
    </cfRule>
  </conditionalFormatting>
  <conditionalFormatting sqref="H76:I76">
    <cfRule type="expression" dxfId="1358" priority="235">
      <formula>E76=TRUE</formula>
    </cfRule>
  </conditionalFormatting>
  <conditionalFormatting sqref="H85:I85">
    <cfRule type="expression" dxfId="1357" priority="234">
      <formula>E85=TRUE</formula>
    </cfRule>
  </conditionalFormatting>
  <conditionalFormatting sqref="H94:I94">
    <cfRule type="expression" dxfId="1356" priority="233">
      <formula>E94=TRUE</formula>
    </cfRule>
  </conditionalFormatting>
  <conditionalFormatting sqref="H103:I103">
    <cfRule type="expression" dxfId="1355" priority="232">
      <formula>E103=TRUE</formula>
    </cfRule>
  </conditionalFormatting>
  <conditionalFormatting sqref="H112:I112">
    <cfRule type="expression" dxfId="1354" priority="231">
      <formula>E112=TRUE</formula>
    </cfRule>
  </conditionalFormatting>
  <conditionalFormatting sqref="H121:I121">
    <cfRule type="expression" dxfId="1353" priority="230">
      <formula>E121=TRUE</formula>
    </cfRule>
  </conditionalFormatting>
  <conditionalFormatting sqref="H130:I130">
    <cfRule type="expression" dxfId="1352" priority="229">
      <formula>E130=TRUE</formula>
    </cfRule>
  </conditionalFormatting>
  <conditionalFormatting sqref="H139:I139">
    <cfRule type="expression" dxfId="1351" priority="228">
      <formula>E139=TRUE</formula>
    </cfRule>
  </conditionalFormatting>
  <conditionalFormatting sqref="H148:I148">
    <cfRule type="expression" dxfId="1350" priority="227">
      <formula>E148=TRUE</formula>
    </cfRule>
  </conditionalFormatting>
  <conditionalFormatting sqref="H157:I157">
    <cfRule type="expression" dxfId="1349" priority="226">
      <formula>E157=TRUE</formula>
    </cfRule>
  </conditionalFormatting>
  <conditionalFormatting sqref="H166:I166">
    <cfRule type="expression" dxfId="1348" priority="225">
      <formula>E166=TRUE</formula>
    </cfRule>
  </conditionalFormatting>
  <conditionalFormatting sqref="H175:I175">
    <cfRule type="expression" dxfId="1347" priority="224">
      <formula>E175=TRUE</formula>
    </cfRule>
  </conditionalFormatting>
  <conditionalFormatting sqref="H184:I184">
    <cfRule type="expression" dxfId="1346" priority="223">
      <formula>E184=TRUE</formula>
    </cfRule>
  </conditionalFormatting>
  <conditionalFormatting sqref="I10">
    <cfRule type="expression" dxfId="1345" priority="4499">
      <formula>OR(E13,E22,E31,E40,E49,E58,E67,E76,E85,E94,E103,E112,E121,E130,E139,E148,E157,E166,E175,E184)=TRUE</formula>
    </cfRule>
  </conditionalFormatting>
  <conditionalFormatting sqref="I15:I16">
    <cfRule type="expression" dxfId="1344" priority="633">
      <formula>E13=TRUE</formula>
    </cfRule>
  </conditionalFormatting>
  <conditionalFormatting sqref="I24:I25">
    <cfRule type="expression" dxfId="1343" priority="629">
      <formula>E22=TRUE</formula>
    </cfRule>
  </conditionalFormatting>
  <conditionalFormatting sqref="I33:I34">
    <cfRule type="expression" dxfId="1342" priority="625">
      <formula>E31=TRUE</formula>
    </cfRule>
  </conditionalFormatting>
  <conditionalFormatting sqref="I42:I43">
    <cfRule type="expression" dxfId="1341" priority="621">
      <formula>E40=TRUE</formula>
    </cfRule>
  </conditionalFormatting>
  <conditionalFormatting sqref="I51:I52">
    <cfRule type="expression" dxfId="1340" priority="617">
      <formula>E49=TRUE</formula>
    </cfRule>
  </conditionalFormatting>
  <conditionalFormatting sqref="I60:I61">
    <cfRule type="expression" dxfId="1339" priority="613">
      <formula>E58=TRUE</formula>
    </cfRule>
  </conditionalFormatting>
  <conditionalFormatting sqref="I69:I70">
    <cfRule type="expression" dxfId="1338" priority="609">
      <formula>E67=TRUE</formula>
    </cfRule>
  </conditionalFormatting>
  <conditionalFormatting sqref="I78:I79">
    <cfRule type="expression" dxfId="1337" priority="605">
      <formula>E76=TRUE</formula>
    </cfRule>
  </conditionalFormatting>
  <conditionalFormatting sqref="I87:I88">
    <cfRule type="expression" dxfId="1336" priority="601">
      <formula>E85=TRUE</formula>
    </cfRule>
  </conditionalFormatting>
  <conditionalFormatting sqref="I96:I97">
    <cfRule type="expression" dxfId="1335" priority="597">
      <formula>E94=TRUE</formula>
    </cfRule>
  </conditionalFormatting>
  <conditionalFormatting sqref="I105:I106">
    <cfRule type="expression" dxfId="1334" priority="593">
      <formula>E103=TRUE</formula>
    </cfRule>
  </conditionalFormatting>
  <conditionalFormatting sqref="I114:I115">
    <cfRule type="expression" dxfId="1333" priority="589">
      <formula>E112=TRUE</formula>
    </cfRule>
  </conditionalFormatting>
  <conditionalFormatting sqref="I123:I124">
    <cfRule type="expression" dxfId="1332" priority="585">
      <formula>E121=TRUE</formula>
    </cfRule>
  </conditionalFormatting>
  <conditionalFormatting sqref="I132:I133">
    <cfRule type="expression" dxfId="1331" priority="581">
      <formula>E130=TRUE</formula>
    </cfRule>
  </conditionalFormatting>
  <conditionalFormatting sqref="I141:I142">
    <cfRule type="expression" dxfId="1330" priority="577">
      <formula>E139=TRUE</formula>
    </cfRule>
  </conditionalFormatting>
  <conditionalFormatting sqref="I150:I151">
    <cfRule type="expression" dxfId="1329" priority="573">
      <formula>E148=TRUE</formula>
    </cfRule>
  </conditionalFormatting>
  <conditionalFormatting sqref="I159:I160">
    <cfRule type="expression" dxfId="1328" priority="569">
      <formula>E157=TRUE</formula>
    </cfRule>
  </conditionalFormatting>
  <conditionalFormatting sqref="I168:I169">
    <cfRule type="expression" dxfId="1327" priority="565">
      <formula>E166=TRUE</formula>
    </cfRule>
  </conditionalFormatting>
  <conditionalFormatting sqref="I177:I178">
    <cfRule type="expression" dxfId="1326" priority="561">
      <formula>E175=TRUE</formula>
    </cfRule>
  </conditionalFormatting>
  <conditionalFormatting sqref="I186:I187">
    <cfRule type="expression" dxfId="1325" priority="557">
      <formula>E184=TRUE</formula>
    </cfRule>
  </conditionalFormatting>
  <conditionalFormatting sqref="I14:J14">
    <cfRule type="expression" dxfId="1324" priority="634">
      <formula>E13=TRUE</formula>
    </cfRule>
  </conditionalFormatting>
  <conditionalFormatting sqref="I23:J23">
    <cfRule type="expression" dxfId="1323" priority="630">
      <formula>E22=TRUE</formula>
    </cfRule>
  </conditionalFormatting>
  <conditionalFormatting sqref="I32:J32">
    <cfRule type="expression" dxfId="1322" priority="626">
      <formula>E31=TRUE</formula>
    </cfRule>
  </conditionalFormatting>
  <conditionalFormatting sqref="I41:J41">
    <cfRule type="expression" dxfId="1321" priority="622">
      <formula>E40=TRUE</formula>
    </cfRule>
  </conditionalFormatting>
  <conditionalFormatting sqref="I50:J50">
    <cfRule type="expression" dxfId="1320" priority="618">
      <formula>E49=TRUE</formula>
    </cfRule>
  </conditionalFormatting>
  <conditionalFormatting sqref="I59:J59">
    <cfRule type="expression" dxfId="1319" priority="614">
      <formula>E58=TRUE</formula>
    </cfRule>
  </conditionalFormatting>
  <conditionalFormatting sqref="I68:J68">
    <cfRule type="expression" dxfId="1318" priority="610">
      <formula>E67=TRUE</formula>
    </cfRule>
  </conditionalFormatting>
  <conditionalFormatting sqref="I77:J77">
    <cfRule type="expression" dxfId="1317" priority="606">
      <formula>E76=TRUE</formula>
    </cfRule>
  </conditionalFormatting>
  <conditionalFormatting sqref="I86:J86">
    <cfRule type="expression" dxfId="1316" priority="602">
      <formula>E85=TRUE</formula>
    </cfRule>
  </conditionalFormatting>
  <conditionalFormatting sqref="I95:J95">
    <cfRule type="expression" dxfId="1315" priority="598">
      <formula>E94=TRUE</formula>
    </cfRule>
  </conditionalFormatting>
  <conditionalFormatting sqref="I104:J104">
    <cfRule type="expression" dxfId="1314" priority="594">
      <formula>E103=TRUE</formula>
    </cfRule>
  </conditionalFormatting>
  <conditionalFormatting sqref="I113:J113">
    <cfRule type="expression" dxfId="1313" priority="590">
      <formula>E112=TRUE</formula>
    </cfRule>
  </conditionalFormatting>
  <conditionalFormatting sqref="I122:J122">
    <cfRule type="expression" dxfId="1312" priority="586">
      <formula>E121=TRUE</formula>
    </cfRule>
  </conditionalFormatting>
  <conditionalFormatting sqref="I131:J131">
    <cfRule type="expression" dxfId="1311" priority="582">
      <formula>E130=TRUE</formula>
    </cfRule>
  </conditionalFormatting>
  <conditionalFormatting sqref="I140:J140">
    <cfRule type="expression" dxfId="1310" priority="578">
      <formula>E139=TRUE</formula>
    </cfRule>
  </conditionalFormatting>
  <conditionalFormatting sqref="I149:J149">
    <cfRule type="expression" dxfId="1309" priority="574">
      <formula>E148=TRUE</formula>
    </cfRule>
  </conditionalFormatting>
  <conditionalFormatting sqref="I158:J158">
    <cfRule type="expression" dxfId="1308" priority="570">
      <formula>E157=TRUE</formula>
    </cfRule>
  </conditionalFormatting>
  <conditionalFormatting sqref="I167:J167">
    <cfRule type="expression" dxfId="1307" priority="566">
      <formula>E166=TRUE</formula>
    </cfRule>
  </conditionalFormatting>
  <conditionalFormatting sqref="I176:J176">
    <cfRule type="expression" dxfId="1306" priority="562">
      <formula>E175=TRUE</formula>
    </cfRule>
  </conditionalFormatting>
  <conditionalFormatting sqref="I185:J185">
    <cfRule type="expression" dxfId="1305" priority="558">
      <formula>E184=TRUE</formula>
    </cfRule>
  </conditionalFormatting>
  <conditionalFormatting sqref="K13">
    <cfRule type="expression" dxfId="1304" priority="555">
      <formula>E14=TRUE</formula>
    </cfRule>
  </conditionalFormatting>
  <conditionalFormatting sqref="K14:K15">
    <cfRule type="expression" dxfId="1303" priority="552">
      <formula>E14=TRUE</formula>
    </cfRule>
  </conditionalFormatting>
  <conditionalFormatting sqref="K22">
    <cfRule type="expression" dxfId="1302" priority="551">
      <formula>E23=TRUE</formula>
    </cfRule>
  </conditionalFormatting>
  <conditionalFormatting sqref="K23:K24">
    <cfRule type="expression" dxfId="1301" priority="548">
      <formula>E23=TRUE</formula>
    </cfRule>
  </conditionalFormatting>
  <conditionalFormatting sqref="K31">
    <cfRule type="expression" dxfId="1300" priority="547">
      <formula>E32=TRUE</formula>
    </cfRule>
  </conditionalFormatting>
  <conditionalFormatting sqref="K32:K33">
    <cfRule type="expression" dxfId="1299" priority="544">
      <formula>E32=TRUE</formula>
    </cfRule>
  </conditionalFormatting>
  <conditionalFormatting sqref="K40">
    <cfRule type="expression" dxfId="1298" priority="543">
      <formula>E41=TRUE</formula>
    </cfRule>
  </conditionalFormatting>
  <conditionalFormatting sqref="K41:K42">
    <cfRule type="expression" dxfId="1297" priority="540">
      <formula>E41=TRUE</formula>
    </cfRule>
  </conditionalFormatting>
  <conditionalFormatting sqref="K49">
    <cfRule type="expression" dxfId="1296" priority="539">
      <formula>E50=TRUE</formula>
    </cfRule>
  </conditionalFormatting>
  <conditionalFormatting sqref="K50:K51">
    <cfRule type="expression" dxfId="1295" priority="536">
      <formula>E50=TRUE</formula>
    </cfRule>
  </conditionalFormatting>
  <conditionalFormatting sqref="K58">
    <cfRule type="expression" dxfId="1294" priority="535">
      <formula>E59=TRUE</formula>
    </cfRule>
  </conditionalFormatting>
  <conditionalFormatting sqref="K59:K60">
    <cfRule type="expression" dxfId="1293" priority="532">
      <formula>E59=TRUE</formula>
    </cfRule>
  </conditionalFormatting>
  <conditionalFormatting sqref="K67">
    <cfRule type="expression" dxfId="1292" priority="531">
      <formula>E68=TRUE</formula>
    </cfRule>
  </conditionalFormatting>
  <conditionalFormatting sqref="K68:K69">
    <cfRule type="expression" dxfId="1291" priority="528">
      <formula>E68=TRUE</formula>
    </cfRule>
  </conditionalFormatting>
  <conditionalFormatting sqref="K76">
    <cfRule type="expression" dxfId="1290" priority="527">
      <formula>E77=TRUE</formula>
    </cfRule>
  </conditionalFormatting>
  <conditionalFormatting sqref="K77:K78">
    <cfRule type="expression" dxfId="1289" priority="524">
      <formula>E77=TRUE</formula>
    </cfRule>
  </conditionalFormatting>
  <conditionalFormatting sqref="K85">
    <cfRule type="expression" dxfId="1288" priority="523">
      <formula>E86=TRUE</formula>
    </cfRule>
  </conditionalFormatting>
  <conditionalFormatting sqref="K86:K87">
    <cfRule type="expression" dxfId="1287" priority="520">
      <formula>E86=TRUE</formula>
    </cfRule>
  </conditionalFormatting>
  <conditionalFormatting sqref="K94">
    <cfRule type="expression" dxfId="1286" priority="519">
      <formula>E95=TRUE</formula>
    </cfRule>
  </conditionalFormatting>
  <conditionalFormatting sqref="K95:K96">
    <cfRule type="expression" dxfId="1285" priority="516">
      <formula>E95=TRUE</formula>
    </cfRule>
  </conditionalFormatting>
  <conditionalFormatting sqref="K103">
    <cfRule type="expression" dxfId="1284" priority="515">
      <formula>E104=TRUE</formula>
    </cfRule>
  </conditionalFormatting>
  <conditionalFormatting sqref="K104:K105">
    <cfRule type="expression" dxfId="1283" priority="512">
      <formula>E104=TRUE</formula>
    </cfRule>
  </conditionalFormatting>
  <conditionalFormatting sqref="K112">
    <cfRule type="expression" dxfId="1282" priority="511">
      <formula>E113=TRUE</formula>
    </cfRule>
  </conditionalFormatting>
  <conditionalFormatting sqref="K113:K114">
    <cfRule type="expression" dxfId="1281" priority="508">
      <formula>E113=TRUE</formula>
    </cfRule>
  </conditionalFormatting>
  <conditionalFormatting sqref="K121">
    <cfRule type="expression" dxfId="1280" priority="507">
      <formula>E122=TRUE</formula>
    </cfRule>
  </conditionalFormatting>
  <conditionalFormatting sqref="K122:K123">
    <cfRule type="expression" dxfId="1279" priority="504">
      <formula>E122=TRUE</formula>
    </cfRule>
  </conditionalFormatting>
  <conditionalFormatting sqref="K130">
    <cfRule type="expression" dxfId="1278" priority="503">
      <formula>E131=TRUE</formula>
    </cfRule>
  </conditionalFormatting>
  <conditionalFormatting sqref="K131:K132">
    <cfRule type="expression" dxfId="1277" priority="500">
      <formula>E131=TRUE</formula>
    </cfRule>
  </conditionalFormatting>
  <conditionalFormatting sqref="K139">
    <cfRule type="expression" dxfId="1276" priority="499">
      <formula>E140=TRUE</formula>
    </cfRule>
  </conditionalFormatting>
  <conditionalFormatting sqref="K140:K141">
    <cfRule type="expression" dxfId="1275" priority="496">
      <formula>E140=TRUE</formula>
    </cfRule>
  </conditionalFormatting>
  <conditionalFormatting sqref="K148">
    <cfRule type="expression" dxfId="1274" priority="495">
      <formula>E149=TRUE</formula>
    </cfRule>
  </conditionalFormatting>
  <conditionalFormatting sqref="K149:K150">
    <cfRule type="expression" dxfId="1273" priority="492">
      <formula>E149=TRUE</formula>
    </cfRule>
  </conditionalFormatting>
  <conditionalFormatting sqref="K157">
    <cfRule type="expression" dxfId="1272" priority="491">
      <formula>E158=TRUE</formula>
    </cfRule>
  </conditionalFormatting>
  <conditionalFormatting sqref="K158:K159">
    <cfRule type="expression" dxfId="1271" priority="488">
      <formula>E158=TRUE</formula>
    </cfRule>
  </conditionalFormatting>
  <conditionalFormatting sqref="K166">
    <cfRule type="expression" dxfId="1270" priority="487">
      <formula>E167=TRUE</formula>
    </cfRule>
  </conditionalFormatting>
  <conditionalFormatting sqref="K167:K168">
    <cfRule type="expression" dxfId="1269" priority="484">
      <formula>E167=TRUE</formula>
    </cfRule>
  </conditionalFormatting>
  <conditionalFormatting sqref="K175">
    <cfRule type="expression" dxfId="1268" priority="483">
      <formula>E176=TRUE</formula>
    </cfRule>
  </conditionalFormatting>
  <conditionalFormatting sqref="K176:K177">
    <cfRule type="expression" dxfId="1267" priority="480">
      <formula>E176=TRUE</formula>
    </cfRule>
  </conditionalFormatting>
  <conditionalFormatting sqref="K184">
    <cfRule type="expression" dxfId="1266" priority="479">
      <formula>E185=TRUE</formula>
    </cfRule>
  </conditionalFormatting>
  <conditionalFormatting sqref="K185:K186">
    <cfRule type="expression" dxfId="1265" priority="476">
      <formula>E185=TRUE</formula>
    </cfRule>
  </conditionalFormatting>
  <conditionalFormatting sqref="K3:L3">
    <cfRule type="expression" dxfId="1264" priority="4500">
      <formula>OR(E14,E23,E32,E41,E50,E59,E68,E77,E86,E95,E104,E113,E122,E131,E140,E149,E158,E167,E176,E185)=TRUE</formula>
    </cfRule>
  </conditionalFormatting>
  <conditionalFormatting sqref="L13">
    <cfRule type="expression" dxfId="1263" priority="554">
      <formula>E14=TRUE</formula>
    </cfRule>
  </conditionalFormatting>
  <conditionalFormatting sqref="L14:L15">
    <cfRule type="expression" dxfId="1262" priority="553">
      <formula>E14=TRUE</formula>
    </cfRule>
  </conditionalFormatting>
  <conditionalFormatting sqref="L22">
    <cfRule type="expression" dxfId="1261" priority="550">
      <formula>E23=TRUE</formula>
    </cfRule>
  </conditionalFormatting>
  <conditionalFormatting sqref="L23:L24">
    <cfRule type="expression" dxfId="1260" priority="549">
      <formula>E23=TRUE</formula>
    </cfRule>
  </conditionalFormatting>
  <conditionalFormatting sqref="L31">
    <cfRule type="expression" dxfId="1259" priority="546">
      <formula>E32=TRUE</formula>
    </cfRule>
  </conditionalFormatting>
  <conditionalFormatting sqref="L32:L33">
    <cfRule type="expression" dxfId="1258" priority="545">
      <formula>E32=TRUE</formula>
    </cfRule>
  </conditionalFormatting>
  <conditionalFormatting sqref="L40">
    <cfRule type="expression" dxfId="1257" priority="542">
      <formula>E41=TRUE</formula>
    </cfRule>
  </conditionalFormatting>
  <conditionalFormatting sqref="L41:L42">
    <cfRule type="expression" dxfId="1256" priority="541">
      <formula>E41=TRUE</formula>
    </cfRule>
  </conditionalFormatting>
  <conditionalFormatting sqref="L49">
    <cfRule type="expression" dxfId="1255" priority="538">
      <formula>E50=TRUE</formula>
    </cfRule>
  </conditionalFormatting>
  <conditionalFormatting sqref="L50:L51">
    <cfRule type="expression" dxfId="1254" priority="537">
      <formula>E50=TRUE</formula>
    </cfRule>
  </conditionalFormatting>
  <conditionalFormatting sqref="L58">
    <cfRule type="expression" dxfId="1253" priority="534">
      <formula>E59=TRUE</formula>
    </cfRule>
  </conditionalFormatting>
  <conditionalFormatting sqref="L59:L60">
    <cfRule type="expression" dxfId="1252" priority="533">
      <formula>E59=TRUE</formula>
    </cfRule>
  </conditionalFormatting>
  <conditionalFormatting sqref="L67">
    <cfRule type="expression" dxfId="1251" priority="530">
      <formula>E68=TRUE</formula>
    </cfRule>
  </conditionalFormatting>
  <conditionalFormatting sqref="L68:L69">
    <cfRule type="expression" dxfId="1250" priority="529">
      <formula>E68=TRUE</formula>
    </cfRule>
  </conditionalFormatting>
  <conditionalFormatting sqref="L76">
    <cfRule type="expression" dxfId="1249" priority="526">
      <formula>E77=TRUE</formula>
    </cfRule>
  </conditionalFormatting>
  <conditionalFormatting sqref="L77:L78">
    <cfRule type="expression" dxfId="1248" priority="525">
      <formula>E77=TRUE</formula>
    </cfRule>
  </conditionalFormatting>
  <conditionalFormatting sqref="L85">
    <cfRule type="expression" dxfId="1247" priority="522">
      <formula>E86=TRUE</formula>
    </cfRule>
  </conditionalFormatting>
  <conditionalFormatting sqref="L86:L87">
    <cfRule type="expression" dxfId="1246" priority="521">
      <formula>E86=TRUE</formula>
    </cfRule>
  </conditionalFormatting>
  <conditionalFormatting sqref="L94">
    <cfRule type="expression" dxfId="1245" priority="518">
      <formula>E95=TRUE</formula>
    </cfRule>
  </conditionalFormatting>
  <conditionalFormatting sqref="L95:L96">
    <cfRule type="expression" dxfId="1244" priority="517">
      <formula>E95=TRUE</formula>
    </cfRule>
  </conditionalFormatting>
  <conditionalFormatting sqref="L103">
    <cfRule type="expression" dxfId="1243" priority="514">
      <formula>E104=TRUE</formula>
    </cfRule>
  </conditionalFormatting>
  <conditionalFormatting sqref="L104:L105">
    <cfRule type="expression" dxfId="1242" priority="513">
      <formula>E104=TRUE</formula>
    </cfRule>
  </conditionalFormatting>
  <conditionalFormatting sqref="L112">
    <cfRule type="expression" dxfId="1241" priority="510">
      <formula>E113=TRUE</formula>
    </cfRule>
  </conditionalFormatting>
  <conditionalFormatting sqref="L113:L114">
    <cfRule type="expression" dxfId="1240" priority="509">
      <formula>E113=TRUE</formula>
    </cfRule>
  </conditionalFormatting>
  <conditionalFormatting sqref="L121">
    <cfRule type="expression" dxfId="1239" priority="506">
      <formula>E122=TRUE</formula>
    </cfRule>
  </conditionalFormatting>
  <conditionalFormatting sqref="L122:L123">
    <cfRule type="expression" dxfId="1238" priority="505">
      <formula>E122=TRUE</formula>
    </cfRule>
  </conditionalFormatting>
  <conditionalFormatting sqref="L130">
    <cfRule type="expression" dxfId="1237" priority="502">
      <formula>E131=TRUE</formula>
    </cfRule>
  </conditionalFormatting>
  <conditionalFormatting sqref="L131:L132">
    <cfRule type="expression" dxfId="1236" priority="501">
      <formula>E131=TRUE</formula>
    </cfRule>
  </conditionalFormatting>
  <conditionalFormatting sqref="L139">
    <cfRule type="expression" dxfId="1235" priority="498">
      <formula>E140=TRUE</formula>
    </cfRule>
  </conditionalFormatting>
  <conditionalFormatting sqref="L140:L141">
    <cfRule type="expression" dxfId="1234" priority="497">
      <formula>E140=TRUE</formula>
    </cfRule>
  </conditionalFormatting>
  <conditionalFormatting sqref="L148">
    <cfRule type="expression" dxfId="1233" priority="494">
      <formula>E149=TRUE</formula>
    </cfRule>
  </conditionalFormatting>
  <conditionalFormatting sqref="L149:L150">
    <cfRule type="expression" dxfId="1232" priority="493">
      <formula>E149=TRUE</formula>
    </cfRule>
  </conditionalFormatting>
  <conditionalFormatting sqref="L157">
    <cfRule type="expression" dxfId="1231" priority="490">
      <formula>E158=TRUE</formula>
    </cfRule>
  </conditionalFormatting>
  <conditionalFormatting sqref="L158:L159">
    <cfRule type="expression" dxfId="1230" priority="489">
      <formula>E158=TRUE</formula>
    </cfRule>
  </conditionalFormatting>
  <conditionalFormatting sqref="L166">
    <cfRule type="expression" dxfId="1229" priority="486">
      <formula>E167=TRUE</formula>
    </cfRule>
  </conditionalFormatting>
  <conditionalFormatting sqref="L167:L168">
    <cfRule type="expression" dxfId="1228" priority="485">
      <formula>E167=TRUE</formula>
    </cfRule>
  </conditionalFormatting>
  <conditionalFormatting sqref="L175">
    <cfRule type="expression" dxfId="1227" priority="482">
      <formula>E176=TRUE</formula>
    </cfRule>
  </conditionalFormatting>
  <conditionalFormatting sqref="L176:L177">
    <cfRule type="expression" dxfId="1226" priority="481">
      <formula>E176=TRUE</formula>
    </cfRule>
  </conditionalFormatting>
  <conditionalFormatting sqref="L184">
    <cfRule type="expression" dxfId="1225" priority="478">
      <formula>E185=TRUE</formula>
    </cfRule>
  </conditionalFormatting>
  <conditionalFormatting sqref="L185:L186">
    <cfRule type="expression" dxfId="1224" priority="477">
      <formula>E185=TRUE</formula>
    </cfRule>
  </conditionalFormatting>
  <conditionalFormatting sqref="L10:M10">
    <cfRule type="expression" dxfId="1223" priority="4501">
      <formula>OR(E14,E23,E32,E41,E50,E59,E68,E77,E86,E95,E104,E113,E122,E131,E140,E149,E158,E167,E176,E185)=TRUE</formula>
    </cfRule>
  </conditionalFormatting>
  <conditionalFormatting sqref="N13">
    <cfRule type="expression" dxfId="1222" priority="887">
      <formula>AND($E$14=TRUE,K13=TRUE)</formula>
    </cfRule>
  </conditionalFormatting>
  <conditionalFormatting sqref="N14">
    <cfRule type="expression" dxfId="1221" priority="886">
      <formula>AND($E$14=TRUE,K13=TRUE)</formula>
    </cfRule>
  </conditionalFormatting>
  <conditionalFormatting sqref="N15">
    <cfRule type="expression" dxfId="1220" priority="885">
      <formula>AND($E$14=TRUE,K13=TRUE)</formula>
    </cfRule>
  </conditionalFormatting>
  <conditionalFormatting sqref="N22">
    <cfRule type="expression" dxfId="1219" priority="884">
      <formula>AND(K22=TRUE,$E$23=TRUE)</formula>
    </cfRule>
  </conditionalFormatting>
  <conditionalFormatting sqref="N23">
    <cfRule type="expression" dxfId="1218" priority="883">
      <formula>AND($E$23=TRUE,K22=TRUE)</formula>
    </cfRule>
  </conditionalFormatting>
  <conditionalFormatting sqref="N24">
    <cfRule type="expression" dxfId="1217" priority="882">
      <formula>AND(K22=TRUE,$E$23=TRUE)</formula>
    </cfRule>
  </conditionalFormatting>
  <conditionalFormatting sqref="N31">
    <cfRule type="expression" dxfId="1216" priority="881">
      <formula>AND(K31=TRUE,$E$32=TRUE)</formula>
    </cfRule>
  </conditionalFormatting>
  <conditionalFormatting sqref="N32">
    <cfRule type="expression" dxfId="1215" priority="880">
      <formula>AND($E$32=TRUE,K31=TRUE)</formula>
    </cfRule>
  </conditionalFormatting>
  <conditionalFormatting sqref="N33">
    <cfRule type="expression" dxfId="1214" priority="879">
      <formula>AND($E$32=TRUE,K31=TRUE)</formula>
    </cfRule>
  </conditionalFormatting>
  <conditionalFormatting sqref="N40">
    <cfRule type="expression" dxfId="1213" priority="82">
      <formula>AND(K40=TRUE,$E$41)</formula>
    </cfRule>
  </conditionalFormatting>
  <conditionalFormatting sqref="N41">
    <cfRule type="expression" dxfId="1212" priority="81">
      <formula>AND(K40=TRUE,$E$41=TRUE)</formula>
    </cfRule>
  </conditionalFormatting>
  <conditionalFormatting sqref="N42">
    <cfRule type="expression" dxfId="1211" priority="80">
      <formula>AND(K40=TRUE,$E$41=TRUE)</formula>
    </cfRule>
  </conditionalFormatting>
  <conditionalFormatting sqref="N49">
    <cfRule type="expression" dxfId="1210" priority="875">
      <formula>AND(K49=TRUE,$E$50=TRUE)</formula>
    </cfRule>
  </conditionalFormatting>
  <conditionalFormatting sqref="N50">
    <cfRule type="expression" dxfId="1209" priority="874">
      <formula>AND(K49=TRUE,$E$50=TRUE)</formula>
    </cfRule>
  </conditionalFormatting>
  <conditionalFormatting sqref="N51">
    <cfRule type="expression" dxfId="1208" priority="873">
      <formula>AND(K49=TRUE,$E$50=TRUE)</formula>
    </cfRule>
  </conditionalFormatting>
  <conditionalFormatting sqref="N58">
    <cfRule type="expression" dxfId="1207" priority="872">
      <formula>AND($E$59=TRUE,K58=TRUE)</formula>
    </cfRule>
  </conditionalFormatting>
  <conditionalFormatting sqref="N59">
    <cfRule type="expression" dxfId="1206" priority="871">
      <formula>AND($E$59=TRUE,K58=TRUE)</formula>
    </cfRule>
  </conditionalFormatting>
  <conditionalFormatting sqref="N60">
    <cfRule type="expression" dxfId="1205" priority="870">
      <formula>AND($E$59=TRUE,K58=TRUE)</formula>
    </cfRule>
  </conditionalFormatting>
  <conditionalFormatting sqref="N67">
    <cfRule type="expression" dxfId="1204" priority="866">
      <formula>AND($E$68=TRUE,K67=TRUE)</formula>
    </cfRule>
  </conditionalFormatting>
  <conditionalFormatting sqref="N68">
    <cfRule type="expression" dxfId="1203" priority="865">
      <formula>AND($E$68=TRUE,K67=TRUE)</formula>
    </cfRule>
  </conditionalFormatting>
  <conditionalFormatting sqref="N69">
    <cfRule type="expression" dxfId="1202" priority="864">
      <formula>AND($E$68=TRUE,K67=TRUE)</formula>
    </cfRule>
  </conditionalFormatting>
  <conditionalFormatting sqref="N76">
    <cfRule type="expression" dxfId="1201" priority="863">
      <formula>AND(K76=TRUE,$E$77=TRUE)</formula>
    </cfRule>
  </conditionalFormatting>
  <conditionalFormatting sqref="N77">
    <cfRule type="expression" dxfId="1200" priority="862">
      <formula>AND(K76=TRUE,$E$77=TRUE)</formula>
    </cfRule>
  </conditionalFormatting>
  <conditionalFormatting sqref="N78">
    <cfRule type="expression" dxfId="1199" priority="861">
      <formula>AND(K76=TRUE,$E$77=TRUE)</formula>
    </cfRule>
  </conditionalFormatting>
  <conditionalFormatting sqref="N85">
    <cfRule type="expression" dxfId="1198" priority="860">
      <formula>AND(K85=TRUE,$E$86=TRUE)</formula>
    </cfRule>
  </conditionalFormatting>
  <conditionalFormatting sqref="N86">
    <cfRule type="expression" dxfId="1197" priority="859">
      <formula>AND(K85=TRUE,$E$86=TRUE)</formula>
    </cfRule>
  </conditionalFormatting>
  <conditionalFormatting sqref="N87">
    <cfRule type="expression" dxfId="1196" priority="858">
      <formula>AND(K85=TRUE,$E$86=TRUE)</formula>
    </cfRule>
  </conditionalFormatting>
  <conditionalFormatting sqref="N94">
    <cfRule type="expression" dxfId="1195" priority="857">
      <formula>AND(K94=TRUE,$E$95=TRUE)</formula>
    </cfRule>
  </conditionalFormatting>
  <conditionalFormatting sqref="N95">
    <cfRule type="expression" dxfId="1194" priority="856">
      <formula>AND(K94=TRUE,$E$95=TRUE)</formula>
    </cfRule>
  </conditionalFormatting>
  <conditionalFormatting sqref="N96">
    <cfRule type="expression" dxfId="1193" priority="855">
      <formula>AND(K94=TRUE,$E$95=TRUE)</formula>
    </cfRule>
  </conditionalFormatting>
  <conditionalFormatting sqref="N103">
    <cfRule type="expression" dxfId="1192" priority="854">
      <formula>AND($E$104=TRUE,K103=TRUE)</formula>
    </cfRule>
  </conditionalFormatting>
  <conditionalFormatting sqref="N104">
    <cfRule type="expression" dxfId="1191" priority="853">
      <formula>AND($E$104=TRUE,K103=TRUE)</formula>
    </cfRule>
  </conditionalFormatting>
  <conditionalFormatting sqref="N105">
    <cfRule type="expression" dxfId="1190" priority="852">
      <formula>AND($E$104=TRUE,K103=TRUE)</formula>
    </cfRule>
  </conditionalFormatting>
  <conditionalFormatting sqref="N112">
    <cfRule type="expression" dxfId="1189" priority="851">
      <formula>AND(K112=TRUE,$E$113=TRUE)</formula>
    </cfRule>
  </conditionalFormatting>
  <conditionalFormatting sqref="N113">
    <cfRule type="expression" dxfId="1188" priority="850">
      <formula>AND(K112=TRUE,$E$113=TRUE)</formula>
    </cfRule>
  </conditionalFormatting>
  <conditionalFormatting sqref="N114">
    <cfRule type="expression" dxfId="1187" priority="849">
      <formula>AND(K112=TRUE,$E$113=TRUE)</formula>
    </cfRule>
  </conditionalFormatting>
  <conditionalFormatting sqref="N121">
    <cfRule type="expression" dxfId="1186" priority="848">
      <formula>AND(K121=TRUE,$E$122=TRUE)</formula>
    </cfRule>
  </conditionalFormatting>
  <conditionalFormatting sqref="N122">
    <cfRule type="expression" dxfId="1185" priority="847">
      <formula>AND(K121=TRUE,$E$122=TRUE)</formula>
    </cfRule>
  </conditionalFormatting>
  <conditionalFormatting sqref="N123">
    <cfRule type="expression" dxfId="1184" priority="846">
      <formula>AND(K121=TRUE,$E$122=TRUE)</formula>
    </cfRule>
  </conditionalFormatting>
  <conditionalFormatting sqref="N130">
    <cfRule type="expression" dxfId="1183" priority="845">
      <formula>AND(K130=TRUE,$E$131=TRUE)</formula>
    </cfRule>
  </conditionalFormatting>
  <conditionalFormatting sqref="N131">
    <cfRule type="expression" dxfId="1182" priority="844">
      <formula>AND(K130=TRUE,$E$131=TRUE)</formula>
    </cfRule>
  </conditionalFormatting>
  <conditionalFormatting sqref="N132">
    <cfRule type="expression" dxfId="1181" priority="843">
      <formula>AND(K130=TRUE,$E$131=TRUE)</formula>
    </cfRule>
  </conditionalFormatting>
  <conditionalFormatting sqref="N139">
    <cfRule type="expression" dxfId="1180" priority="842">
      <formula>AND(K139=TRUE,$E$140=TRUE)</formula>
    </cfRule>
  </conditionalFormatting>
  <conditionalFormatting sqref="N140">
    <cfRule type="expression" dxfId="1179" priority="841">
      <formula>AND(K139=TRUE,$E$140=TRUE)</formula>
    </cfRule>
  </conditionalFormatting>
  <conditionalFormatting sqref="N141">
    <cfRule type="expression" dxfId="1178" priority="840">
      <formula>AND(K139=TRUE,$E$140=TRUE)</formula>
    </cfRule>
  </conditionalFormatting>
  <conditionalFormatting sqref="N148">
    <cfRule type="expression" dxfId="1177" priority="839">
      <formula>AND(K148=TRUE,$E$149=TRUE)</formula>
    </cfRule>
  </conditionalFormatting>
  <conditionalFormatting sqref="N149">
    <cfRule type="expression" dxfId="1176" priority="838">
      <formula>AND(K148=TRUE,$E$149=TRUE)</formula>
    </cfRule>
  </conditionalFormatting>
  <conditionalFormatting sqref="N150">
    <cfRule type="expression" dxfId="1175" priority="837">
      <formula>AND(K148=TRUE,$E$149=TRUE)</formula>
    </cfRule>
  </conditionalFormatting>
  <conditionalFormatting sqref="N157">
    <cfRule type="expression" dxfId="1174" priority="836">
      <formula>AND(K157=TRUE,$E$158=TRUE)</formula>
    </cfRule>
  </conditionalFormatting>
  <conditionalFormatting sqref="N158">
    <cfRule type="expression" dxfId="1173" priority="835">
      <formula>AND(K157=TRUE,$E$158=TRUE)</formula>
    </cfRule>
  </conditionalFormatting>
  <conditionalFormatting sqref="N159">
    <cfRule type="expression" dxfId="1172" priority="834">
      <formula>AND(K157=TRUE,$E$158=TRUE)</formula>
    </cfRule>
  </conditionalFormatting>
  <conditionalFormatting sqref="N166">
    <cfRule type="expression" dxfId="1171" priority="833">
      <formula>AND(K166=TRUE,$E$167=TRUE)</formula>
    </cfRule>
  </conditionalFormatting>
  <conditionalFormatting sqref="N167">
    <cfRule type="expression" dxfId="1170" priority="832">
      <formula>AND(K166=TRUE,$E$167=TRUE)</formula>
    </cfRule>
  </conditionalFormatting>
  <conditionalFormatting sqref="N168">
    <cfRule type="expression" dxfId="1169" priority="831">
      <formula>AND(K166=TRUE,$E$167=TRUE)</formula>
    </cfRule>
  </conditionalFormatting>
  <conditionalFormatting sqref="N175">
    <cfRule type="expression" dxfId="1168" priority="830">
      <formula>AND($K$175=TRUE,$E$176=TRUE)</formula>
    </cfRule>
  </conditionalFormatting>
  <conditionalFormatting sqref="N176">
    <cfRule type="expression" dxfId="1167" priority="829">
      <formula>AND($K$175=TRUE,$E$176=TRUE)</formula>
    </cfRule>
  </conditionalFormatting>
  <conditionalFormatting sqref="N177">
    <cfRule type="expression" dxfId="1166" priority="828">
      <formula>AND($K$175=TRUE,$E$176=TRUE)</formula>
    </cfRule>
  </conditionalFormatting>
  <conditionalFormatting sqref="N184">
    <cfRule type="expression" dxfId="1165" priority="827">
      <formula>AND($K$184=TRUE,$E$185=TRUE)</formula>
    </cfRule>
  </conditionalFormatting>
  <conditionalFormatting sqref="N185">
    <cfRule type="expression" dxfId="1164" priority="826">
      <formula>AND($K$184=TRUE,$E$185=TRUE)</formula>
    </cfRule>
  </conditionalFormatting>
  <conditionalFormatting sqref="N186">
    <cfRule type="expression" dxfId="1163" priority="825">
      <formula>AND($K$184=TRUE,$E$185=TRUE)</formula>
    </cfRule>
  </conditionalFormatting>
  <conditionalFormatting sqref="P14">
    <cfRule type="expression" dxfId="1162" priority="820">
      <formula>AND(K14=TRUE,$E$14=TRUE)</formula>
    </cfRule>
  </conditionalFormatting>
  <conditionalFormatting sqref="P16">
    <cfRule type="expression" dxfId="1161" priority="821">
      <formula>AND(K14=TRUE,$E$14=TRUE)</formula>
    </cfRule>
  </conditionalFormatting>
  <conditionalFormatting sqref="P23">
    <cfRule type="expression" dxfId="1160" priority="802">
      <formula>AND(K23=TRUE,E23=TRUE)</formula>
    </cfRule>
  </conditionalFormatting>
  <conditionalFormatting sqref="P25">
    <cfRule type="expression" dxfId="1159" priority="803">
      <formula>AND(K23=TRUE,E23=TRUE)</formula>
    </cfRule>
  </conditionalFormatting>
  <conditionalFormatting sqref="P32">
    <cfRule type="expression" dxfId="1158" priority="793">
      <formula>AND(K32=TRUE,$E$32=TRUE)</formula>
    </cfRule>
  </conditionalFormatting>
  <conditionalFormatting sqref="P34">
    <cfRule type="expression" dxfId="1157" priority="794">
      <formula>AND(K32=TRUE,$E$32=TRUE)</formula>
    </cfRule>
  </conditionalFormatting>
  <conditionalFormatting sqref="P41">
    <cfRule type="expression" dxfId="1156" priority="784">
      <formula>AND(K41,$E$41)=TRUE</formula>
    </cfRule>
  </conditionalFormatting>
  <conditionalFormatting sqref="P43">
    <cfRule type="expression" dxfId="1155" priority="785">
      <formula>AND(K41,$E$41)=TRUE</formula>
    </cfRule>
  </conditionalFormatting>
  <conditionalFormatting sqref="P50">
    <cfRule type="expression" dxfId="1154" priority="775">
      <formula>AND(K50=TRUE,$E$50=TRUE)</formula>
    </cfRule>
  </conditionalFormatting>
  <conditionalFormatting sqref="P52">
    <cfRule type="expression" dxfId="1153" priority="776">
      <formula>AND(K50=TRUE,$E$50=TRUE)</formula>
    </cfRule>
  </conditionalFormatting>
  <conditionalFormatting sqref="P68">
    <cfRule type="expression" dxfId="1152" priority="757">
      <formula>AND(K68=TRUE,$E$68=TRUE)</formula>
    </cfRule>
  </conditionalFormatting>
  <conditionalFormatting sqref="P70">
    <cfRule type="expression" dxfId="1151" priority="758">
      <formula>AND(K68=TRUE,$E$68=TRUE)</formula>
    </cfRule>
  </conditionalFormatting>
  <conditionalFormatting sqref="P77">
    <cfRule type="expression" dxfId="1150" priority="748">
      <formula>AND(K77=TRUE,$E$77=TRUE)</formula>
    </cfRule>
  </conditionalFormatting>
  <conditionalFormatting sqref="P79">
    <cfRule type="expression" dxfId="1149" priority="749">
      <formula>AND(K77=TRUE,$E$77=TRUE)</formula>
    </cfRule>
  </conditionalFormatting>
  <conditionalFormatting sqref="P86">
    <cfRule type="expression" dxfId="1148" priority="739">
      <formula>AND(K86=TRUE,$E$86=TRUE)</formula>
    </cfRule>
  </conditionalFormatting>
  <conditionalFormatting sqref="P88">
    <cfRule type="expression" dxfId="1147" priority="740">
      <formula>AND(K86=TRUE,$E$86=TRUE)</formula>
    </cfRule>
  </conditionalFormatting>
  <conditionalFormatting sqref="P95">
    <cfRule type="expression" dxfId="1146" priority="730">
      <formula>AND(K95=TRUE,$E$95=TRUE)</formula>
    </cfRule>
  </conditionalFormatting>
  <conditionalFormatting sqref="P97">
    <cfRule type="expression" dxfId="1145" priority="731">
      <formula>AND(K95=TRUE,$E$95=TRUE)</formula>
    </cfRule>
  </conditionalFormatting>
  <conditionalFormatting sqref="P104">
    <cfRule type="expression" dxfId="1144" priority="721">
      <formula>AND(K104=TRUE,$E$104=TRUE)</formula>
    </cfRule>
  </conditionalFormatting>
  <conditionalFormatting sqref="P106">
    <cfRule type="expression" dxfId="1143" priority="722">
      <formula>AND(K104=TRUE,$E$104=TRUE)</formula>
    </cfRule>
  </conditionalFormatting>
  <conditionalFormatting sqref="P113">
    <cfRule type="expression" dxfId="1142" priority="712">
      <formula>AND(K113=TRUE,$E$113=TRUE)</formula>
    </cfRule>
  </conditionalFormatting>
  <conditionalFormatting sqref="P115">
    <cfRule type="expression" dxfId="1141" priority="713">
      <formula>AND(K113=TRUE,$E$113=TRUE)</formula>
    </cfRule>
  </conditionalFormatting>
  <conditionalFormatting sqref="P131">
    <cfRule type="expression" dxfId="1140" priority="694">
      <formula>AND(K131,$E$131)=TRUE</formula>
    </cfRule>
  </conditionalFormatting>
  <conditionalFormatting sqref="P133">
    <cfRule type="expression" dxfId="1139" priority="695">
      <formula>AND(K131,$E$131)=TRUE</formula>
    </cfRule>
  </conditionalFormatting>
  <conditionalFormatting sqref="P167">
    <cfRule type="expression" dxfId="1138" priority="658">
      <formula>AND(K167,$E$167)=TRUE</formula>
    </cfRule>
  </conditionalFormatting>
  <conditionalFormatting sqref="P169">
    <cfRule type="expression" dxfId="1137" priority="659">
      <formula>AND(K167,$E$167)=TRUE</formula>
    </cfRule>
  </conditionalFormatting>
  <conditionalFormatting sqref="P3:Q3">
    <cfRule type="expression" dxfId="1136" priority="4502">
      <formula>OR(K14,K23,K32,K41,K50,K59,K68,K77,K86,K95,K104,K113,K122,K131,K140,K149,K158,K167,K176,K185)=TRUE</formula>
    </cfRule>
  </conditionalFormatting>
  <conditionalFormatting sqref="P13:Q13">
    <cfRule type="expression" dxfId="1135" priority="824">
      <formula>AND(K14=TRUE,$E$14=TRUE)</formula>
    </cfRule>
  </conditionalFormatting>
  <conditionalFormatting sqref="P22:Q22">
    <cfRule type="expression" dxfId="1134" priority="806">
      <formula>AND(K23=TRUE,E23=TRUE)</formula>
    </cfRule>
  </conditionalFormatting>
  <conditionalFormatting sqref="P31:Q31">
    <cfRule type="expression" dxfId="1133" priority="797">
      <formula>AND(K32=TRUE,$E$32=TRUE)</formula>
    </cfRule>
  </conditionalFormatting>
  <conditionalFormatting sqref="P40:Q40">
    <cfRule type="expression" dxfId="1132" priority="788">
      <formula>AND(K41,$E$41)=TRUE</formula>
    </cfRule>
  </conditionalFormatting>
  <conditionalFormatting sqref="P49:Q49">
    <cfRule type="expression" dxfId="1131" priority="779">
      <formula>AND(K50=TRUE,$E$50=TRUE)</formula>
    </cfRule>
  </conditionalFormatting>
  <conditionalFormatting sqref="P58:Q59">
    <cfRule type="expression" dxfId="1130" priority="765">
      <formula>AND($K$59,$E$59)=TRUE</formula>
    </cfRule>
  </conditionalFormatting>
  <conditionalFormatting sqref="P61:Q61">
    <cfRule type="expression" dxfId="1129" priority="767">
      <formula>AND($K$59,$E$59)=TRUE</formula>
    </cfRule>
  </conditionalFormatting>
  <conditionalFormatting sqref="P67:Q67">
    <cfRule type="expression" dxfId="1128" priority="761">
      <formula>AND(K68=TRUE,$E$68=TRUE)</formula>
    </cfRule>
  </conditionalFormatting>
  <conditionalFormatting sqref="P76:Q76">
    <cfRule type="expression" dxfId="1127" priority="752">
      <formula>AND(K77=TRUE,$E$77=TRUE)</formula>
    </cfRule>
  </conditionalFormatting>
  <conditionalFormatting sqref="P85:Q85">
    <cfRule type="expression" dxfId="1126" priority="743">
      <formula>AND(K86=TRUE,$E$86=TRUE)</formula>
    </cfRule>
  </conditionalFormatting>
  <conditionalFormatting sqref="P94:Q94">
    <cfRule type="expression" dxfId="1125" priority="734">
      <formula>AND(K95=TRUE,$E$95=TRUE)</formula>
    </cfRule>
  </conditionalFormatting>
  <conditionalFormatting sqref="P103:Q103">
    <cfRule type="expression" dxfId="1124" priority="725">
      <formula>AND(K104=TRUE,$E$104=TRUE)</formula>
    </cfRule>
  </conditionalFormatting>
  <conditionalFormatting sqref="P112:Q112">
    <cfRule type="expression" dxfId="1123" priority="716">
      <formula>AND(K113=TRUE,$E$113=TRUE)</formula>
    </cfRule>
  </conditionalFormatting>
  <conditionalFormatting sqref="P121:Q122">
    <cfRule type="expression" dxfId="1122" priority="702">
      <formula>AND($K$122,$E$122)=TRUE</formula>
    </cfRule>
  </conditionalFormatting>
  <conditionalFormatting sqref="P124:Q124">
    <cfRule type="expression" dxfId="1121" priority="704">
      <formula>AND($K$122,$E$122)=TRUE</formula>
    </cfRule>
  </conditionalFormatting>
  <conditionalFormatting sqref="P130:Q130">
    <cfRule type="expression" dxfId="1120" priority="698">
      <formula>AND(K131,$E$131)=TRUE</formula>
    </cfRule>
  </conditionalFormatting>
  <conditionalFormatting sqref="P139:Q140">
    <cfRule type="expression" dxfId="1119" priority="684">
      <formula>AND($K$140,$E$140)=TRUE</formula>
    </cfRule>
  </conditionalFormatting>
  <conditionalFormatting sqref="P142:Q142">
    <cfRule type="expression" dxfId="1118" priority="686">
      <formula>AND($K$140,$E$140)=TRUE</formula>
    </cfRule>
  </conditionalFormatting>
  <conditionalFormatting sqref="P148:Q149">
    <cfRule type="expression" dxfId="1117" priority="675">
      <formula>AND($K$149,$E$149)=TRUE</formula>
    </cfRule>
  </conditionalFormatting>
  <conditionalFormatting sqref="P151:Q151">
    <cfRule type="expression" dxfId="1116" priority="677">
      <formula>AND($K$149,$E$149)=TRUE</formula>
    </cfRule>
  </conditionalFormatting>
  <conditionalFormatting sqref="P157:Q158">
    <cfRule type="expression" dxfId="1115" priority="666">
      <formula>AND($K$158,$E$158)=TRUE</formula>
    </cfRule>
  </conditionalFormatting>
  <conditionalFormatting sqref="P160:Q160">
    <cfRule type="expression" dxfId="1114" priority="668">
      <formula>AND($K$158,$E$158)=TRUE</formula>
    </cfRule>
  </conditionalFormatting>
  <conditionalFormatting sqref="P166:Q166">
    <cfRule type="expression" dxfId="1113" priority="662">
      <formula>AND(K167,$E$167)=TRUE</formula>
    </cfRule>
  </conditionalFormatting>
  <conditionalFormatting sqref="P175:Q176">
    <cfRule type="expression" dxfId="1112" priority="648">
      <formula>AND($K$176=TRUE,$E$176=TRUE)</formula>
    </cfRule>
  </conditionalFormatting>
  <conditionalFormatting sqref="P178:Q178">
    <cfRule type="expression" dxfId="1111" priority="650">
      <formula>AND($K$176=TRUE,$E$176=TRUE)</formula>
    </cfRule>
  </conditionalFormatting>
  <conditionalFormatting sqref="P184:Q185">
    <cfRule type="expression" dxfId="1110" priority="639">
      <formula>AND($K$185=TRUE,$E$185=TRUE)</formula>
    </cfRule>
  </conditionalFormatting>
  <conditionalFormatting sqref="P187:Q187">
    <cfRule type="expression" dxfId="1109" priority="641">
      <formula>AND($K$185=TRUE,$E$185=TRUE)</formula>
    </cfRule>
  </conditionalFormatting>
  <conditionalFormatting sqref="Q14">
    <cfRule type="expression" dxfId="1108" priority="819">
      <formula>AND(K14=TRUE,$E$14=TRUE)</formula>
    </cfRule>
  </conditionalFormatting>
  <conditionalFormatting sqref="Q15">
    <cfRule type="expression" dxfId="1107" priority="823">
      <formula>AND(K14,P14,E14)=TRUE</formula>
    </cfRule>
  </conditionalFormatting>
  <conditionalFormatting sqref="Q16">
    <cfRule type="expression" dxfId="1106" priority="822">
      <formula>AND(K14=TRUE,$E$14=TRUE)</formula>
    </cfRule>
    <cfRule type="expression" dxfId="1105" priority="1022">
      <formula>P13=TRUE</formula>
    </cfRule>
  </conditionalFormatting>
  <conditionalFormatting sqref="Q17">
    <cfRule type="expression" dxfId="1104" priority="1015">
      <formula>AND(P16,K14,E14)=TRUE</formula>
    </cfRule>
  </conditionalFormatting>
  <conditionalFormatting sqref="Q18">
    <cfRule type="expression" dxfId="1103" priority="1025">
      <formula>AND(P16,K14,E14)=TRUE</formula>
    </cfRule>
  </conditionalFormatting>
  <conditionalFormatting sqref="Q23">
    <cfRule type="expression" dxfId="1102" priority="801">
      <formula>AND(K23=TRUE,E23=TRUE)</formula>
    </cfRule>
  </conditionalFormatting>
  <conditionalFormatting sqref="Q24">
    <cfRule type="expression" dxfId="1101" priority="805">
      <formula>AND(K23,P23,E23)=TRUE</formula>
    </cfRule>
  </conditionalFormatting>
  <conditionalFormatting sqref="Q25">
    <cfRule type="expression" dxfId="1100" priority="808">
      <formula>P22=TRUE</formula>
    </cfRule>
    <cfRule type="expression" dxfId="1099" priority="804">
      <formula>AND(K23=TRUE,E23=TRUE)</formula>
    </cfRule>
  </conditionalFormatting>
  <conditionalFormatting sqref="Q26">
    <cfRule type="expression" dxfId="1098" priority="807">
      <formula>AND(P25,K23,E23)=TRUE</formula>
    </cfRule>
  </conditionalFormatting>
  <conditionalFormatting sqref="Q27">
    <cfRule type="expression" dxfId="1097" priority="809">
      <formula>AND(P25,K23,E23)=TRUE</formula>
    </cfRule>
  </conditionalFormatting>
  <conditionalFormatting sqref="Q32">
    <cfRule type="expression" dxfId="1096" priority="792">
      <formula>AND(K32=TRUE,$E$32=TRUE)</formula>
    </cfRule>
  </conditionalFormatting>
  <conditionalFormatting sqref="Q33">
    <cfRule type="expression" dxfId="1095" priority="796">
      <formula>AND(K32,P32,E32)=TRUE</formula>
    </cfRule>
  </conditionalFormatting>
  <conditionalFormatting sqref="Q34">
    <cfRule type="expression" dxfId="1094" priority="795">
      <formula>AND(K32=TRUE,$E$32=TRUE)</formula>
    </cfRule>
    <cfRule type="expression" dxfId="1093" priority="799">
      <formula>P31=TRUE</formula>
    </cfRule>
  </conditionalFormatting>
  <conditionalFormatting sqref="Q35">
    <cfRule type="expression" dxfId="1092" priority="798">
      <formula>AND(P34,K32,E32)=TRUE</formula>
    </cfRule>
  </conditionalFormatting>
  <conditionalFormatting sqref="Q36">
    <cfRule type="expression" dxfId="1091" priority="800">
      <formula>AND(P34,K32,E32)=TRUE</formula>
    </cfRule>
  </conditionalFormatting>
  <conditionalFormatting sqref="Q41">
    <cfRule type="expression" dxfId="1090" priority="783">
      <formula>AND(K41,$E$41)=TRUE</formula>
    </cfRule>
  </conditionalFormatting>
  <conditionalFormatting sqref="Q42">
    <cfRule type="expression" dxfId="1089" priority="787">
      <formula>AND(K41,P41,E41)=TRUE</formula>
    </cfRule>
  </conditionalFormatting>
  <conditionalFormatting sqref="Q43">
    <cfRule type="expression" dxfId="1088" priority="786">
      <formula>AND(K41,$E$41)=TRUE</formula>
    </cfRule>
    <cfRule type="expression" dxfId="1087" priority="790">
      <formula>P40=TRUE</formula>
    </cfRule>
  </conditionalFormatting>
  <conditionalFormatting sqref="Q44">
    <cfRule type="expression" dxfId="1086" priority="789">
      <formula>AND(P43,K41,E41)=TRUE</formula>
    </cfRule>
  </conditionalFormatting>
  <conditionalFormatting sqref="Q45">
    <cfRule type="expression" dxfId="1085" priority="791">
      <formula>AND(P43,K41,E41)=TRUE</formula>
    </cfRule>
  </conditionalFormatting>
  <conditionalFormatting sqref="Q50">
    <cfRule type="expression" dxfId="1084" priority="774">
      <formula>AND(K50=TRUE,$E$50=TRUE)</formula>
    </cfRule>
  </conditionalFormatting>
  <conditionalFormatting sqref="Q51">
    <cfRule type="expression" dxfId="1083" priority="778">
      <formula>AND(K50,P50,$E$50)=TRUE</formula>
    </cfRule>
  </conditionalFormatting>
  <conditionalFormatting sqref="Q52">
    <cfRule type="expression" dxfId="1082" priority="781">
      <formula>P49=TRUE</formula>
    </cfRule>
    <cfRule type="expression" dxfId="1081" priority="777">
      <formula>AND(K50=TRUE,$E$50=TRUE)</formula>
    </cfRule>
  </conditionalFormatting>
  <conditionalFormatting sqref="Q53">
    <cfRule type="expression" dxfId="1080" priority="780">
      <formula>AND(P52,K50,$E$50)=TRUE</formula>
    </cfRule>
  </conditionalFormatting>
  <conditionalFormatting sqref="Q54">
    <cfRule type="expression" dxfId="1079" priority="782">
      <formula>AND(P52,K50,$E$50)=TRUE</formula>
    </cfRule>
  </conditionalFormatting>
  <conditionalFormatting sqref="Q60">
    <cfRule type="expression" dxfId="1078" priority="769">
      <formula>AND(K59,P59,$E$59)=TRUE</formula>
    </cfRule>
  </conditionalFormatting>
  <conditionalFormatting sqref="Q61">
    <cfRule type="expression" dxfId="1077" priority="772">
      <formula>P58=TRUE</formula>
    </cfRule>
  </conditionalFormatting>
  <conditionalFormatting sqref="Q62">
    <cfRule type="expression" dxfId="1076" priority="771">
      <formula>AND(P61,K59,$E$59)=TRUE</formula>
    </cfRule>
  </conditionalFormatting>
  <conditionalFormatting sqref="Q63">
    <cfRule type="expression" dxfId="1075" priority="773">
      <formula>AND(P61,K59,$E$59)=TRUE</formula>
    </cfRule>
  </conditionalFormatting>
  <conditionalFormatting sqref="Q68">
    <cfRule type="expression" dxfId="1074" priority="756">
      <formula>AND(K68=TRUE,$E$68=TRUE)</formula>
    </cfRule>
  </conditionalFormatting>
  <conditionalFormatting sqref="Q69">
    <cfRule type="expression" dxfId="1073" priority="760">
      <formula>AND(K68,P68,$E$68)=TRUE</formula>
    </cfRule>
  </conditionalFormatting>
  <conditionalFormatting sqref="Q70">
    <cfRule type="expression" dxfId="1072" priority="763">
      <formula>P67=TRUE</formula>
    </cfRule>
    <cfRule type="expression" dxfId="1071" priority="759">
      <formula>AND(K68=TRUE,$E$68=TRUE)</formula>
    </cfRule>
  </conditionalFormatting>
  <conditionalFormatting sqref="Q71">
    <cfRule type="expression" dxfId="1070" priority="762">
      <formula>AND(P70,K68,$E$68)=TRUE</formula>
    </cfRule>
  </conditionalFormatting>
  <conditionalFormatting sqref="Q72">
    <cfRule type="expression" dxfId="1069" priority="764">
      <formula>AND(P70,K68,$E$68)=TRUE</formula>
    </cfRule>
  </conditionalFormatting>
  <conditionalFormatting sqref="Q77">
    <cfRule type="expression" dxfId="1068" priority="747">
      <formula>AND(K77=TRUE,$E$77=TRUE)</formula>
    </cfRule>
  </conditionalFormatting>
  <conditionalFormatting sqref="Q78">
    <cfRule type="expression" dxfId="1067" priority="751">
      <formula>AND(K77,P77,$E$77)=TRUE</formula>
    </cfRule>
  </conditionalFormatting>
  <conditionalFormatting sqref="Q79">
    <cfRule type="expression" dxfId="1066" priority="750">
      <formula>AND(K77=TRUE,$E$77=TRUE)</formula>
    </cfRule>
    <cfRule type="expression" dxfId="1065" priority="754">
      <formula>P76=TRUE</formula>
    </cfRule>
  </conditionalFormatting>
  <conditionalFormatting sqref="Q80">
    <cfRule type="expression" dxfId="1064" priority="753">
      <formula>AND(P79,K77,$E$77)=TRUE</formula>
    </cfRule>
  </conditionalFormatting>
  <conditionalFormatting sqref="Q81">
    <cfRule type="expression" dxfId="1063" priority="755">
      <formula>AND(P79,K77,$E$77)=TRUE</formula>
    </cfRule>
  </conditionalFormatting>
  <conditionalFormatting sqref="Q86">
    <cfRule type="expression" dxfId="1062" priority="738">
      <formula>AND(K86=TRUE,$E$86=TRUE)</formula>
    </cfRule>
  </conditionalFormatting>
  <conditionalFormatting sqref="Q87">
    <cfRule type="expression" dxfId="1061" priority="742">
      <formula>AND(K86,P86,$E$86)=TRUE</formula>
    </cfRule>
  </conditionalFormatting>
  <conditionalFormatting sqref="Q88">
    <cfRule type="expression" dxfId="1060" priority="745">
      <formula>P85=TRUE</formula>
    </cfRule>
    <cfRule type="expression" dxfId="1059" priority="741">
      <formula>AND(K86=TRUE,$E$86=TRUE)</formula>
    </cfRule>
  </conditionalFormatting>
  <conditionalFormatting sqref="Q89">
    <cfRule type="expression" dxfId="1058" priority="744">
      <formula>AND(P88,K86,$E$86)=TRUE</formula>
    </cfRule>
  </conditionalFormatting>
  <conditionalFormatting sqref="Q90">
    <cfRule type="expression" dxfId="1057" priority="746">
      <formula>AND(P88,K86,$E$86)=TRUE</formula>
    </cfRule>
  </conditionalFormatting>
  <conditionalFormatting sqref="Q95">
    <cfRule type="expression" dxfId="1056" priority="729">
      <formula>AND(K95=TRUE,$E$95=TRUE)</formula>
    </cfRule>
  </conditionalFormatting>
  <conditionalFormatting sqref="Q96">
    <cfRule type="expression" dxfId="1055" priority="733">
      <formula>AND(K95,P95,$E$95)=TRUE</formula>
    </cfRule>
  </conditionalFormatting>
  <conditionalFormatting sqref="Q97">
    <cfRule type="expression" dxfId="1054" priority="732">
      <formula>AND(K95=TRUE,$E$95=TRUE)</formula>
    </cfRule>
    <cfRule type="expression" dxfId="1053" priority="736">
      <formula>P94=TRUE</formula>
    </cfRule>
  </conditionalFormatting>
  <conditionalFormatting sqref="Q98">
    <cfRule type="expression" dxfId="1052" priority="735">
      <formula>AND(P97,K95,$E$95)=TRUE</formula>
    </cfRule>
  </conditionalFormatting>
  <conditionalFormatting sqref="Q99">
    <cfRule type="expression" dxfId="1051" priority="737">
      <formula>AND(P97,K95,$E$95)=TRUE</formula>
    </cfRule>
  </conditionalFormatting>
  <conditionalFormatting sqref="Q104">
    <cfRule type="expression" dxfId="1050" priority="720">
      <formula>AND(K104=TRUE,$E$104=TRUE)</formula>
    </cfRule>
  </conditionalFormatting>
  <conditionalFormatting sqref="Q105">
    <cfRule type="expression" dxfId="1049" priority="724">
      <formula>AND(K104,P104,$E$104)=TRUE</formula>
    </cfRule>
  </conditionalFormatting>
  <conditionalFormatting sqref="Q106">
    <cfRule type="expression" dxfId="1048" priority="723">
      <formula>AND(K104=TRUE,$E$104=TRUE)</formula>
    </cfRule>
    <cfRule type="expression" dxfId="1047" priority="727">
      <formula>P103=TRUE</formula>
    </cfRule>
  </conditionalFormatting>
  <conditionalFormatting sqref="Q107">
    <cfRule type="expression" dxfId="1046" priority="726">
      <formula>AND(P106,K104,$E$104)=TRUE</formula>
    </cfRule>
  </conditionalFormatting>
  <conditionalFormatting sqref="Q108">
    <cfRule type="expression" dxfId="1045" priority="728">
      <formula>AND(P106,K104,$E$104)=TRUE</formula>
    </cfRule>
  </conditionalFormatting>
  <conditionalFormatting sqref="Q113">
    <cfRule type="expression" dxfId="1044" priority="711">
      <formula>AND(K113=TRUE,$E$113=TRUE)</formula>
    </cfRule>
  </conditionalFormatting>
  <conditionalFormatting sqref="Q114">
    <cfRule type="expression" dxfId="1043" priority="715">
      <formula>AND(K113,P113,$E$113)=TRUE</formula>
    </cfRule>
  </conditionalFormatting>
  <conditionalFormatting sqref="Q115">
    <cfRule type="expression" dxfId="1042" priority="714">
      <formula>AND(K113=TRUE,$E$113=TRUE)</formula>
    </cfRule>
    <cfRule type="expression" dxfId="1041" priority="718">
      <formula>P112=TRUE</formula>
    </cfRule>
  </conditionalFormatting>
  <conditionalFormatting sqref="Q116">
    <cfRule type="expression" dxfId="1040" priority="717">
      <formula>AND(P115,K113,$E$113)=TRUE</formula>
    </cfRule>
  </conditionalFormatting>
  <conditionalFormatting sqref="Q117">
    <cfRule type="expression" dxfId="1039" priority="719">
      <formula>AND(P115,K113,$E$113)=TRUE</formula>
    </cfRule>
  </conditionalFormatting>
  <conditionalFormatting sqref="Q123">
    <cfRule type="expression" dxfId="1038" priority="706">
      <formula>AND(K122,P122,E122)</formula>
    </cfRule>
  </conditionalFormatting>
  <conditionalFormatting sqref="Q124">
    <cfRule type="expression" dxfId="1037" priority="709">
      <formula>P121=TRUE</formula>
    </cfRule>
  </conditionalFormatting>
  <conditionalFormatting sqref="Q125">
    <cfRule type="expression" dxfId="1036" priority="708">
      <formula>AND(P124,K122,$E$122)=TRUE</formula>
    </cfRule>
  </conditionalFormatting>
  <conditionalFormatting sqref="Q126">
    <cfRule type="expression" dxfId="1035" priority="710">
      <formula>AND(P124,K122,E122)=TRUE</formula>
    </cfRule>
  </conditionalFormatting>
  <conditionalFormatting sqref="Q131">
    <cfRule type="expression" dxfId="1034" priority="693">
      <formula>AND(K131,$E$131)=TRUE</formula>
    </cfRule>
  </conditionalFormatting>
  <conditionalFormatting sqref="Q132">
    <cfRule type="expression" dxfId="1033" priority="697">
      <formula>AND(K131,P131,$E$131)=TRUE</formula>
    </cfRule>
  </conditionalFormatting>
  <conditionalFormatting sqref="Q133">
    <cfRule type="expression" dxfId="1032" priority="696">
      <formula>AND(K131,$E$131)=TRUE</formula>
    </cfRule>
    <cfRule type="expression" dxfId="1031" priority="700">
      <formula>AND(K131,$E$131)=TRUE</formula>
    </cfRule>
  </conditionalFormatting>
  <conditionalFormatting sqref="Q134">
    <cfRule type="expression" dxfId="1030" priority="699">
      <formula>AND(P133,K131,$E$131)=TRUE</formula>
    </cfRule>
  </conditionalFormatting>
  <conditionalFormatting sqref="Q135">
    <cfRule type="expression" dxfId="1029" priority="701">
      <formula>AND(P133,K131,$E$131)=TRUE</formula>
    </cfRule>
  </conditionalFormatting>
  <conditionalFormatting sqref="Q141">
    <cfRule type="expression" dxfId="1028" priority="688">
      <formula>AND(K140,P140,$E$140)=TRUE</formula>
    </cfRule>
  </conditionalFormatting>
  <conditionalFormatting sqref="Q142">
    <cfRule type="expression" dxfId="1027" priority="691">
      <formula>P139=TRUE</formula>
    </cfRule>
  </conditionalFormatting>
  <conditionalFormatting sqref="Q143">
    <cfRule type="expression" dxfId="1026" priority="690">
      <formula>AND(P142,K140,$E$140)=TRUE</formula>
    </cfRule>
  </conditionalFormatting>
  <conditionalFormatting sqref="Q144">
    <cfRule type="expression" dxfId="1025" priority="692">
      <formula>AND(P142,K140,$E$140)=TRUE</formula>
    </cfRule>
  </conditionalFormatting>
  <conditionalFormatting sqref="Q150">
    <cfRule type="expression" dxfId="1024" priority="679">
      <formula>AND(K149,P149,$E$149)=TRUE</formula>
    </cfRule>
  </conditionalFormatting>
  <conditionalFormatting sqref="Q151">
    <cfRule type="expression" dxfId="1023" priority="682">
      <formula>P148=TRUE</formula>
    </cfRule>
  </conditionalFormatting>
  <conditionalFormatting sqref="Q152">
    <cfRule type="expression" dxfId="1022" priority="681">
      <formula>AND(P151,K149,$E$149)=TRUE</formula>
    </cfRule>
  </conditionalFormatting>
  <conditionalFormatting sqref="Q153">
    <cfRule type="expression" dxfId="1021" priority="683">
      <formula>AND(P151,K149,$E$149)=TRUE</formula>
    </cfRule>
  </conditionalFormatting>
  <conditionalFormatting sqref="Q159">
    <cfRule type="expression" dxfId="1020" priority="670">
      <formula>AND(K158,P158,$E$158)=TRUE</formula>
    </cfRule>
  </conditionalFormatting>
  <conditionalFormatting sqref="Q160">
    <cfRule type="expression" dxfId="1019" priority="673">
      <formula>P157=TRUE</formula>
    </cfRule>
  </conditionalFormatting>
  <conditionalFormatting sqref="Q161">
    <cfRule type="expression" dxfId="1018" priority="672">
      <formula>AND(P160,K158,$E$158)=TRUE</formula>
    </cfRule>
  </conditionalFormatting>
  <conditionalFormatting sqref="Q162">
    <cfRule type="expression" dxfId="1017" priority="674">
      <formula>AND(P160,K158,$E$158)=TRUE</formula>
    </cfRule>
  </conditionalFormatting>
  <conditionalFormatting sqref="Q167">
    <cfRule type="expression" dxfId="1016" priority="657">
      <formula>AND($K$167,$E$167)=TRUE</formula>
    </cfRule>
  </conditionalFormatting>
  <conditionalFormatting sqref="Q168">
    <cfRule type="expression" dxfId="1015" priority="661">
      <formula>AND(K167,P167,$E$167)=TRUE</formula>
    </cfRule>
  </conditionalFormatting>
  <conditionalFormatting sqref="Q169">
    <cfRule type="expression" dxfId="1014" priority="660">
      <formula>AND(K167,$E$167)=TRUE</formula>
    </cfRule>
    <cfRule type="expression" dxfId="1013" priority="664">
      <formula>P166=TRUE</formula>
    </cfRule>
  </conditionalFormatting>
  <conditionalFormatting sqref="Q170">
    <cfRule type="expression" dxfId="1012" priority="663">
      <formula>AND(P169,K167,$E$167)=TRUE</formula>
    </cfRule>
  </conditionalFormatting>
  <conditionalFormatting sqref="Q171">
    <cfRule type="expression" dxfId="1011" priority="665">
      <formula>AND(P169,K167,$E$167)=TRUE</formula>
    </cfRule>
  </conditionalFormatting>
  <conditionalFormatting sqref="Q177">
    <cfRule type="expression" dxfId="1010" priority="652">
      <formula>AND(K176,P176,$E$176)=TRUE</formula>
    </cfRule>
  </conditionalFormatting>
  <conditionalFormatting sqref="Q178">
    <cfRule type="expression" dxfId="1009" priority="655">
      <formula>P175=TRUE</formula>
    </cfRule>
  </conditionalFormatting>
  <conditionalFormatting sqref="Q179">
    <cfRule type="expression" dxfId="1008" priority="654">
      <formula>AND(P178,K176,$E$176)=TRUE</formula>
    </cfRule>
  </conditionalFormatting>
  <conditionalFormatting sqref="Q180">
    <cfRule type="expression" dxfId="1007" priority="656">
      <formula>AND(P178,K176,$E$176)=TRUE</formula>
    </cfRule>
  </conditionalFormatting>
  <conditionalFormatting sqref="Q186">
    <cfRule type="expression" dxfId="1006" priority="643">
      <formula>AND(K185,P185,$E$185=TRUE)</formula>
    </cfRule>
  </conditionalFormatting>
  <conditionalFormatting sqref="Q187">
    <cfRule type="expression" dxfId="1005" priority="646">
      <formula>P184=TRUE</formula>
    </cfRule>
  </conditionalFormatting>
  <conditionalFormatting sqref="Q188">
    <cfRule type="expression" dxfId="1004" priority="645">
      <formula>AND(P187,K185)=TRUE</formula>
    </cfRule>
  </conditionalFormatting>
  <conditionalFormatting sqref="Q189">
    <cfRule type="expression" dxfId="1003" priority="1">
      <formula>AND($P$187=TRUE,$K$185=TRUE,$E$185=TRUE)</formula>
    </cfRule>
  </conditionalFormatting>
  <conditionalFormatting sqref="Q10:R10">
    <cfRule type="expression" dxfId="1002" priority="4503">
      <formula>OR(K14,K23,K32,K41,K50,K59,K68,K77,K86,K95,K104,K113,K122,K131,K140,K149,K158,K167,K176,K185)=TRUE</formula>
    </cfRule>
  </conditionalFormatting>
  <conditionalFormatting sqref="S14">
    <cfRule type="expression" dxfId="1001" priority="473">
      <formula>E15=TRUE</formula>
    </cfRule>
  </conditionalFormatting>
  <conditionalFormatting sqref="S16">
    <cfRule type="expression" dxfId="1000" priority="466">
      <formula>E15=TRUE</formula>
    </cfRule>
  </conditionalFormatting>
  <conditionalFormatting sqref="S17">
    <cfRule type="expression" dxfId="999" priority="467">
      <formula>E15=TRUE</formula>
    </cfRule>
  </conditionalFormatting>
  <conditionalFormatting sqref="S23">
    <cfRule type="expression" dxfId="997" priority="463">
      <formula>E24=TRUE</formula>
    </cfRule>
  </conditionalFormatting>
  <conditionalFormatting sqref="S25">
    <cfRule type="expression" dxfId="996" priority="456">
      <formula>E24=TRUE</formula>
    </cfRule>
  </conditionalFormatting>
  <conditionalFormatting sqref="S26">
    <cfRule type="expression" dxfId="995" priority="457">
      <formula>E24=TRUE</formula>
    </cfRule>
  </conditionalFormatting>
  <conditionalFormatting sqref="S32">
    <cfRule type="expression" dxfId="994" priority="453">
      <formula>E33=TRUE</formula>
    </cfRule>
  </conditionalFormatting>
  <conditionalFormatting sqref="S34">
    <cfRule type="expression" dxfId="993" priority="446">
      <formula>E33=TRUE</formula>
    </cfRule>
  </conditionalFormatting>
  <conditionalFormatting sqref="S35">
    <cfRule type="expression" dxfId="992" priority="447">
      <formula>E33=TRUE</formula>
    </cfRule>
  </conditionalFormatting>
  <conditionalFormatting sqref="S41">
    <cfRule type="expression" dxfId="991" priority="443">
      <formula>E42=TRUE</formula>
    </cfRule>
  </conditionalFormatting>
  <conditionalFormatting sqref="S43">
    <cfRule type="expression" dxfId="990" priority="436">
      <formula>E42=TRUE</formula>
    </cfRule>
  </conditionalFormatting>
  <conditionalFormatting sqref="S44">
    <cfRule type="expression" dxfId="989" priority="437">
      <formula>E42=TRUE</formula>
    </cfRule>
  </conditionalFormatting>
  <conditionalFormatting sqref="S50">
    <cfRule type="expression" dxfId="988" priority="433">
      <formula>E51=TRUE</formula>
    </cfRule>
  </conditionalFormatting>
  <conditionalFormatting sqref="S52">
    <cfRule type="expression" dxfId="987" priority="426">
      <formula>E51=TRUE</formula>
    </cfRule>
  </conditionalFormatting>
  <conditionalFormatting sqref="S53">
    <cfRule type="expression" dxfId="986" priority="427">
      <formula>E51=TRUE</formula>
    </cfRule>
  </conditionalFormatting>
  <conditionalFormatting sqref="S59">
    <cfRule type="expression" dxfId="985" priority="423">
      <formula>E60=TRUE</formula>
    </cfRule>
  </conditionalFormatting>
  <conditionalFormatting sqref="S61">
    <cfRule type="expression" dxfId="984" priority="416">
      <formula>E60=TRUE</formula>
    </cfRule>
  </conditionalFormatting>
  <conditionalFormatting sqref="S62">
    <cfRule type="expression" dxfId="983" priority="417">
      <formula>E60=TRUE</formula>
    </cfRule>
  </conditionalFormatting>
  <conditionalFormatting sqref="S68">
    <cfRule type="expression" dxfId="982" priority="413">
      <formula>E69=TRUE</formula>
    </cfRule>
  </conditionalFormatting>
  <conditionalFormatting sqref="S70">
    <cfRule type="expression" dxfId="981" priority="406">
      <formula>E69=TRUE</formula>
    </cfRule>
  </conditionalFormatting>
  <conditionalFormatting sqref="S71">
    <cfRule type="expression" dxfId="980" priority="407">
      <formula>E69=TRUE</formula>
    </cfRule>
  </conditionalFormatting>
  <conditionalFormatting sqref="S77">
    <cfRule type="expression" dxfId="979" priority="403">
      <formula>E78=TRUE</formula>
    </cfRule>
  </conditionalFormatting>
  <conditionalFormatting sqref="S79">
    <cfRule type="expression" dxfId="978" priority="396">
      <formula>E78=TRUE</formula>
    </cfRule>
  </conditionalFormatting>
  <conditionalFormatting sqref="S80">
    <cfRule type="expression" dxfId="977" priority="397">
      <formula>E78=TRUE</formula>
    </cfRule>
  </conditionalFormatting>
  <conditionalFormatting sqref="S86">
    <cfRule type="expression" dxfId="976" priority="393">
      <formula>E87=TRUE</formula>
    </cfRule>
  </conditionalFormatting>
  <conditionalFormatting sqref="S88">
    <cfRule type="expression" dxfId="975" priority="386">
      <formula>E87=TRUE</formula>
    </cfRule>
  </conditionalFormatting>
  <conditionalFormatting sqref="S89">
    <cfRule type="expression" dxfId="974" priority="387">
      <formula>E87=TRUE</formula>
    </cfRule>
  </conditionalFormatting>
  <conditionalFormatting sqref="S95">
    <cfRule type="expression" dxfId="973" priority="383">
      <formula>E96=TRUE</formula>
    </cfRule>
  </conditionalFormatting>
  <conditionalFormatting sqref="S97">
    <cfRule type="expression" dxfId="972" priority="376">
      <formula>E96=TRUE</formula>
    </cfRule>
  </conditionalFormatting>
  <conditionalFormatting sqref="S98">
    <cfRule type="expression" dxfId="971" priority="377">
      <formula>E96=TRUE</formula>
    </cfRule>
  </conditionalFormatting>
  <conditionalFormatting sqref="S104">
    <cfRule type="expression" dxfId="970" priority="373">
      <formula>E105=TRUE</formula>
    </cfRule>
  </conditionalFormatting>
  <conditionalFormatting sqref="S106">
    <cfRule type="expression" dxfId="969" priority="366">
      <formula>E105=TRUE</formula>
    </cfRule>
  </conditionalFormatting>
  <conditionalFormatting sqref="S107">
    <cfRule type="expression" dxfId="968" priority="367">
      <formula>E105=TRUE</formula>
    </cfRule>
  </conditionalFormatting>
  <conditionalFormatting sqref="S113">
    <cfRule type="expression" dxfId="967" priority="363">
      <formula>E114=TRUE</formula>
    </cfRule>
  </conditionalFormatting>
  <conditionalFormatting sqref="S115">
    <cfRule type="expression" dxfId="966" priority="356">
      <formula>E114=TRUE</formula>
    </cfRule>
  </conditionalFormatting>
  <conditionalFormatting sqref="S116">
    <cfRule type="expression" dxfId="965" priority="357">
      <formula>E114=TRUE</formula>
    </cfRule>
  </conditionalFormatting>
  <conditionalFormatting sqref="S122">
    <cfRule type="expression" dxfId="964" priority="353">
      <formula>E123=TRUE</formula>
    </cfRule>
  </conditionalFormatting>
  <conditionalFormatting sqref="S124">
    <cfRule type="expression" dxfId="963" priority="346">
      <formula>E123=TRUE</formula>
    </cfRule>
  </conditionalFormatting>
  <conditionalFormatting sqref="S125">
    <cfRule type="expression" dxfId="962" priority="347">
      <formula>E123=TRUE</formula>
    </cfRule>
  </conditionalFormatting>
  <conditionalFormatting sqref="S131">
    <cfRule type="expression" dxfId="961" priority="343">
      <formula>E132=TRUE</formula>
    </cfRule>
  </conditionalFormatting>
  <conditionalFormatting sqref="S133">
    <cfRule type="expression" dxfId="960" priority="336">
      <formula>E132=TRUE</formula>
    </cfRule>
  </conditionalFormatting>
  <conditionalFormatting sqref="S134">
    <cfRule type="expression" dxfId="959" priority="337">
      <formula>E132=TRUE</formula>
    </cfRule>
  </conditionalFormatting>
  <conditionalFormatting sqref="S140">
    <cfRule type="expression" dxfId="958" priority="333">
      <formula>E141=TRUE</formula>
    </cfRule>
  </conditionalFormatting>
  <conditionalFormatting sqref="S142">
    <cfRule type="expression" dxfId="957" priority="326">
      <formula>E141=TRUE</formula>
    </cfRule>
  </conditionalFormatting>
  <conditionalFormatting sqref="S143">
    <cfRule type="expression" dxfId="956" priority="327">
      <formula>E141=TRUE</formula>
    </cfRule>
  </conditionalFormatting>
  <conditionalFormatting sqref="S149">
    <cfRule type="expression" dxfId="955" priority="323">
      <formula>E150=TRUE</formula>
    </cfRule>
  </conditionalFormatting>
  <conditionalFormatting sqref="S151">
    <cfRule type="expression" dxfId="954" priority="316">
      <formula>E150=TRUE</formula>
    </cfRule>
  </conditionalFormatting>
  <conditionalFormatting sqref="S152">
    <cfRule type="expression" dxfId="953" priority="317">
      <formula>E150=TRUE</formula>
    </cfRule>
  </conditionalFormatting>
  <conditionalFormatting sqref="S158">
    <cfRule type="expression" dxfId="952" priority="313">
      <formula>E159=TRUE</formula>
    </cfRule>
  </conditionalFormatting>
  <conditionalFormatting sqref="S160">
    <cfRule type="expression" dxfId="951" priority="306">
      <formula>E159=TRUE</formula>
    </cfRule>
  </conditionalFormatting>
  <conditionalFormatting sqref="S161">
    <cfRule type="expression" dxfId="950" priority="307">
      <formula>E159=TRUE</formula>
    </cfRule>
  </conditionalFormatting>
  <conditionalFormatting sqref="S167">
    <cfRule type="expression" dxfId="949" priority="303">
      <formula>E168=TRUE</formula>
    </cfRule>
  </conditionalFormatting>
  <conditionalFormatting sqref="S169">
    <cfRule type="expression" dxfId="948" priority="296">
      <formula>E168=TRUE</formula>
    </cfRule>
  </conditionalFormatting>
  <conditionalFormatting sqref="S170">
    <cfRule type="expression" dxfId="947" priority="297">
      <formula>E168=TRUE</formula>
    </cfRule>
  </conditionalFormatting>
  <conditionalFormatting sqref="S176">
    <cfRule type="expression" dxfId="946" priority="293">
      <formula>E177=TRUE</formula>
    </cfRule>
  </conditionalFormatting>
  <conditionalFormatting sqref="S178">
    <cfRule type="expression" dxfId="945" priority="286">
      <formula>E177=TRUE</formula>
    </cfRule>
  </conditionalFormatting>
  <conditionalFormatting sqref="S179">
    <cfRule type="expression" dxfId="944" priority="287">
      <formula>E177=TRUE</formula>
    </cfRule>
  </conditionalFormatting>
  <conditionalFormatting sqref="S185">
    <cfRule type="expression" dxfId="943" priority="283">
      <formula>E186=TRUE</formula>
    </cfRule>
  </conditionalFormatting>
  <conditionalFormatting sqref="S187">
    <cfRule type="expression" dxfId="942" priority="276">
      <formula>E186=TRUE</formula>
    </cfRule>
  </conditionalFormatting>
  <conditionalFormatting sqref="S188">
    <cfRule type="expression" dxfId="941" priority="277">
      <formula>E186=TRUE</formula>
    </cfRule>
  </conditionalFormatting>
  <conditionalFormatting sqref="S3:T3">
    <cfRule type="expression" dxfId="940" priority="4504">
      <formula>OR(E15,E24,E33,E42,E51,E60,E69,E78,E87,E96,E105,E114,E123,E132,E141,E150,E159,E168,E177,E186)=TRUE</formula>
    </cfRule>
  </conditionalFormatting>
  <conditionalFormatting sqref="S10:T10">
    <cfRule type="expression" dxfId="939" priority="4505">
      <formula>OR(E15,E24,E33,E42,E51,E60,E69,E78,E87,E96,E105,E114,E123,E132,E141,E150,E159,E168,E177,E186)=TRUE</formula>
    </cfRule>
  </conditionalFormatting>
  <conditionalFormatting sqref="S13:T13">
    <cfRule type="expression" dxfId="938" priority="475">
      <formula>E15=TRUE</formula>
    </cfRule>
  </conditionalFormatting>
  <conditionalFormatting sqref="S15:T15">
    <cfRule type="expression" dxfId="937" priority="472">
      <formula>E15=TRUE</formula>
    </cfRule>
  </conditionalFormatting>
  <conditionalFormatting sqref="S22:T22">
    <cfRule type="expression" dxfId="936" priority="465">
      <formula>E24=TRUE</formula>
    </cfRule>
  </conditionalFormatting>
  <conditionalFormatting sqref="S24:T24">
    <cfRule type="expression" dxfId="935" priority="462">
      <formula>E24=TRUE</formula>
    </cfRule>
  </conditionalFormatting>
  <conditionalFormatting sqref="S31:T31">
    <cfRule type="expression" dxfId="933" priority="455">
      <formula>E33=TRUE</formula>
    </cfRule>
  </conditionalFormatting>
  <conditionalFormatting sqref="S33:T33">
    <cfRule type="expression" dxfId="932" priority="452">
      <formula>E33=TRUE</formula>
    </cfRule>
  </conditionalFormatting>
  <conditionalFormatting sqref="S40:T40">
    <cfRule type="expression" dxfId="930" priority="445">
      <formula>E42=TRUE</formula>
    </cfRule>
  </conditionalFormatting>
  <conditionalFormatting sqref="S42:T42">
    <cfRule type="expression" dxfId="929" priority="442">
      <formula>E42=TRUE</formula>
    </cfRule>
  </conditionalFormatting>
  <conditionalFormatting sqref="S49:T49">
    <cfRule type="expression" dxfId="927" priority="435">
      <formula>E51=TRUE</formula>
    </cfRule>
  </conditionalFormatting>
  <conditionalFormatting sqref="S51:T51">
    <cfRule type="expression" dxfId="926" priority="432">
      <formula>E51=TRUE</formula>
    </cfRule>
  </conditionalFormatting>
  <conditionalFormatting sqref="S58:T58">
    <cfRule type="expression" dxfId="924" priority="425">
      <formula>E60=TRUE</formula>
    </cfRule>
  </conditionalFormatting>
  <conditionalFormatting sqref="S60:T60">
    <cfRule type="expression" dxfId="923" priority="422">
      <formula>E60=TRUE</formula>
    </cfRule>
  </conditionalFormatting>
  <conditionalFormatting sqref="S67:T67">
    <cfRule type="expression" dxfId="921" priority="415">
      <formula>E69=TRUE</formula>
    </cfRule>
  </conditionalFormatting>
  <conditionalFormatting sqref="S69:T69">
    <cfRule type="expression" dxfId="920" priority="412">
      <formula>E69=TRUE</formula>
    </cfRule>
  </conditionalFormatting>
  <conditionalFormatting sqref="S76:T76">
    <cfRule type="expression" dxfId="918" priority="405">
      <formula>E78=TRUE</formula>
    </cfRule>
  </conditionalFormatting>
  <conditionalFormatting sqref="S78:T78">
    <cfRule type="expression" dxfId="917" priority="402">
      <formula>E78=TRUE</formula>
    </cfRule>
  </conditionalFormatting>
  <conditionalFormatting sqref="S85:T85">
    <cfRule type="expression" dxfId="915" priority="395">
      <formula>E87=TRUE</formula>
    </cfRule>
  </conditionalFormatting>
  <conditionalFormatting sqref="S87:T87">
    <cfRule type="expression" dxfId="914" priority="392">
      <formula>E87=TRUE</formula>
    </cfRule>
  </conditionalFormatting>
  <conditionalFormatting sqref="S94:T94">
    <cfRule type="expression" dxfId="912" priority="385">
      <formula>E96=TRUE</formula>
    </cfRule>
  </conditionalFormatting>
  <conditionalFormatting sqref="S96:T96">
    <cfRule type="expression" dxfId="911" priority="382">
      <formula>E96=TRUE</formula>
    </cfRule>
  </conditionalFormatting>
  <conditionalFormatting sqref="S103:T103">
    <cfRule type="expression" dxfId="909" priority="375">
      <formula>E105=TRUE</formula>
    </cfRule>
  </conditionalFormatting>
  <conditionalFormatting sqref="S105:T105">
    <cfRule type="expression" dxfId="908" priority="372">
      <formula>E105=TRUE</formula>
    </cfRule>
  </conditionalFormatting>
  <conditionalFormatting sqref="S112:T112">
    <cfRule type="expression" dxfId="906" priority="365">
      <formula>E114=TRUE</formula>
    </cfRule>
  </conditionalFormatting>
  <conditionalFormatting sqref="S114:T114">
    <cfRule type="expression" dxfId="905" priority="362">
      <formula>E114=TRUE</formula>
    </cfRule>
  </conditionalFormatting>
  <conditionalFormatting sqref="S121:T121">
    <cfRule type="expression" dxfId="903" priority="355">
      <formula>E123=TRUE</formula>
    </cfRule>
  </conditionalFormatting>
  <conditionalFormatting sqref="S123:T123">
    <cfRule type="expression" dxfId="902" priority="352">
      <formula>E123=TRUE</formula>
    </cfRule>
  </conditionalFormatting>
  <conditionalFormatting sqref="S130:T130">
    <cfRule type="expression" dxfId="900" priority="345">
      <formula>E132=TRUE</formula>
    </cfRule>
  </conditionalFormatting>
  <conditionalFormatting sqref="S132:T132">
    <cfRule type="expression" dxfId="899" priority="342">
      <formula>E132=TRUE</formula>
    </cfRule>
  </conditionalFormatting>
  <conditionalFormatting sqref="S139:T139">
    <cfRule type="expression" dxfId="897" priority="335">
      <formula>E141=TRUE</formula>
    </cfRule>
  </conditionalFormatting>
  <conditionalFormatting sqref="S141:T141">
    <cfRule type="expression" dxfId="896" priority="332">
      <formula>E141=TRUE</formula>
    </cfRule>
  </conditionalFormatting>
  <conditionalFormatting sqref="S148:T148">
    <cfRule type="expression" dxfId="894" priority="325">
      <formula>E150=TRUE</formula>
    </cfRule>
  </conditionalFormatting>
  <conditionalFormatting sqref="S150:T150">
    <cfRule type="expression" dxfId="893" priority="322">
      <formula>E150=TRUE</formula>
    </cfRule>
  </conditionalFormatting>
  <conditionalFormatting sqref="S157:T157">
    <cfRule type="expression" dxfId="891" priority="315">
      <formula>E159=TRUE</formula>
    </cfRule>
  </conditionalFormatting>
  <conditionalFormatting sqref="S159:T159">
    <cfRule type="expression" dxfId="890" priority="312">
      <formula>E159=TRUE</formula>
    </cfRule>
  </conditionalFormatting>
  <conditionalFormatting sqref="S166:T166">
    <cfRule type="expression" dxfId="888" priority="305">
      <formula>E168=TRUE</formula>
    </cfRule>
  </conditionalFormatting>
  <conditionalFormatting sqref="S168:T168">
    <cfRule type="expression" dxfId="887" priority="302">
      <formula>E168=TRUE</formula>
    </cfRule>
  </conditionalFormatting>
  <conditionalFormatting sqref="S175:T175">
    <cfRule type="expression" dxfId="885" priority="295">
      <formula>E177=TRUE</formula>
    </cfRule>
  </conditionalFormatting>
  <conditionalFormatting sqref="S177:T177">
    <cfRule type="expression" dxfId="884" priority="292">
      <formula>E177=TRUE</formula>
    </cfRule>
  </conditionalFormatting>
  <conditionalFormatting sqref="S184:T184">
    <cfRule type="expression" dxfId="882" priority="285">
      <formula>E186=TRUE</formula>
    </cfRule>
  </conditionalFormatting>
  <conditionalFormatting sqref="S186:T186">
    <cfRule type="expression" dxfId="881" priority="282">
      <formula>E186=TRUE</formula>
    </cfRule>
  </conditionalFormatting>
  <conditionalFormatting sqref="T14">
    <cfRule type="expression" dxfId="879" priority="474">
      <formula>E15=TRUE</formula>
    </cfRule>
  </conditionalFormatting>
  <conditionalFormatting sqref="T16">
    <cfRule type="expression" dxfId="878" priority="471">
      <formula>E15=TRUE</formula>
    </cfRule>
  </conditionalFormatting>
  <conditionalFormatting sqref="T17">
    <cfRule type="expression" dxfId="877" priority="470">
      <formula>E15=TRUE</formula>
    </cfRule>
  </conditionalFormatting>
  <conditionalFormatting sqref="T23">
    <cfRule type="expression" dxfId="875" priority="464">
      <formula>E24=TRUE</formula>
    </cfRule>
  </conditionalFormatting>
  <conditionalFormatting sqref="T25">
    <cfRule type="expression" dxfId="874" priority="461">
      <formula>E24=TRUE</formula>
    </cfRule>
  </conditionalFormatting>
  <conditionalFormatting sqref="T26">
    <cfRule type="expression" dxfId="873" priority="460">
      <formula>E24=TRUE</formula>
    </cfRule>
  </conditionalFormatting>
  <conditionalFormatting sqref="T32">
    <cfRule type="expression" dxfId="872" priority="454">
      <formula>E33=TRUE</formula>
    </cfRule>
  </conditionalFormatting>
  <conditionalFormatting sqref="T34">
    <cfRule type="expression" dxfId="871" priority="451">
      <formula>E33=TRUE</formula>
    </cfRule>
  </conditionalFormatting>
  <conditionalFormatting sqref="T35">
    <cfRule type="expression" dxfId="870" priority="450">
      <formula>E33=TRUE</formula>
    </cfRule>
  </conditionalFormatting>
  <conditionalFormatting sqref="T41">
    <cfRule type="expression" dxfId="869" priority="444">
      <formula>E42=TRUE</formula>
    </cfRule>
  </conditionalFormatting>
  <conditionalFormatting sqref="T43">
    <cfRule type="expression" dxfId="868" priority="441">
      <formula>E42=TRUE</formula>
    </cfRule>
  </conditionalFormatting>
  <conditionalFormatting sqref="T44">
    <cfRule type="expression" dxfId="867" priority="440">
      <formula>E42=TRUE</formula>
    </cfRule>
  </conditionalFormatting>
  <conditionalFormatting sqref="T50">
    <cfRule type="expression" dxfId="866" priority="434">
      <formula>E51=TRUE</formula>
    </cfRule>
  </conditionalFormatting>
  <conditionalFormatting sqref="T52">
    <cfRule type="expression" dxfId="865" priority="431">
      <formula>E51=TRUE</formula>
    </cfRule>
  </conditionalFormatting>
  <conditionalFormatting sqref="T53">
    <cfRule type="expression" dxfId="864" priority="430">
      <formula>E51=TRUE</formula>
    </cfRule>
  </conditionalFormatting>
  <conditionalFormatting sqref="T59">
    <cfRule type="expression" dxfId="863" priority="424">
      <formula>E60=TRUE</formula>
    </cfRule>
  </conditionalFormatting>
  <conditionalFormatting sqref="T61">
    <cfRule type="expression" dxfId="862" priority="421">
      <formula>E60=TRUE</formula>
    </cfRule>
  </conditionalFormatting>
  <conditionalFormatting sqref="T62">
    <cfRule type="expression" dxfId="861" priority="420">
      <formula>E60=TRUE</formula>
    </cfRule>
  </conditionalFormatting>
  <conditionalFormatting sqref="T68">
    <cfRule type="expression" dxfId="860" priority="414">
      <formula>E69=TRUE</formula>
    </cfRule>
  </conditionalFormatting>
  <conditionalFormatting sqref="T70">
    <cfRule type="expression" dxfId="859" priority="411">
      <formula>E69=TRUE</formula>
    </cfRule>
  </conditionalFormatting>
  <conditionalFormatting sqref="T71">
    <cfRule type="expression" dxfId="858" priority="410">
      <formula>E69=TRUE</formula>
    </cfRule>
  </conditionalFormatting>
  <conditionalFormatting sqref="T77">
    <cfRule type="expression" dxfId="857" priority="404">
      <formula>E78=TRUE</formula>
    </cfRule>
  </conditionalFormatting>
  <conditionalFormatting sqref="T79">
    <cfRule type="expression" dxfId="856" priority="401">
      <formula>E78=TRUE</formula>
    </cfRule>
  </conditionalFormatting>
  <conditionalFormatting sqref="T80">
    <cfRule type="expression" dxfId="855" priority="400">
      <formula>E78=TRUE</formula>
    </cfRule>
  </conditionalFormatting>
  <conditionalFormatting sqref="T86">
    <cfRule type="expression" dxfId="854" priority="394">
      <formula>E87=TRUE</formula>
    </cfRule>
  </conditionalFormatting>
  <conditionalFormatting sqref="T88">
    <cfRule type="expression" dxfId="853" priority="391">
      <formula>E87=TRUE</formula>
    </cfRule>
  </conditionalFormatting>
  <conditionalFormatting sqref="T89">
    <cfRule type="expression" dxfId="852" priority="390">
      <formula>E87=TRUE</formula>
    </cfRule>
  </conditionalFormatting>
  <conditionalFormatting sqref="T95">
    <cfRule type="expression" dxfId="851" priority="384">
      <formula>E96=TRUE</formula>
    </cfRule>
  </conditionalFormatting>
  <conditionalFormatting sqref="T97">
    <cfRule type="expression" dxfId="850" priority="381">
      <formula>E96=TRUE</formula>
    </cfRule>
  </conditionalFormatting>
  <conditionalFormatting sqref="T98">
    <cfRule type="expression" dxfId="849" priority="380">
      <formula>E96=TRUE</formula>
    </cfRule>
  </conditionalFormatting>
  <conditionalFormatting sqref="T104">
    <cfRule type="expression" dxfId="848" priority="374">
      <formula>E105=TRUE</formula>
    </cfRule>
  </conditionalFormatting>
  <conditionalFormatting sqref="T106">
    <cfRule type="expression" dxfId="847" priority="371">
      <formula>E105=TRUE</formula>
    </cfRule>
  </conditionalFormatting>
  <conditionalFormatting sqref="T107">
    <cfRule type="expression" dxfId="846" priority="370">
      <formula>E105=TRUE</formula>
    </cfRule>
  </conditionalFormatting>
  <conditionalFormatting sqref="T113">
    <cfRule type="expression" dxfId="845" priority="364">
      <formula>E114=TRUE</formula>
    </cfRule>
  </conditionalFormatting>
  <conditionalFormatting sqref="T115">
    <cfRule type="expression" dxfId="844" priority="361">
      <formula>E114=TRUE</formula>
    </cfRule>
  </conditionalFormatting>
  <conditionalFormatting sqref="T116">
    <cfRule type="expression" dxfId="843" priority="360">
      <formula>E114=TRUE</formula>
    </cfRule>
  </conditionalFormatting>
  <conditionalFormatting sqref="T122">
    <cfRule type="expression" dxfId="842" priority="354">
      <formula>E123=TRUE</formula>
    </cfRule>
  </conditionalFormatting>
  <conditionalFormatting sqref="T124">
    <cfRule type="expression" dxfId="841" priority="351">
      <formula>E123=TRUE</formula>
    </cfRule>
  </conditionalFormatting>
  <conditionalFormatting sqref="T125">
    <cfRule type="expression" dxfId="840" priority="350">
      <formula>E123=TRUE</formula>
    </cfRule>
  </conditionalFormatting>
  <conditionalFormatting sqref="T131">
    <cfRule type="expression" dxfId="839" priority="344">
      <formula>E132=TRUE</formula>
    </cfRule>
  </conditionalFormatting>
  <conditionalFormatting sqref="T133">
    <cfRule type="expression" dxfId="838" priority="341">
      <formula>E132=TRUE</formula>
    </cfRule>
  </conditionalFormatting>
  <conditionalFormatting sqref="T134">
    <cfRule type="expression" dxfId="837" priority="340">
      <formula>E132=TRUE</formula>
    </cfRule>
  </conditionalFormatting>
  <conditionalFormatting sqref="T140">
    <cfRule type="expression" dxfId="836" priority="334">
      <formula>E141=TRUE</formula>
    </cfRule>
  </conditionalFormatting>
  <conditionalFormatting sqref="T142">
    <cfRule type="expression" dxfId="835" priority="331">
      <formula>E141=TRUE</formula>
    </cfRule>
  </conditionalFormatting>
  <conditionalFormatting sqref="T143">
    <cfRule type="expression" dxfId="834" priority="330">
      <formula>E141=TRUE</formula>
    </cfRule>
  </conditionalFormatting>
  <conditionalFormatting sqref="T149">
    <cfRule type="expression" dxfId="833" priority="324">
      <formula>E150=TRUE</formula>
    </cfRule>
  </conditionalFormatting>
  <conditionalFormatting sqref="T151">
    <cfRule type="expression" dxfId="832" priority="321">
      <formula>E150=TRUE</formula>
    </cfRule>
  </conditionalFormatting>
  <conditionalFormatting sqref="T152">
    <cfRule type="expression" dxfId="831" priority="320">
      <formula>E150=TRUE</formula>
    </cfRule>
  </conditionalFormatting>
  <conditionalFormatting sqref="T158">
    <cfRule type="expression" dxfId="830" priority="314">
      <formula>E159=TRUE</formula>
    </cfRule>
  </conditionalFormatting>
  <conditionalFormatting sqref="T160">
    <cfRule type="expression" dxfId="829" priority="311">
      <formula>E159=TRUE</formula>
    </cfRule>
  </conditionalFormatting>
  <conditionalFormatting sqref="T161">
    <cfRule type="expression" dxfId="828" priority="310">
      <formula>E159=TRUE</formula>
    </cfRule>
  </conditionalFormatting>
  <conditionalFormatting sqref="T167">
    <cfRule type="expression" dxfId="827" priority="304">
      <formula>E168=TRUE</formula>
    </cfRule>
  </conditionalFormatting>
  <conditionalFormatting sqref="T169">
    <cfRule type="expression" dxfId="826" priority="301">
      <formula>E168=TRUE</formula>
    </cfRule>
  </conditionalFormatting>
  <conditionalFormatting sqref="T170">
    <cfRule type="expression" dxfId="825" priority="300">
      <formula>E168=TRUE</formula>
    </cfRule>
  </conditionalFormatting>
  <conditionalFormatting sqref="T176">
    <cfRule type="expression" dxfId="824" priority="294">
      <formula>E177=TRUE</formula>
    </cfRule>
  </conditionalFormatting>
  <conditionalFormatting sqref="T178">
    <cfRule type="expression" dxfId="823" priority="291">
      <formula>E177=TRUE</formula>
    </cfRule>
  </conditionalFormatting>
  <conditionalFormatting sqref="T179">
    <cfRule type="expression" dxfId="822" priority="290">
      <formula>E177=TRUE</formula>
    </cfRule>
  </conditionalFormatting>
  <conditionalFormatting sqref="T185">
    <cfRule type="expression" dxfId="821" priority="284">
      <formula>E186=TRUE</formula>
    </cfRule>
  </conditionalFormatting>
  <conditionalFormatting sqref="T187">
    <cfRule type="expression" dxfId="820" priority="281">
      <formula>E186=TRUE</formula>
    </cfRule>
  </conditionalFormatting>
  <conditionalFormatting sqref="T188">
    <cfRule type="expression" dxfId="819" priority="280">
      <formula>E186=TRUE</formula>
    </cfRule>
  </conditionalFormatting>
  <dataValidations count="3">
    <dataValidation type="list" allowBlank="1" showInputMessage="1" showErrorMessage="1" sqref="H13 H166 H175 H22 H31 H40 H49 H58 H67 H76 H85 H94 H103 H112 H121 H130 H139 H148 H157 H184" xr:uid="{ED4F3B92-7624-4B2D-BC8D-95B3B42DFF5C}">
      <formula1>GroupsDef</formula1>
    </dataValidation>
    <dataValidation type="list" allowBlank="1" showInputMessage="1" showErrorMessage="1" sqref="N15 N177 N24 N33 N186 N51 N60 N69 N78 N87 N96 N105 N114 N123 N132 N141 N150 N159 N168 N42" xr:uid="{6DB43523-ACC7-4B09-977F-783C68F643E6}">
      <formula1>Groupsshare</formula1>
    </dataValidation>
    <dataValidation type="list" allowBlank="1" showInputMessage="1" showErrorMessage="1" sqref="Q15 Q177 Q24 Q33 Q42 Q51 Q60 Q69 Q78 Q87 Q96 Q105 Q114 Q123 Q132 Q141 Q150 Q159 Q168 Q186" xr:uid="{66128999-725E-458E-8120-FE28069A265B}">
      <formula1>Groupsaccess</formula1>
    </dataValidation>
  </dataValidations>
  <hyperlinks>
    <hyperlink ref="C5" r:id="rId1" xr:uid="{B1C69D1E-3C63-4BE1-9FDD-7B407678566C}"/>
    <hyperlink ref="S5:T5" r:id="rId2" location="teams-discoverability-sharing" display="Private teams discoverability and shared channel controls" xr:uid="{FCED9CF8-DB8E-4D3C-98C1-AA99FA534F73}"/>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64" stopIfTrue="1" id="{B69D21A9-0F1F-4B51-8F34-77775DDEB283}">
            <xm:f>$C13=INputs!$P$4</xm:f>
            <x14:dxf>
              <font>
                <color theme="2" tint="-0.24994659260841701"/>
              </font>
            </x14:dxf>
          </x14:cfRule>
          <x14:cfRule type="expression" priority="222" stopIfTrue="1" id="{5DF37CDF-9D94-47E9-8BC8-D19CFA5A8EDE}">
            <xm:f>$C13=INputs!$P$3</xm:f>
            <x14:dxf>
              <font>
                <color theme="2" tint="-0.24994659260841701"/>
              </font>
            </x14:dxf>
          </x14:cfRule>
          <xm:sqref>C13</xm:sqref>
        </x14:conditionalFormatting>
        <x14:conditionalFormatting xmlns:xm="http://schemas.microsoft.com/office/excel/2006/main">
          <x14:cfRule type="expression" priority="161" stopIfTrue="1" id="{BF3FBC5B-E557-4C0D-91EA-C0166C4CF86A}">
            <xm:f>$C22=INputs!$P$4</xm:f>
            <x14:dxf>
              <font>
                <color theme="2" tint="-0.24994659260841701"/>
              </font>
            </x14:dxf>
          </x14:cfRule>
          <x14:cfRule type="expression" priority="162" stopIfTrue="1" id="{97A41008-C32F-4196-86A0-39364E4BE2CA}">
            <xm:f>$C22=INputs!$P$3</xm:f>
            <x14:dxf>
              <font>
                <color theme="2" tint="-0.24994659260841701"/>
              </font>
            </x14:dxf>
          </x14:cfRule>
          <xm:sqref>C22</xm:sqref>
        </x14:conditionalFormatting>
        <x14:conditionalFormatting xmlns:xm="http://schemas.microsoft.com/office/excel/2006/main">
          <x14:cfRule type="expression" priority="158" stopIfTrue="1" id="{39B5CFD3-A26B-4681-BFCA-0AC36ABE5BF3}">
            <xm:f>$C31=INputs!$P$4</xm:f>
            <x14:dxf>
              <font>
                <color theme="2" tint="-0.24994659260841701"/>
              </font>
            </x14:dxf>
          </x14:cfRule>
          <x14:cfRule type="expression" priority="159" stopIfTrue="1" id="{CE2B3026-7D1C-42BF-B125-163660D4DCAF}">
            <xm:f>$C31=INputs!$P$3</xm:f>
            <x14:dxf>
              <font>
                <color theme="2" tint="-0.24994659260841701"/>
              </font>
            </x14:dxf>
          </x14:cfRule>
          <xm:sqref>C31</xm:sqref>
        </x14:conditionalFormatting>
        <x14:conditionalFormatting xmlns:xm="http://schemas.microsoft.com/office/excel/2006/main">
          <x14:cfRule type="expression" priority="156" stopIfTrue="1" id="{84BBD787-34DA-4B32-B7FC-39B62A2B6030}">
            <xm:f>$C40=INputs!$P$3</xm:f>
            <x14:dxf>
              <font>
                <color theme="2" tint="-0.24994659260841701"/>
              </font>
            </x14:dxf>
          </x14:cfRule>
          <x14:cfRule type="expression" priority="155" stopIfTrue="1" id="{1429774D-F706-4B99-9BFA-4368651C1C5F}">
            <xm:f>$C40=INputs!$P$4</xm:f>
            <x14:dxf>
              <font>
                <color theme="2" tint="-0.24994659260841701"/>
              </font>
            </x14:dxf>
          </x14:cfRule>
          <xm:sqref>C40</xm:sqref>
        </x14:conditionalFormatting>
        <x14:conditionalFormatting xmlns:xm="http://schemas.microsoft.com/office/excel/2006/main">
          <x14:cfRule type="expression" priority="153" stopIfTrue="1" id="{377383A5-D218-4C61-A168-62DC21CBAC70}">
            <xm:f>$C49=INputs!$P$3</xm:f>
            <x14:dxf>
              <font>
                <color theme="2" tint="-0.24994659260841701"/>
              </font>
            </x14:dxf>
          </x14:cfRule>
          <x14:cfRule type="expression" priority="152" stopIfTrue="1" id="{AC2CCF6E-FB3B-4B3E-AC9A-5B668673BC59}">
            <xm:f>$C49=INputs!$P$4</xm:f>
            <x14:dxf>
              <font>
                <color theme="2" tint="-0.24994659260841701"/>
              </font>
            </x14:dxf>
          </x14:cfRule>
          <xm:sqref>C49</xm:sqref>
        </x14:conditionalFormatting>
        <x14:conditionalFormatting xmlns:xm="http://schemas.microsoft.com/office/excel/2006/main">
          <x14:cfRule type="expression" priority="149" stopIfTrue="1" id="{7624E27A-B6EF-48BB-B620-2576EFE12F67}">
            <xm:f>$C58=INputs!$P$4</xm:f>
            <x14:dxf>
              <font>
                <color theme="2" tint="-0.24994659260841701"/>
              </font>
            </x14:dxf>
          </x14:cfRule>
          <x14:cfRule type="expression" priority="150" stopIfTrue="1" id="{B9C09B0C-B37C-4368-9262-E84C90581A23}">
            <xm:f>$C58=INputs!$P$3</xm:f>
            <x14:dxf>
              <font>
                <color theme="2" tint="-0.24994659260841701"/>
              </font>
            </x14:dxf>
          </x14:cfRule>
          <xm:sqref>C58</xm:sqref>
        </x14:conditionalFormatting>
        <x14:conditionalFormatting xmlns:xm="http://schemas.microsoft.com/office/excel/2006/main">
          <x14:cfRule type="expression" priority="147" stopIfTrue="1" id="{74D50A7F-69EC-48D6-B564-85F725032AA2}">
            <xm:f>$C67=INputs!$P$3</xm:f>
            <x14:dxf>
              <font>
                <color theme="2" tint="-0.24994659260841701"/>
              </font>
            </x14:dxf>
          </x14:cfRule>
          <x14:cfRule type="expression" priority="146" stopIfTrue="1" id="{CACECF30-87A5-45B7-83C3-99C3FFA96030}">
            <xm:f>$C67=INputs!$P$4</xm:f>
            <x14:dxf>
              <font>
                <color theme="2" tint="-0.24994659260841701"/>
              </font>
            </x14:dxf>
          </x14:cfRule>
          <xm:sqref>C67</xm:sqref>
        </x14:conditionalFormatting>
        <x14:conditionalFormatting xmlns:xm="http://schemas.microsoft.com/office/excel/2006/main">
          <x14:cfRule type="expression" priority="143" stopIfTrue="1" id="{FC4B9B3E-FE16-4B2B-92CD-BBE988793695}">
            <xm:f>$C76=INputs!$P$4</xm:f>
            <x14:dxf>
              <font>
                <color theme="2" tint="-0.24994659260841701"/>
              </font>
            </x14:dxf>
          </x14:cfRule>
          <x14:cfRule type="expression" priority="144" stopIfTrue="1" id="{C58D21BB-D0DF-41AA-890F-C0DCDB55B1D1}">
            <xm:f>$C76=INputs!$P$3</xm:f>
            <x14:dxf>
              <font>
                <color theme="2" tint="-0.24994659260841701"/>
              </font>
            </x14:dxf>
          </x14:cfRule>
          <xm:sqref>C76</xm:sqref>
        </x14:conditionalFormatting>
        <x14:conditionalFormatting xmlns:xm="http://schemas.microsoft.com/office/excel/2006/main">
          <x14:cfRule type="expression" priority="129" stopIfTrue="1" id="{C5CA2F6F-8120-4BDE-AFB9-B35715B30D37}">
            <xm:f>$C85=INputs!$P$3</xm:f>
            <x14:dxf>
              <font>
                <color theme="2" tint="-0.24994659260841701"/>
              </font>
            </x14:dxf>
          </x14:cfRule>
          <x14:cfRule type="expression" priority="128" stopIfTrue="1" id="{3DCCA99E-C7BA-4FCB-AECB-EFEFECBAEBE4}">
            <xm:f>$C85=INputs!$P$4</xm:f>
            <x14:dxf>
              <font>
                <color theme="2" tint="-0.24994659260841701"/>
              </font>
            </x14:dxf>
          </x14:cfRule>
          <xm:sqref>C85</xm:sqref>
        </x14:conditionalFormatting>
        <x14:conditionalFormatting xmlns:xm="http://schemas.microsoft.com/office/excel/2006/main">
          <x14:cfRule type="expression" priority="126" stopIfTrue="1" id="{7BC0502E-15A3-4F6D-8DE9-C894238D447F}">
            <xm:f>$C94=INputs!$P$3</xm:f>
            <x14:dxf>
              <font>
                <color theme="2" tint="-0.24994659260841701"/>
              </font>
            </x14:dxf>
          </x14:cfRule>
          <x14:cfRule type="expression" priority="125" stopIfTrue="1" id="{EAC83502-74D4-4EE0-AD48-72BD7D3C7052}">
            <xm:f>$C94=INputs!$P$4</xm:f>
            <x14:dxf>
              <font>
                <color theme="2" tint="-0.24994659260841701"/>
              </font>
            </x14:dxf>
          </x14:cfRule>
          <xm:sqref>C94</xm:sqref>
        </x14:conditionalFormatting>
        <x14:conditionalFormatting xmlns:xm="http://schemas.microsoft.com/office/excel/2006/main">
          <x14:cfRule type="expression" priority="123" stopIfTrue="1" id="{99F49E8F-6965-491D-BB86-823797E5756B}">
            <xm:f>$C103=INputs!$P$3</xm:f>
            <x14:dxf>
              <font>
                <color theme="2" tint="-0.24994659260841701"/>
              </font>
            </x14:dxf>
          </x14:cfRule>
          <x14:cfRule type="expression" priority="122" stopIfTrue="1" id="{38176B81-A95A-403E-90A8-F6F0F66150F2}">
            <xm:f>$C103=INputs!$P$4</xm:f>
            <x14:dxf>
              <font>
                <color theme="2" tint="-0.24994659260841701"/>
              </font>
            </x14:dxf>
          </x14:cfRule>
          <x14:cfRule type="expression" priority="124" id="{DB3E5F40-3940-4569-8742-528D6D22AA4C}">
            <xm:f>'Sensitivity Labels'!$F$97=FALSE</xm:f>
            <x14:dxf>
              <font>
                <color theme="2" tint="-0.499984740745262"/>
              </font>
              <fill>
                <patternFill>
                  <bgColor theme="2" tint="-0.499984740745262"/>
                </patternFill>
              </fill>
              <border>
                <left/>
                <right/>
                <top/>
                <bottom/>
              </border>
            </x14:dxf>
          </x14:cfRule>
          <xm:sqref>C103</xm:sqref>
        </x14:conditionalFormatting>
        <x14:conditionalFormatting xmlns:xm="http://schemas.microsoft.com/office/excel/2006/main">
          <x14:cfRule type="expression" priority="120" stopIfTrue="1" id="{3946C201-3A01-43FD-AAE5-BE95A4929E1F}">
            <xm:f>$C112=INputs!$P$3</xm:f>
            <x14:dxf>
              <font>
                <color theme="2" tint="-0.24994659260841701"/>
              </font>
            </x14:dxf>
          </x14:cfRule>
          <x14:cfRule type="expression" priority="119" stopIfTrue="1" id="{2293AAAA-816A-49B4-9DFD-9EA6A9B6B965}">
            <xm:f>$C112=INputs!$P$4</xm:f>
            <x14:dxf>
              <font>
                <color theme="2" tint="-0.24994659260841701"/>
              </font>
            </x14:dxf>
          </x14:cfRule>
          <xm:sqref>C112</xm:sqref>
        </x14:conditionalFormatting>
        <x14:conditionalFormatting xmlns:xm="http://schemas.microsoft.com/office/excel/2006/main">
          <x14:cfRule type="expression" priority="117" stopIfTrue="1" id="{6F7C9BF9-DB1B-4801-AC7B-689C91EE9D73}">
            <xm:f>$C121=INputs!$P$3</xm:f>
            <x14:dxf>
              <font>
                <color theme="2" tint="-0.24994659260841701"/>
              </font>
            </x14:dxf>
          </x14:cfRule>
          <x14:cfRule type="expression" priority="116" stopIfTrue="1" id="{ACA7E554-DC29-4F35-B514-3A6A3C70D48A}">
            <xm:f>$C121=INputs!$P$4</xm:f>
            <x14:dxf>
              <font>
                <color theme="2" tint="-0.24994659260841701"/>
              </font>
            </x14:dxf>
          </x14:cfRule>
          <xm:sqref>C121</xm:sqref>
        </x14:conditionalFormatting>
        <x14:conditionalFormatting xmlns:xm="http://schemas.microsoft.com/office/excel/2006/main">
          <x14:cfRule type="expression" priority="114" stopIfTrue="1" id="{F6A63761-8A1E-4163-891B-870BA7563AE9}">
            <xm:f>$C130=INputs!$P$3</xm:f>
            <x14:dxf>
              <font>
                <color theme="2" tint="-0.24994659260841701"/>
              </font>
            </x14:dxf>
          </x14:cfRule>
          <x14:cfRule type="expression" priority="113" stopIfTrue="1" id="{17D1D1BB-85A2-49BD-B56E-F4E37333D667}">
            <xm:f>$C130=INputs!$P$4</xm:f>
            <x14:dxf>
              <font>
                <color theme="2" tint="-0.24994659260841701"/>
              </font>
            </x14:dxf>
          </x14:cfRule>
          <xm:sqref>C130</xm:sqref>
        </x14:conditionalFormatting>
        <x14:conditionalFormatting xmlns:xm="http://schemas.microsoft.com/office/excel/2006/main">
          <x14:cfRule type="expression" priority="110" stopIfTrue="1" id="{BF60C8F7-7FB1-4A37-B5AA-37BD113EBD18}">
            <xm:f>$C139=INputs!$P$4</xm:f>
            <x14:dxf>
              <font>
                <color theme="2" tint="-0.24994659260841701"/>
              </font>
            </x14:dxf>
          </x14:cfRule>
          <x14:cfRule type="expression" priority="111" stopIfTrue="1" id="{A786A22B-0A7E-495B-9F00-39DE387F8E36}">
            <xm:f>$C139=INputs!$P$3</xm:f>
            <x14:dxf>
              <font>
                <color theme="2" tint="-0.24994659260841701"/>
              </font>
            </x14:dxf>
          </x14:cfRule>
          <xm:sqref>C139</xm:sqref>
        </x14:conditionalFormatting>
        <x14:conditionalFormatting xmlns:xm="http://schemas.microsoft.com/office/excel/2006/main">
          <x14:cfRule type="expression" priority="107" stopIfTrue="1" id="{E7475F70-5373-4D64-B78E-7CE2ACECD297}">
            <xm:f>$C148=INputs!$P$4</xm:f>
            <x14:dxf>
              <font>
                <color theme="2" tint="-0.24994659260841701"/>
              </font>
            </x14:dxf>
          </x14:cfRule>
          <x14:cfRule type="expression" priority="108" stopIfTrue="1" id="{B9108A68-BA43-41DE-A44C-4D9D9B66AAF3}">
            <xm:f>$C148=INputs!$P$3</xm:f>
            <x14:dxf>
              <font>
                <color theme="2" tint="-0.24994659260841701"/>
              </font>
            </x14:dxf>
          </x14:cfRule>
          <xm:sqref>C148</xm:sqref>
        </x14:conditionalFormatting>
        <x14:conditionalFormatting xmlns:xm="http://schemas.microsoft.com/office/excel/2006/main">
          <x14:cfRule type="expression" priority="104" stopIfTrue="1" id="{FA9A6DDF-8282-4F5A-836E-3E60E46FDE62}">
            <xm:f>$C157=INputs!$P$4</xm:f>
            <x14:dxf>
              <font>
                <color theme="2" tint="-0.24994659260841701"/>
              </font>
            </x14:dxf>
          </x14:cfRule>
          <x14:cfRule type="expression" priority="105" stopIfTrue="1" id="{38904411-D64B-4B50-A58F-117A8D49FCFF}">
            <xm:f>$C157=INputs!$P$3</xm:f>
            <x14:dxf>
              <font>
                <color theme="2" tint="-0.24994659260841701"/>
              </font>
            </x14:dxf>
          </x14:cfRule>
          <xm:sqref>C157</xm:sqref>
        </x14:conditionalFormatting>
        <x14:conditionalFormatting xmlns:xm="http://schemas.microsoft.com/office/excel/2006/main">
          <x14:cfRule type="expression" priority="101" stopIfTrue="1" id="{F11526DF-46C1-421B-AE55-ACC7AE204EA5}">
            <xm:f>$C166=INputs!$P$4</xm:f>
            <x14:dxf>
              <font>
                <color theme="2" tint="-0.24994659260841701"/>
              </font>
            </x14:dxf>
          </x14:cfRule>
          <x14:cfRule type="expression" priority="102" stopIfTrue="1" id="{729C70D7-0D73-4C14-94B1-249E729ED3FD}">
            <xm:f>$C166=INputs!$P$3</xm:f>
            <x14:dxf>
              <font>
                <color theme="2" tint="-0.24994659260841701"/>
              </font>
            </x14:dxf>
          </x14:cfRule>
          <xm:sqref>C166</xm:sqref>
        </x14:conditionalFormatting>
        <x14:conditionalFormatting xmlns:xm="http://schemas.microsoft.com/office/excel/2006/main">
          <x14:cfRule type="expression" priority="98" stopIfTrue="1" id="{6361A86B-C9C9-4598-A538-75F1D28A1ED7}">
            <xm:f>$C175=INputs!$P$4</xm:f>
            <x14:dxf>
              <font>
                <color theme="2" tint="-0.24994659260841701"/>
              </font>
            </x14:dxf>
          </x14:cfRule>
          <x14:cfRule type="expression" priority="99" stopIfTrue="1" id="{39B4F382-B0C4-4B47-AC82-CC7B4DC93A4C}">
            <xm:f>$C175=INputs!$P$3</xm:f>
            <x14:dxf>
              <font>
                <color theme="2" tint="-0.24994659260841701"/>
              </font>
            </x14:dxf>
          </x14:cfRule>
          <xm:sqref>C175</xm:sqref>
        </x14:conditionalFormatting>
        <x14:conditionalFormatting xmlns:xm="http://schemas.microsoft.com/office/excel/2006/main">
          <x14:cfRule type="expression" priority="95" stopIfTrue="1" id="{FE6F537F-8BB6-49B8-8E65-A789EBAA0BE9}">
            <xm:f>$C184=INputs!$P$4</xm:f>
            <x14:dxf>
              <font>
                <color theme="2" tint="-0.24994659260841701"/>
              </font>
            </x14:dxf>
          </x14:cfRule>
          <x14:cfRule type="expression" priority="96" stopIfTrue="1" id="{3D928680-53FC-4D93-AB3C-32091E53BC03}">
            <xm:f>$C184=INputs!$P$3</xm:f>
            <x14:dxf>
              <font>
                <color theme="2" tint="-0.24994659260841701"/>
              </font>
            </x14:dxf>
          </x14:cfRule>
          <xm:sqref>C184</xm:sqref>
        </x14:conditionalFormatting>
        <x14:conditionalFormatting xmlns:xm="http://schemas.microsoft.com/office/excel/2006/main">
          <x14:cfRule type="expression" priority="268" id="{607F2B43-3734-453C-BC61-81BBA154E9C9}">
            <xm:f>'Sensitivity Labels'!$F$17=FALSE</xm:f>
            <x14:dxf>
              <font>
                <color theme="2" tint="-0.499984740745262"/>
              </font>
              <fill>
                <patternFill>
                  <bgColor theme="2" tint="-0.499984740745262"/>
                </patternFill>
              </fill>
              <border>
                <left/>
                <right/>
                <top/>
                <bottom/>
              </border>
            </x14:dxf>
          </x14:cfRule>
          <x14:cfRule type="expression" priority="78" id="{E3D7BA5B-F7F2-4C52-A5CC-6A323A768E02}">
            <xm:f>OR(INputs!$C$3=INputs!$A$3,INputs!$C$3=INputs!$A$4)</xm:f>
            <x14:dxf>
              <font>
                <color theme="2" tint="-0.499984740745262"/>
              </font>
              <fill>
                <patternFill>
                  <bgColor theme="2" tint="-0.499984740745262"/>
                </patternFill>
              </fill>
            </x14:dxf>
          </x14:cfRule>
          <xm:sqref>D13:T18</xm:sqref>
        </x14:conditionalFormatting>
        <x14:conditionalFormatting xmlns:xm="http://schemas.microsoft.com/office/excel/2006/main">
          <x14:cfRule type="expression" priority="2" id="{31936712-CA14-41BC-93E6-ADC035085C77}">
            <xm:f>'Sensitivity Labels'!$F$25=FALSE</xm:f>
            <x14:dxf>
              <font>
                <color theme="2" tint="-0.499984740745262"/>
              </font>
              <fill>
                <patternFill>
                  <bgColor theme="2" tint="-0.499984740745262"/>
                </patternFill>
              </fill>
              <border>
                <left/>
                <right/>
                <top/>
                <bottom/>
                <vertical/>
                <horizontal/>
              </border>
            </x14:dxf>
          </x14:cfRule>
          <x14:cfRule type="expression" priority="58" id="{D05C3559-5308-4376-AAF9-002C5473BAA5}">
            <xm:f>OR(INputs!$C$4=INputs!$A$3,INputs!$C$4=INputs!$A$4)</xm:f>
            <x14:dxf>
              <font>
                <color theme="2" tint="-0.499984740745262"/>
              </font>
              <fill>
                <patternFill>
                  <bgColor theme="2" tint="-0.499984740745262"/>
                </patternFill>
              </fill>
              <border>
                <left/>
                <right/>
                <top/>
                <bottom/>
                <vertical/>
                <horizontal/>
              </border>
            </x14:dxf>
          </x14:cfRule>
          <xm:sqref>D22:T27</xm:sqref>
        </x14:conditionalFormatting>
        <x14:conditionalFormatting xmlns:xm="http://schemas.microsoft.com/office/excel/2006/main">
          <x14:cfRule type="expression" priority="57" id="{CDE89086-B8F7-4331-ADF8-22570B592A02}">
            <xm:f>OR(INputs!$C$5=INputs!$A$3,INputs!$C$5=INputs!$A$4)</xm:f>
            <x14:dxf>
              <font>
                <color theme="2" tint="-0.499984740745262"/>
              </font>
              <fill>
                <patternFill>
                  <bgColor theme="2" tint="-0.499984740745262"/>
                </patternFill>
              </fill>
              <border>
                <left/>
                <right/>
                <top/>
                <bottom/>
                <vertical/>
                <horizontal/>
              </border>
            </x14:dxf>
          </x14:cfRule>
          <x14:cfRule type="expression" priority="76" id="{382E2E6C-31DA-4D8A-9449-5B4D637290F9}">
            <xm:f>'Sensitivity Labels'!$F$33=FALSE</xm:f>
            <x14:dxf>
              <font>
                <color theme="2" tint="-0.499984740745262"/>
              </font>
              <fill>
                <patternFill>
                  <bgColor theme="2" tint="-0.499984740745262"/>
                </patternFill>
              </fill>
              <border>
                <left/>
                <right/>
                <top/>
                <bottom/>
              </border>
            </x14:dxf>
          </x14:cfRule>
          <xm:sqref>D31:T36</xm:sqref>
        </x14:conditionalFormatting>
        <x14:conditionalFormatting xmlns:xm="http://schemas.microsoft.com/office/excel/2006/main">
          <x14:cfRule type="expression" priority="55" id="{F9B81CF3-9145-4151-9F1A-9ABFAFB6782A}">
            <xm:f>OR(INputs!$C$6=INputs!$A$3,INputs!$C$6=INputs!$A$4)</xm:f>
            <x14:dxf>
              <font>
                <color theme="2" tint="-0.499984740745262"/>
              </font>
              <fill>
                <patternFill>
                  <bgColor theme="2" tint="-0.499984740745262"/>
                </patternFill>
              </fill>
              <border>
                <left/>
                <right/>
                <top/>
                <bottom/>
                <vertical/>
                <horizontal/>
              </border>
            </x14:dxf>
          </x14:cfRule>
          <x14:cfRule type="expression" priority="56" id="{32DE32BE-CB04-4E36-862D-88CA5A369F8E}">
            <xm:f>'Sensitivity Labels'!$F$41=FALSE</xm:f>
            <x14:dxf>
              <font>
                <color theme="2" tint="-0.499984740745262"/>
              </font>
              <fill>
                <patternFill>
                  <bgColor theme="2" tint="-0.499984740745262"/>
                </patternFill>
              </fill>
              <border>
                <left/>
                <right/>
                <top/>
                <bottom/>
              </border>
            </x14:dxf>
          </x14:cfRule>
          <xm:sqref>D40:T45</xm:sqref>
        </x14:conditionalFormatting>
        <x14:conditionalFormatting xmlns:xm="http://schemas.microsoft.com/office/excel/2006/main">
          <x14:cfRule type="expression" priority="4" id="{160EFD7D-AC74-4423-BD09-A2271E024226}">
            <xm:f>'Sensitivity Labels'!$F$49=FALSE</xm:f>
            <x14:dxf>
              <font>
                <color theme="2" tint="-0.499984740745262"/>
              </font>
              <fill>
                <patternFill>
                  <bgColor theme="2" tint="-0.499984740745262"/>
                </patternFill>
              </fill>
              <border>
                <left/>
                <right/>
                <top/>
                <bottom/>
                <vertical/>
                <horizontal/>
              </border>
            </x14:dxf>
          </x14:cfRule>
          <x14:cfRule type="expression" priority="3" id="{B1546A7A-48B3-46CD-BE3F-3534C00798BF}">
            <xm:f>OR(INputs!$C$7=INputs!$A$3,INputs!$C$7=INputs!$A$4)</xm:f>
            <x14:dxf>
              <font>
                <color theme="2" tint="-0.499984740745262"/>
              </font>
              <fill>
                <patternFill>
                  <bgColor theme="2" tint="-0.499984740745262"/>
                </patternFill>
              </fill>
              <border>
                <left/>
                <right/>
                <top/>
                <bottom/>
                <vertical/>
                <horizontal/>
              </border>
            </x14:dxf>
          </x14:cfRule>
          <xm:sqref>D49:T54</xm:sqref>
        </x14:conditionalFormatting>
        <x14:conditionalFormatting xmlns:xm="http://schemas.microsoft.com/office/excel/2006/main">
          <x14:cfRule type="expression" priority="73" id="{D065A064-39CC-4F1B-8644-E73C7F0E8C33}">
            <xm:f>'Sensitivity Labels'!$F$57=FALSE</xm:f>
            <x14:dxf>
              <font>
                <color theme="2" tint="-0.499984740745262"/>
              </font>
              <fill>
                <patternFill>
                  <bgColor theme="2" tint="-0.499984740745262"/>
                </patternFill>
              </fill>
              <border>
                <left/>
                <right/>
                <top/>
                <bottom/>
              </border>
            </x14:dxf>
          </x14:cfRule>
          <x14:cfRule type="expression" priority="49" id="{75822A6F-BBC9-4F15-B36A-C2B82BB0C64D}">
            <xm:f>OR(INputs!$C$8=INputs!$A$3,INputs!$C$8=INputs!$A$4)</xm:f>
            <x14:dxf>
              <font>
                <color theme="2" tint="-0.499984740745262"/>
              </font>
              <fill>
                <patternFill>
                  <bgColor theme="2" tint="-0.499984740745262"/>
                </patternFill>
              </fill>
              <border>
                <left/>
                <right/>
                <top/>
                <bottom/>
                <vertical/>
                <horizontal/>
              </border>
            </x14:dxf>
          </x14:cfRule>
          <xm:sqref>D58:T63</xm:sqref>
        </x14:conditionalFormatting>
        <x14:conditionalFormatting xmlns:xm="http://schemas.microsoft.com/office/excel/2006/main">
          <x14:cfRule type="expression" priority="72" id="{1002C13F-7F3B-4FC2-8D5E-4BDDC49F0EAC}">
            <xm:f>'Sensitivity Labels'!$F$65=FALSE</xm:f>
            <x14:dxf>
              <font>
                <color theme="2" tint="-0.499984740745262"/>
              </font>
              <fill>
                <patternFill>
                  <bgColor theme="2" tint="-0.499984740745262"/>
                </patternFill>
              </fill>
              <border>
                <left/>
                <right/>
                <top/>
                <bottom/>
              </border>
            </x14:dxf>
          </x14:cfRule>
          <x14:cfRule type="expression" priority="46" id="{BD1E63D0-4B0B-4C73-B636-C5E57540EF1A}">
            <xm:f>OR(INputs!$C$9=INputs!$A$3,INputs!$C$9=INputs!$A$4)</xm:f>
            <x14:dxf>
              <font>
                <color theme="2" tint="-0.499984740745262"/>
              </font>
              <fill>
                <patternFill>
                  <bgColor theme="2" tint="-0.499984740745262"/>
                </patternFill>
              </fill>
              <border>
                <left/>
                <right/>
                <top/>
                <bottom/>
                <vertical/>
                <horizontal/>
              </border>
            </x14:dxf>
          </x14:cfRule>
          <xm:sqref>D67:T72</xm:sqref>
        </x14:conditionalFormatting>
        <x14:conditionalFormatting xmlns:xm="http://schemas.microsoft.com/office/excel/2006/main">
          <x14:cfRule type="expression" priority="43" id="{57DCF1DB-04F0-4AFE-8EC3-A79911B802F1}">
            <xm:f>OR(INputs!$C$10=INputs!$A$3,INputs!$C$10=INputs!$A$4)</xm:f>
            <x14:dxf>
              <font>
                <color theme="2" tint="-0.499984740745262"/>
              </font>
              <fill>
                <patternFill>
                  <bgColor theme="2" tint="-0.499984740745262"/>
                </patternFill>
              </fill>
              <border>
                <left/>
                <right/>
                <top/>
                <bottom/>
                <vertical/>
                <horizontal/>
              </border>
            </x14:dxf>
          </x14:cfRule>
          <x14:cfRule type="expression" priority="71" id="{44EE4F0B-5C51-49BC-869C-CC2E31F224F2}">
            <xm:f>'Sensitivity Labels'!$F$73=FALSE</xm:f>
            <x14:dxf>
              <font>
                <color theme="2" tint="-0.499984740745262"/>
              </font>
              <fill>
                <patternFill>
                  <bgColor theme="2" tint="-0.499984740745262"/>
                </patternFill>
              </fill>
              <border>
                <left/>
                <right/>
                <top/>
                <bottom/>
              </border>
            </x14:dxf>
          </x14:cfRule>
          <xm:sqref>D76:T81</xm:sqref>
        </x14:conditionalFormatting>
        <x14:conditionalFormatting xmlns:xm="http://schemas.microsoft.com/office/excel/2006/main">
          <x14:cfRule type="expression" priority="40" id="{23523E8C-FF21-4F00-8B46-D75A034E89A2}">
            <xm:f>OR(INputs!$C$11=INputs!$A$3,INputs!$C$11=INputs!$A$4)</xm:f>
            <x14:dxf>
              <font>
                <color theme="2" tint="-0.499984740745262"/>
              </font>
              <fill>
                <patternFill>
                  <bgColor theme="2" tint="-0.499984740745262"/>
                </patternFill>
              </fill>
              <border>
                <left/>
                <right/>
                <top/>
                <bottom/>
                <vertical/>
                <horizontal/>
              </border>
            </x14:dxf>
          </x14:cfRule>
          <x14:cfRule type="expression" priority="70" id="{0F533AC3-6620-495F-AF2E-48A0C7D794D8}">
            <xm:f>'Sensitivity Labels'!$F$81=FALSE</xm:f>
            <x14:dxf>
              <font>
                <color theme="2" tint="-0.499984740745262"/>
              </font>
              <fill>
                <patternFill>
                  <bgColor theme="2" tint="-0.499984740745262"/>
                </patternFill>
              </fill>
              <border>
                <left/>
                <right/>
                <top/>
                <bottom/>
              </border>
            </x14:dxf>
          </x14:cfRule>
          <xm:sqref>D85:T90</xm:sqref>
        </x14:conditionalFormatting>
        <x14:conditionalFormatting xmlns:xm="http://schemas.microsoft.com/office/excel/2006/main">
          <x14:cfRule type="expression" priority="69" id="{B87D73EB-351E-4E1A-AA54-06382BE4A3D0}">
            <xm:f>'Sensitivity Labels'!$F$89=FALSE</xm:f>
            <x14:dxf>
              <font>
                <color theme="2" tint="-0.499984740745262"/>
              </font>
              <fill>
                <patternFill>
                  <bgColor theme="2" tint="-0.499984740745262"/>
                </patternFill>
              </fill>
              <border>
                <left/>
                <right/>
                <top/>
                <bottom/>
              </border>
            </x14:dxf>
          </x14:cfRule>
          <x14:cfRule type="expression" priority="37" id="{E404180E-255E-4882-ACC3-1E348F15DEEB}">
            <xm:f>OR(INputs!$C$12=INputs!$A$3,INputs!$C$12=INputs!$A$4)</xm:f>
            <x14:dxf>
              <font>
                <color theme="2" tint="-0.499984740745262"/>
              </font>
              <fill>
                <patternFill>
                  <bgColor theme="2" tint="-0.499984740745262"/>
                </patternFill>
              </fill>
              <border>
                <left/>
                <right/>
                <top/>
                <bottom/>
                <vertical/>
                <horizontal/>
              </border>
            </x14:dxf>
          </x14:cfRule>
          <xm:sqref>D94:T99</xm:sqref>
        </x14:conditionalFormatting>
        <x14:conditionalFormatting xmlns:xm="http://schemas.microsoft.com/office/excel/2006/main">
          <x14:cfRule type="expression" priority="68" id="{015B4B2F-F7BB-4E7D-8DF9-575F672839D6}">
            <xm:f>OR(INputs!$C$13=INputs!$A$3,INputs!$C$13=INputs!$A$4)</xm:f>
            <x14:dxf>
              <font>
                <color theme="2" tint="-0.499984740745262"/>
              </font>
              <fill>
                <patternFill>
                  <bgColor theme="2" tint="-0.499984740745262"/>
                </patternFill>
              </fill>
              <border>
                <left/>
                <right/>
                <top/>
                <bottom/>
                <vertical/>
                <horizontal/>
              </border>
            </x14:dxf>
          </x14:cfRule>
          <x14:cfRule type="expression" priority="212" id="{3B0B8793-B96D-4D2D-AB81-34B0E7D4149D}">
            <xm:f>'Sensitivity Labels'!$F$105=FALSE</xm:f>
            <x14:dxf>
              <font>
                <color theme="2" tint="-0.499984740745262"/>
              </font>
              <fill>
                <patternFill>
                  <bgColor theme="2" tint="-0.499984740745262"/>
                </patternFill>
              </fill>
              <border>
                <left/>
                <right/>
                <top/>
                <bottom/>
                <vertical/>
                <horizontal/>
              </border>
            </x14:dxf>
          </x14:cfRule>
          <xm:sqref>D103:T108</xm:sqref>
        </x14:conditionalFormatting>
        <x14:conditionalFormatting xmlns:xm="http://schemas.microsoft.com/office/excel/2006/main">
          <x14:cfRule type="expression" priority="121" id="{96383F32-8EB5-41FC-94AF-BD8E9F13FC7A}">
            <xm:f>'Sensitivity Labels'!$F$105=FALSE</xm:f>
            <x14:dxf>
              <font>
                <color theme="2" tint="-0.499984740745262"/>
              </font>
              <fill>
                <patternFill>
                  <bgColor theme="2" tint="-0.499984740745262"/>
                </patternFill>
              </fill>
              <border>
                <left/>
                <right/>
                <top/>
                <bottom/>
              </border>
            </x14:dxf>
          </x14:cfRule>
          <x14:cfRule type="expression" priority="67" id="{A8568691-A027-4102-B65B-8727507F7B08}">
            <xm:f>OR(INputs!$C$14=INputs!$A$3,INputs!$C$14=INputs!$A$4)</xm:f>
            <x14:dxf>
              <font>
                <color theme="2" tint="-0.499984740745262"/>
              </font>
              <fill>
                <patternFill>
                  <bgColor theme="2" tint="-0.499984740745262"/>
                </patternFill>
              </fill>
              <border>
                <left/>
                <right/>
                <top/>
                <bottom/>
                <vertical/>
                <horizontal/>
              </border>
            </x14:dxf>
          </x14:cfRule>
          <xm:sqref>D112:T117</xm:sqref>
        </x14:conditionalFormatting>
        <x14:conditionalFormatting xmlns:xm="http://schemas.microsoft.com/office/excel/2006/main">
          <x14:cfRule type="expression" priority="28" id="{B81AD44D-6B64-41EB-A68C-3530DC2F6278}">
            <xm:f>OR(INputs!$C$15=INputs!$A$3,INputs!$C$15=INputs!$A$4)</xm:f>
            <x14:dxf>
              <font>
                <color theme="2" tint="-0.499984740745262"/>
              </font>
              <fill>
                <patternFill>
                  <bgColor theme="2" tint="-0.499984740745262"/>
                </patternFill>
              </fill>
              <border>
                <left/>
                <right/>
                <top/>
                <bottom/>
                <vertical/>
                <horizontal/>
              </border>
            </x14:dxf>
          </x14:cfRule>
          <x14:cfRule type="expression" priority="66" id="{3080DE21-AA60-4F14-84FF-36AB3FFDD611}">
            <xm:f>'Sensitivity Labels'!$F$113=FALSE</xm:f>
            <x14:dxf>
              <font>
                <color theme="2" tint="-0.499984740745262"/>
              </font>
              <fill>
                <patternFill>
                  <bgColor theme="2" tint="-0.499984740745262"/>
                </patternFill>
              </fill>
              <border>
                <left/>
                <right/>
                <top/>
                <bottom/>
              </border>
            </x14:dxf>
          </x14:cfRule>
          <xm:sqref>D121:T126</xm:sqref>
        </x14:conditionalFormatting>
        <x14:conditionalFormatting xmlns:xm="http://schemas.microsoft.com/office/excel/2006/main">
          <x14:cfRule type="expression" priority="25" id="{6D9FFB65-ECF9-45F5-B1AA-00D2C508569E}">
            <xm:f>OR(INputs!$C$16=INputs!$A$3,INputs!$C$16=INputs!$A$4)</xm:f>
            <x14:dxf>
              <font>
                <color theme="2" tint="-0.499984740745262"/>
              </font>
              <fill>
                <patternFill>
                  <bgColor theme="2" tint="-0.499984740745262"/>
                </patternFill>
              </fill>
              <border>
                <left/>
                <right/>
                <top/>
                <bottom/>
                <vertical/>
                <horizontal/>
              </border>
            </x14:dxf>
          </x14:cfRule>
          <x14:cfRule type="expression" priority="65" id="{54B1DE5B-2E5D-41C4-A653-A35D5D59CD43}">
            <xm:f>'Sensitivity Labels'!$F$121=FALSE</xm:f>
            <x14:dxf>
              <font>
                <color theme="2" tint="-0.499984740745262"/>
              </font>
              <fill>
                <patternFill>
                  <bgColor theme="2" tint="-0.499984740745262"/>
                </patternFill>
              </fill>
              <border>
                <left/>
                <right/>
                <top/>
                <bottom/>
              </border>
            </x14:dxf>
          </x14:cfRule>
          <xm:sqref>D130:T135</xm:sqref>
        </x14:conditionalFormatting>
        <x14:conditionalFormatting xmlns:xm="http://schemas.microsoft.com/office/excel/2006/main">
          <x14:cfRule type="expression" priority="22" id="{C7D96EF9-DDCD-495F-B3D0-B9F2CEFF656F}">
            <xm:f>OR(INputs!$C$17=INputs!$A$3,INputs!$C$17=INputs!$A$4)</xm:f>
            <x14:dxf>
              <font>
                <color theme="2" tint="-0.499984740745262"/>
              </font>
              <fill>
                <patternFill>
                  <bgColor theme="2" tint="-0.499984740745262"/>
                </patternFill>
              </fill>
              <border>
                <left/>
                <right/>
                <top/>
                <bottom/>
                <vertical/>
                <horizontal/>
              </border>
            </x14:dxf>
          </x14:cfRule>
          <x14:cfRule type="expression" priority="64" id="{3B8A24EC-0420-4CC0-9C7E-7D2D61ADD8C3}">
            <xm:f>'Sensitivity Labels'!$F$129=FALSE</xm:f>
            <x14:dxf>
              <font>
                <color theme="2" tint="-0.499984740745262"/>
              </font>
              <fill>
                <patternFill>
                  <bgColor theme="2" tint="-0.499984740745262"/>
                </patternFill>
              </fill>
              <border>
                <left/>
                <right/>
                <top/>
                <bottom/>
              </border>
            </x14:dxf>
          </x14:cfRule>
          <xm:sqref>D139:T144</xm:sqref>
        </x14:conditionalFormatting>
        <x14:conditionalFormatting xmlns:xm="http://schemas.microsoft.com/office/excel/2006/main">
          <x14:cfRule type="expression" priority="19" id="{1927DD85-954D-49F2-AF2C-3781D3116091}">
            <xm:f>OR(INputs!$C$18=INputs!$A$3,INputs!$C$18=INputs!$A$4)</xm:f>
            <x14:dxf>
              <font>
                <color theme="2" tint="-0.499984740745262"/>
              </font>
              <fill>
                <patternFill>
                  <bgColor theme="2" tint="-0.499984740745262"/>
                </patternFill>
              </fill>
              <border>
                <left/>
                <right/>
                <top/>
                <bottom/>
                <vertical/>
                <horizontal/>
              </border>
            </x14:dxf>
          </x14:cfRule>
          <x14:cfRule type="expression" priority="63" id="{8F88D260-3FB0-4CD6-AB4F-D35620176E7D}">
            <xm:f>'Sensitivity Labels'!$F$137=FALSE</xm:f>
            <x14:dxf>
              <font>
                <color theme="2" tint="-0.499984740745262"/>
              </font>
              <fill>
                <patternFill>
                  <bgColor theme="2" tint="-0.499984740745262"/>
                </patternFill>
              </fill>
              <border>
                <left/>
                <right/>
                <top/>
                <bottom/>
              </border>
            </x14:dxf>
          </x14:cfRule>
          <xm:sqref>D148:T153</xm:sqref>
        </x14:conditionalFormatting>
        <x14:conditionalFormatting xmlns:xm="http://schemas.microsoft.com/office/excel/2006/main">
          <x14:cfRule type="expression" priority="16" id="{D681A7B2-4370-44D8-91C0-90B04F617FD1}">
            <xm:f>OR(INputs!$C$19=INputs!$A$3,INputs!$C$19=INputs!$A$4)</xm:f>
            <x14:dxf>
              <font>
                <color theme="2" tint="-0.499984740745262"/>
              </font>
              <fill>
                <patternFill>
                  <bgColor theme="2" tint="-0.499984740745262"/>
                </patternFill>
              </fill>
              <border>
                <left/>
                <right/>
                <top/>
                <bottom/>
                <vertical/>
                <horizontal/>
              </border>
            </x14:dxf>
          </x14:cfRule>
          <x14:cfRule type="expression" priority="62" id="{CA19579E-1786-47CE-AEE3-BEDA7D3982F5}">
            <xm:f>'Sensitivity Labels'!$F$145=FALSE</xm:f>
            <x14:dxf>
              <font>
                <color theme="2" tint="-0.499984740745262"/>
              </font>
              <fill>
                <patternFill>
                  <bgColor theme="2" tint="-0.499984740745262"/>
                </patternFill>
              </fill>
              <border>
                <left/>
                <right/>
                <top/>
                <bottom/>
              </border>
            </x14:dxf>
          </x14:cfRule>
          <xm:sqref>D157:T162</xm:sqref>
        </x14:conditionalFormatting>
        <x14:conditionalFormatting xmlns:xm="http://schemas.microsoft.com/office/excel/2006/main">
          <x14:cfRule type="expression" priority="13" id="{F529A022-30FD-44EF-A5F3-E8DAE3BB07BE}">
            <xm:f>OR(INputs!$C$20=INputs!$A$3,INputs!$C$20=INputs!$A$4)</xm:f>
            <x14:dxf>
              <font>
                <color theme="2" tint="-0.499984740745262"/>
              </font>
              <fill>
                <patternFill>
                  <bgColor theme="2" tint="-0.499984740745262"/>
                </patternFill>
              </fill>
              <border>
                <left/>
                <right/>
                <top/>
                <bottom/>
                <vertical/>
                <horizontal/>
              </border>
            </x14:dxf>
          </x14:cfRule>
          <x14:cfRule type="expression" priority="61" id="{6C52D503-6DAE-4210-A712-06E2BB66E859}">
            <xm:f>'Sensitivity Labels'!$F$153=FALSE</xm:f>
            <x14:dxf>
              <font>
                <color theme="2" tint="-0.499984740745262"/>
              </font>
              <fill>
                <patternFill>
                  <bgColor theme="2" tint="-0.499984740745262"/>
                </patternFill>
              </fill>
              <border>
                <left/>
                <right/>
                <top/>
                <bottom/>
              </border>
            </x14:dxf>
          </x14:cfRule>
          <xm:sqref>D166:T171</xm:sqref>
        </x14:conditionalFormatting>
        <x14:conditionalFormatting xmlns:xm="http://schemas.microsoft.com/office/excel/2006/main">
          <x14:cfRule type="expression" priority="10" id="{A6D7235F-D36B-4AE9-94BD-4ECA27BE4729}">
            <xm:f>OR(INputs!$C$21=INputs!$A$3,INputs!$C$21=INputs!$A$4)</xm:f>
            <x14:dxf>
              <font>
                <color theme="2" tint="-0.499984740745262"/>
              </font>
              <fill>
                <patternFill>
                  <bgColor theme="2" tint="-0.499984740745262"/>
                </patternFill>
              </fill>
              <border>
                <left/>
                <right/>
                <top/>
                <bottom/>
                <vertical/>
                <horizontal/>
              </border>
            </x14:dxf>
          </x14:cfRule>
          <x14:cfRule type="expression" priority="60" id="{3751600E-DB0A-43BF-9095-6EB9A0B71A28}">
            <xm:f>'Sensitivity Labels'!$F$161=FALSE</xm:f>
            <x14:dxf>
              <font>
                <color theme="2" tint="-0.499984740745262"/>
              </font>
              <fill>
                <patternFill>
                  <bgColor theme="2" tint="-0.499984740745262"/>
                </patternFill>
              </fill>
              <border>
                <left/>
                <right/>
                <top/>
                <bottom/>
              </border>
            </x14:dxf>
          </x14:cfRule>
          <xm:sqref>D175:T180</xm:sqref>
        </x14:conditionalFormatting>
        <x14:conditionalFormatting xmlns:xm="http://schemas.microsoft.com/office/excel/2006/main">
          <x14:cfRule type="expression" priority="59" id="{C3CDBD3A-7AAD-468E-BFCB-197DE7DEC171}">
            <xm:f>'Sensitivity Labels'!$F$169=FALSE</xm:f>
            <x14:dxf>
              <font>
                <color theme="2" tint="-0.499984740745262"/>
              </font>
              <fill>
                <patternFill>
                  <bgColor theme="2" tint="-0.499984740745262"/>
                </patternFill>
              </fill>
              <border>
                <left/>
                <right/>
                <top/>
                <bottom/>
              </border>
            </x14:dxf>
          </x14:cfRule>
          <x14:cfRule type="expression" priority="7" id="{1C5346BF-F0C0-4D17-ACE3-3AF3E614D47A}">
            <xm:f>OR(INputs!$C$22=INputs!$A$3,INputs!$C$22=INputs!$A$4)</xm:f>
            <x14:dxf>
              <font>
                <color theme="2" tint="-0.499984740745262"/>
              </font>
              <fill>
                <patternFill>
                  <bgColor theme="2" tint="-0.499984740745262"/>
                </patternFill>
              </fill>
              <border>
                <left/>
                <right/>
                <top/>
                <bottom/>
                <vertical/>
                <horizontal/>
              </border>
            </x14:dxf>
          </x14:cfRule>
          <xm:sqref>D184:T189</xm:sqref>
        </x14:conditionalFormatting>
        <x14:conditionalFormatting xmlns:xm="http://schemas.microsoft.com/office/excel/2006/main">
          <x14:cfRule type="expression" priority="468" id="{00000000-000E-0000-0500-000076010000}">
            <xm:f>AND(E15=TRUE,$H$13=INputs!$AN$4,$S$16=TRUE)</xm:f>
            <x14:dxf>
              <font>
                <color theme="1"/>
              </font>
            </x14:dxf>
          </x14:cfRule>
          <xm:sqref>S18</xm:sqref>
        </x14:conditionalFormatting>
        <x14:conditionalFormatting xmlns:xm="http://schemas.microsoft.com/office/excel/2006/main">
          <x14:cfRule type="expression" priority="163" id="{4939C4ED-6E3D-410A-9DA2-89BB09514C80}">
            <xm:f>AND($S$25=TRUE,$H$22=INputs!$AN$4,$E$24)</xm:f>
            <x14:dxf>
              <font>
                <color theme="1"/>
              </font>
            </x14:dxf>
          </x14:cfRule>
          <xm:sqref>S27:T27</xm:sqref>
        </x14:conditionalFormatting>
        <x14:conditionalFormatting xmlns:xm="http://schemas.microsoft.com/office/excel/2006/main">
          <x14:cfRule type="expression" priority="160" id="{E9600844-641C-4F76-ADCD-9716D612B520}">
            <xm:f>AND($S34=TRUE,$H31=INputs!$AN$4,$E33)</xm:f>
            <x14:dxf>
              <font>
                <color theme="1"/>
              </font>
            </x14:dxf>
          </x14:cfRule>
          <xm:sqref>S36:T36</xm:sqref>
        </x14:conditionalFormatting>
        <x14:conditionalFormatting xmlns:xm="http://schemas.microsoft.com/office/excel/2006/main">
          <x14:cfRule type="expression" priority="75" id="{5CEEA8BE-2B64-4FAC-B34C-6A75751E61A4}">
            <xm:f>AND($S43=TRUE,$H40=INputs!$AN$4,$E42)</xm:f>
            <x14:dxf>
              <font>
                <color theme="1"/>
              </font>
            </x14:dxf>
          </x14:cfRule>
          <xm:sqref>S45:T45</xm:sqref>
        </x14:conditionalFormatting>
        <x14:conditionalFormatting xmlns:xm="http://schemas.microsoft.com/office/excel/2006/main">
          <x14:cfRule type="expression" priority="52" id="{6627C0CF-62C8-4A4B-9F89-3145EC2DE6A4}">
            <xm:f>AND($S52=TRUE,$H49=INputs!$AN$4,$E51)</xm:f>
            <x14:dxf>
              <font>
                <color theme="1"/>
              </font>
            </x14:dxf>
          </x14:cfRule>
          <xm:sqref>S54:T54</xm:sqref>
        </x14:conditionalFormatting>
        <x14:conditionalFormatting xmlns:xm="http://schemas.microsoft.com/office/excel/2006/main">
          <x14:cfRule type="expression" priority="151" id="{F804D48E-00B7-4FE7-8AA3-41278D1D0494}">
            <xm:f>AND($S61=TRUE,$H58=INputs!$AN$4,$E60)</xm:f>
            <x14:dxf>
              <font>
                <color theme="1"/>
              </font>
            </x14:dxf>
          </x14:cfRule>
          <xm:sqref>S63:T63</xm:sqref>
        </x14:conditionalFormatting>
        <x14:conditionalFormatting xmlns:xm="http://schemas.microsoft.com/office/excel/2006/main">
          <x14:cfRule type="expression" priority="148" id="{E9FF6477-1F4B-4776-9EF3-4607D8C2C4B1}">
            <xm:f>AND($S70=TRUE,$H67=INputs!$AN$4,$E69)</xm:f>
            <x14:dxf>
              <font>
                <color theme="1"/>
              </font>
            </x14:dxf>
          </x14:cfRule>
          <xm:sqref>S72:T72</xm:sqref>
        </x14:conditionalFormatting>
        <x14:conditionalFormatting xmlns:xm="http://schemas.microsoft.com/office/excel/2006/main">
          <x14:cfRule type="expression" priority="145" id="{4B45D215-D9CD-42D4-9099-EBFC6742D97B}">
            <xm:f>AND($S79=TRUE,$H76=INputs!$AN$4,$E78)</xm:f>
            <x14:dxf>
              <font>
                <color theme="1"/>
              </font>
            </x14:dxf>
          </x14:cfRule>
          <xm:sqref>S81:T81</xm:sqref>
        </x14:conditionalFormatting>
        <x14:conditionalFormatting xmlns:xm="http://schemas.microsoft.com/office/excel/2006/main">
          <x14:cfRule type="expression" priority="130" id="{8E62212D-C87E-4C0A-8875-4DD5389E68AF}">
            <xm:f>AND($S88=TRUE,$H85=INputs!$AN$4,$E87)</xm:f>
            <x14:dxf>
              <font>
                <color theme="1"/>
              </font>
            </x14:dxf>
          </x14:cfRule>
          <xm:sqref>S90:T90</xm:sqref>
        </x14:conditionalFormatting>
        <x14:conditionalFormatting xmlns:xm="http://schemas.microsoft.com/office/excel/2006/main">
          <x14:cfRule type="expression" priority="127" id="{C1D9E1F2-EFD9-41A7-937E-5156814F59BD}">
            <xm:f>AND($S97=TRUE,$H94=INputs!$AN$4,$E96)</xm:f>
            <x14:dxf>
              <font>
                <color theme="1"/>
              </font>
            </x14:dxf>
          </x14:cfRule>
          <xm:sqref>S99:T99</xm:sqref>
        </x14:conditionalFormatting>
        <x14:conditionalFormatting xmlns:xm="http://schemas.microsoft.com/office/excel/2006/main">
          <x14:cfRule type="expression" priority="34" id="{335DC4D1-7C73-41DE-BC6E-23E39AF706DC}">
            <xm:f>AND($S106=TRUE,$H103=INputs!$AN$4,$E105)</xm:f>
            <x14:dxf>
              <font>
                <color theme="1"/>
              </font>
            </x14:dxf>
          </x14:cfRule>
          <xm:sqref>S108:T108</xm:sqref>
        </x14:conditionalFormatting>
        <x14:conditionalFormatting xmlns:xm="http://schemas.microsoft.com/office/excel/2006/main">
          <x14:cfRule type="expression" priority="31" id="{3F38E4C4-3EB4-4CF6-8B37-06D3E7EB386B}">
            <xm:f>AND($S115=TRUE,$H112=INputs!$AN$4,$E114)</xm:f>
            <x14:dxf>
              <font>
                <color theme="1"/>
              </font>
            </x14:dxf>
          </x14:cfRule>
          <xm:sqref>S117:T117</xm:sqref>
        </x14:conditionalFormatting>
        <x14:conditionalFormatting xmlns:xm="http://schemas.microsoft.com/office/excel/2006/main">
          <x14:cfRule type="expression" priority="118" id="{7FBCEF33-73B1-4ABA-B74F-BB4E72D45217}">
            <xm:f>AND($S124=TRUE,$H121=INputs!$AN$4,$E123)</xm:f>
            <x14:dxf>
              <font>
                <color theme="1"/>
              </font>
            </x14:dxf>
          </x14:cfRule>
          <xm:sqref>S126:T126</xm:sqref>
        </x14:conditionalFormatting>
        <x14:conditionalFormatting xmlns:xm="http://schemas.microsoft.com/office/excel/2006/main">
          <x14:cfRule type="expression" priority="115" id="{262D4AB9-B561-411F-B4AB-AACB14BAFFA8}">
            <xm:f>AND($S133=TRUE,$H130=INputs!$AN$4,$E132)</xm:f>
            <x14:dxf>
              <font>
                <color theme="1"/>
              </font>
            </x14:dxf>
          </x14:cfRule>
          <xm:sqref>S135:T135</xm:sqref>
        </x14:conditionalFormatting>
        <x14:conditionalFormatting xmlns:xm="http://schemas.microsoft.com/office/excel/2006/main">
          <x14:cfRule type="expression" priority="112" id="{CA024A8C-3E17-48EC-94C5-272691A34FDC}">
            <xm:f>AND($S142=TRUE,$H139=INputs!$AN$4,$E141)</xm:f>
            <x14:dxf>
              <font>
                <color theme="1"/>
              </font>
            </x14:dxf>
          </x14:cfRule>
          <xm:sqref>S144:T144</xm:sqref>
        </x14:conditionalFormatting>
        <x14:conditionalFormatting xmlns:xm="http://schemas.microsoft.com/office/excel/2006/main">
          <x14:cfRule type="expression" priority="109" id="{4AF5EAC9-021F-4F55-AEFC-A32AFAB1AE64}">
            <xm:f>AND($S151=TRUE,$H148=INputs!$AN$4,$E150)</xm:f>
            <x14:dxf>
              <font>
                <color theme="1"/>
              </font>
            </x14:dxf>
          </x14:cfRule>
          <xm:sqref>S153:T153</xm:sqref>
        </x14:conditionalFormatting>
        <x14:conditionalFormatting xmlns:xm="http://schemas.microsoft.com/office/excel/2006/main">
          <x14:cfRule type="expression" priority="106" id="{A52EBBDA-DC6C-4CF4-8AD5-9AD7866EBEFB}">
            <xm:f>AND($S160=TRUE,$H157=INputs!$AN$4,$E159)</xm:f>
            <x14:dxf>
              <font>
                <color theme="1"/>
              </font>
            </x14:dxf>
          </x14:cfRule>
          <xm:sqref>S162:T162</xm:sqref>
        </x14:conditionalFormatting>
        <x14:conditionalFormatting xmlns:xm="http://schemas.microsoft.com/office/excel/2006/main">
          <x14:cfRule type="expression" priority="103" id="{71B8465B-59D0-4CB6-86A7-103C49E6A2B5}">
            <xm:f>AND($S169=TRUE,$H166=INputs!$AN$4,$E168)</xm:f>
            <x14:dxf>
              <font>
                <color theme="1"/>
              </font>
            </x14:dxf>
          </x14:cfRule>
          <xm:sqref>S171:T171</xm:sqref>
        </x14:conditionalFormatting>
        <x14:conditionalFormatting xmlns:xm="http://schemas.microsoft.com/office/excel/2006/main">
          <x14:cfRule type="expression" priority="100" id="{B80B3636-B04D-4A0A-AEDD-0D78A66214C3}">
            <xm:f>AND($S178=TRUE,$H175=INputs!$AN$4,$E177)</xm:f>
            <x14:dxf>
              <font>
                <color theme="1"/>
              </font>
            </x14:dxf>
          </x14:cfRule>
          <xm:sqref>S180:T180</xm:sqref>
        </x14:conditionalFormatting>
        <x14:conditionalFormatting xmlns:xm="http://schemas.microsoft.com/office/excel/2006/main">
          <x14:cfRule type="expression" priority="97" id="{7502FE56-DA50-4DD9-B0A5-C7603BFD71DE}">
            <xm:f>AND($S187=TRUE,$H184=INputs!$AN$4,$E186)</xm:f>
            <x14:dxf>
              <font>
                <color theme="1"/>
              </font>
            </x14:dxf>
          </x14:cfRule>
          <xm:sqref>S189:T189</xm:sqref>
        </x14:conditionalFormatting>
        <x14:conditionalFormatting xmlns:xm="http://schemas.microsoft.com/office/excel/2006/main">
          <x14:cfRule type="expression" priority="469" id="{00000000-000E-0000-0500-000077010000}">
            <xm:f>AND(E15=TRUE,$H$13=INputs!$AN$4,$S$16=TRUE)</xm:f>
            <x14:dxf>
              <font>
                <color theme="1"/>
              </font>
            </x14:dxf>
          </x14:cfRule>
          <xm:sqref>T18</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4CC15-27BB-42A9-961C-60A3DF17B5EB}">
  <sheetPr>
    <tabColor theme="6" tint="0.39997558519241921"/>
  </sheetPr>
  <dimension ref="A1:AA90"/>
  <sheetViews>
    <sheetView showGridLines="0" zoomScaleNormal="100" workbookViewId="0">
      <pane xSplit="3" ySplit="10" topLeftCell="D11" activePane="bottomRight" state="frozen"/>
      <selection pane="topRight" activeCell="D1" sqref="D1"/>
      <selection pane="bottomLeft" activeCell="A5" sqref="A5"/>
      <selection pane="bottomRight" activeCell="G23" sqref="G23:G26"/>
    </sheetView>
  </sheetViews>
  <sheetFormatPr defaultRowHeight="18.5" outlineLevelRow="1" x14ac:dyDescent="0.45"/>
  <cols>
    <col min="1" max="1" width="3.453125" style="304" customWidth="1"/>
    <col min="2" max="2" width="24" customWidth="1"/>
    <col min="3" max="3" width="34.1796875" hidden="1" customWidth="1"/>
    <col min="4" max="4" width="30" style="3" customWidth="1"/>
    <col min="5" max="5" width="6.54296875" customWidth="1"/>
    <col min="6" max="6" width="23.81640625" customWidth="1"/>
    <col min="7" max="7" width="36.1796875" style="3" customWidth="1"/>
    <col min="8" max="8" width="17.1796875" hidden="1" customWidth="1"/>
    <col min="9" max="9" width="19.54296875" customWidth="1"/>
    <col min="10" max="10" width="20.7265625" style="125" customWidth="1"/>
    <col min="11" max="11" width="7.81640625" hidden="1" customWidth="1"/>
    <col min="12" max="12" width="10.1796875" hidden="1" customWidth="1"/>
    <col min="13" max="13" width="9.54296875" hidden="1" customWidth="1"/>
    <col min="14" max="14" width="22.1796875" hidden="1" customWidth="1"/>
    <col min="15" max="15" width="33.453125" customWidth="1"/>
    <col min="16" max="16" width="43.453125" customWidth="1"/>
    <col min="17" max="17" width="7.54296875" style="2" customWidth="1"/>
    <col min="18" max="18" width="41.26953125" style="230" customWidth="1"/>
    <col min="19" max="19" width="7.54296875" style="2" customWidth="1"/>
    <col min="20" max="20" width="29.81640625" customWidth="1"/>
    <col min="21" max="21" width="7" customWidth="1"/>
    <col min="22" max="22" width="30.7265625" customWidth="1"/>
  </cols>
  <sheetData>
    <row r="1" spans="1:27" ht="5.15" customHeight="1" thickBot="1" x14ac:dyDescent="0.4">
      <c r="A1"/>
    </row>
    <row r="2" spans="1:27" s="305" customFormat="1" ht="24" thickBot="1" x14ac:dyDescent="0.55000000000000004">
      <c r="A2"/>
      <c r="B2" s="750" t="s">
        <v>85</v>
      </c>
      <c r="C2" s="751"/>
      <c r="D2" s="751"/>
      <c r="E2" s="751"/>
      <c r="F2" s="751"/>
      <c r="G2" s="751"/>
      <c r="H2" s="751"/>
      <c r="I2" s="752"/>
      <c r="J2" s="759" t="s">
        <v>253</v>
      </c>
      <c r="K2" s="759"/>
      <c r="L2" s="759"/>
      <c r="M2" s="759"/>
      <c r="N2" s="759"/>
      <c r="O2" s="759"/>
      <c r="P2" s="353" t="s">
        <v>91</v>
      </c>
      <c r="Q2" s="750" t="s">
        <v>254</v>
      </c>
      <c r="R2" s="751"/>
      <c r="S2" s="751"/>
      <c r="T2" s="751"/>
      <c r="U2" s="751"/>
      <c r="V2" s="752"/>
      <c r="W2"/>
      <c r="X2"/>
      <c r="Y2"/>
      <c r="Z2"/>
      <c r="AA2"/>
    </row>
    <row r="3" spans="1:27" s="3" customFormat="1" ht="43.5" x14ac:dyDescent="0.35">
      <c r="B3" s="354" t="s">
        <v>112</v>
      </c>
      <c r="C3" s="355" t="s">
        <v>113</v>
      </c>
      <c r="D3" s="355" t="s">
        <v>114</v>
      </c>
      <c r="E3" s="753" t="s">
        <v>115</v>
      </c>
      <c r="F3" s="754"/>
      <c r="G3" s="355" t="s">
        <v>116</v>
      </c>
      <c r="H3" s="355" t="s">
        <v>117</v>
      </c>
      <c r="I3" s="356" t="s">
        <v>118</v>
      </c>
      <c r="J3" s="760"/>
      <c r="K3" s="761"/>
      <c r="L3" s="761"/>
      <c r="M3" s="761"/>
      <c r="N3" s="761"/>
      <c r="O3" s="762"/>
      <c r="P3" s="357" t="s">
        <v>255</v>
      </c>
      <c r="Q3" s="758" t="s">
        <v>226</v>
      </c>
      <c r="R3" s="754"/>
      <c r="S3" s="755" t="s">
        <v>227</v>
      </c>
      <c r="T3" s="757"/>
      <c r="U3" s="755" t="s">
        <v>230</v>
      </c>
      <c r="V3" s="756"/>
      <c r="Z3"/>
      <c r="AA3"/>
    </row>
    <row r="4" spans="1:27" s="3" customFormat="1" hidden="1" outlineLevel="1" x14ac:dyDescent="0.35">
      <c r="A4" s="772" t="s">
        <v>119</v>
      </c>
      <c r="B4" s="780" t="s">
        <v>256</v>
      </c>
      <c r="C4" s="320"/>
      <c r="D4" s="793" t="s">
        <v>257</v>
      </c>
      <c r="E4" s="779" t="s">
        <v>256</v>
      </c>
      <c r="F4" s="780"/>
      <c r="G4" s="793" t="s">
        <v>258</v>
      </c>
      <c r="H4" s="320"/>
      <c r="I4" s="793" t="s">
        <v>256</v>
      </c>
      <c r="J4" s="779" t="s">
        <v>259</v>
      </c>
      <c r="K4" s="627"/>
      <c r="L4" s="627"/>
      <c r="M4" s="627"/>
      <c r="N4" s="627"/>
      <c r="O4" s="780"/>
      <c r="P4" s="793" t="s">
        <v>260</v>
      </c>
      <c r="Q4" s="779" t="s">
        <v>261</v>
      </c>
      <c r="R4" s="780"/>
      <c r="S4" s="779" t="s">
        <v>262</v>
      </c>
      <c r="T4" s="780"/>
      <c r="U4" s="779" t="s">
        <v>263</v>
      </c>
      <c r="V4" s="783"/>
      <c r="Z4"/>
      <c r="AA4"/>
    </row>
    <row r="5" spans="1:27" s="3" customFormat="1" hidden="1" outlineLevel="1" x14ac:dyDescent="0.35">
      <c r="A5" s="774"/>
      <c r="B5" s="782"/>
      <c r="C5" s="315"/>
      <c r="D5" s="794"/>
      <c r="E5" s="781"/>
      <c r="F5" s="782"/>
      <c r="G5" s="794"/>
      <c r="H5" s="315"/>
      <c r="I5" s="794"/>
      <c r="J5" s="781"/>
      <c r="K5" s="795"/>
      <c r="L5" s="795"/>
      <c r="M5" s="795"/>
      <c r="N5" s="795"/>
      <c r="O5" s="782"/>
      <c r="P5" s="794"/>
      <c r="Q5" s="781"/>
      <c r="R5" s="782"/>
      <c r="S5" s="781"/>
      <c r="T5" s="782"/>
      <c r="U5" s="781"/>
      <c r="V5" s="784"/>
      <c r="Z5"/>
      <c r="AA5"/>
    </row>
    <row r="6" spans="1:27" s="3" customFormat="1" ht="21.65" hidden="1" customHeight="1" outlineLevel="1" x14ac:dyDescent="0.35">
      <c r="A6" s="774"/>
      <c r="B6" s="782"/>
      <c r="C6" s="319" t="s">
        <v>264</v>
      </c>
      <c r="D6" s="794"/>
      <c r="E6" s="781"/>
      <c r="F6" s="782"/>
      <c r="G6" s="794"/>
      <c r="H6" s="298"/>
      <c r="I6" s="794"/>
      <c r="J6" s="781"/>
      <c r="K6" s="795"/>
      <c r="L6" s="795"/>
      <c r="M6" s="795"/>
      <c r="N6" s="795"/>
      <c r="O6" s="782"/>
      <c r="P6" s="794"/>
      <c r="Q6" s="781"/>
      <c r="R6" s="782"/>
      <c r="S6" s="781"/>
      <c r="T6" s="782"/>
      <c r="U6" s="781"/>
      <c r="V6" s="784"/>
      <c r="Z6"/>
      <c r="AA6"/>
    </row>
    <row r="7" spans="1:27" s="3" customFormat="1" ht="377.15" hidden="1" customHeight="1" outlineLevel="1" thickBot="1" x14ac:dyDescent="0.4">
      <c r="A7" s="774"/>
      <c r="B7" s="782"/>
      <c r="C7" s="318"/>
      <c r="D7" s="794"/>
      <c r="E7" s="781"/>
      <c r="F7" s="782"/>
      <c r="G7" s="794"/>
      <c r="H7" s="298"/>
      <c r="I7" s="794"/>
      <c r="J7" s="781"/>
      <c r="K7" s="795"/>
      <c r="L7" s="795"/>
      <c r="M7" s="795"/>
      <c r="N7" s="795"/>
      <c r="O7" s="782"/>
      <c r="P7" s="794"/>
      <c r="Q7" s="781"/>
      <c r="R7" s="782"/>
      <c r="S7" s="781"/>
      <c r="T7" s="782"/>
      <c r="U7" s="781"/>
      <c r="V7" s="784"/>
      <c r="Z7"/>
      <c r="AA7"/>
    </row>
    <row r="8" spans="1:27" s="3" customFormat="1" ht="21" hidden="1" customHeight="1" outlineLevel="1" x14ac:dyDescent="0.35">
      <c r="A8" s="772" t="s">
        <v>127</v>
      </c>
      <c r="B8" s="328"/>
      <c r="C8" s="329"/>
      <c r="D8" s="329"/>
      <c r="E8" s="775"/>
      <c r="F8" s="776"/>
      <c r="G8" s="330"/>
      <c r="H8" s="331"/>
      <c r="I8" s="330"/>
      <c r="J8" s="330"/>
      <c r="K8" s="330"/>
      <c r="L8" s="330"/>
      <c r="M8" s="332"/>
      <c r="N8" s="332"/>
      <c r="O8" s="333"/>
      <c r="P8" s="333"/>
      <c r="Q8" s="785"/>
      <c r="R8" s="786"/>
      <c r="S8" s="785"/>
      <c r="T8" s="789"/>
      <c r="U8" s="785"/>
      <c r="V8" s="791"/>
      <c r="Z8"/>
      <c r="AA8"/>
    </row>
    <row r="9" spans="1:27" s="3" customFormat="1" ht="21.65" hidden="1" customHeight="1" outlineLevel="1" thickBot="1" x14ac:dyDescent="0.4">
      <c r="A9" s="773"/>
      <c r="B9" s="334"/>
      <c r="C9" s="335"/>
      <c r="D9" s="335"/>
      <c r="E9" s="777"/>
      <c r="F9" s="778"/>
      <c r="G9" s="336"/>
      <c r="H9" s="337"/>
      <c r="I9" s="336"/>
      <c r="J9" s="336"/>
      <c r="K9" s="336"/>
      <c r="L9" s="336"/>
      <c r="M9" s="338"/>
      <c r="N9" s="338"/>
      <c r="O9" s="339"/>
      <c r="P9" s="339"/>
      <c r="Q9" s="787"/>
      <c r="R9" s="788"/>
      <c r="S9" s="787"/>
      <c r="T9" s="790"/>
      <c r="U9" s="787"/>
      <c r="V9" s="792"/>
      <c r="Z9"/>
      <c r="AA9"/>
    </row>
    <row r="10" spans="1:27" s="3" customFormat="1" ht="25" customHeight="1" collapsed="1" thickBot="1" x14ac:dyDescent="0.4">
      <c r="B10" s="321"/>
      <c r="C10" s="322"/>
      <c r="D10" s="323"/>
      <c r="E10" s="324"/>
      <c r="F10" s="316"/>
      <c r="G10" s="325"/>
      <c r="H10" s="322"/>
      <c r="I10" s="324"/>
      <c r="J10" s="326"/>
      <c r="K10" s="316"/>
      <c r="L10" s="316"/>
      <c r="M10" s="316"/>
      <c r="N10" s="316"/>
      <c r="O10" s="324"/>
      <c r="P10" s="326"/>
      <c r="Q10" s="326"/>
      <c r="R10" s="327"/>
      <c r="S10" s="316"/>
      <c r="T10" s="316"/>
      <c r="U10" s="316"/>
      <c r="V10" s="317"/>
      <c r="Z10"/>
      <c r="AA10"/>
    </row>
    <row r="11" spans="1:27" ht="14.5" customHeight="1" x14ac:dyDescent="0.35">
      <c r="A11" s="731">
        <v>1</v>
      </c>
      <c r="B11" s="743">
        <f>'Sensitivity Labels'!C11</f>
        <v>0</v>
      </c>
      <c r="C11" s="745">
        <f>'Sensitivity Labels'!D11</f>
        <v>0</v>
      </c>
      <c r="D11" s="737">
        <f>'Sensitivity Labels'!E11</f>
        <v>0</v>
      </c>
      <c r="E11" s="340" t="b">
        <f>'Sensitivity Labels'!F11</f>
        <v>0</v>
      </c>
      <c r="F11" s="341" t="str">
        <f>'Sensitivity Labels'!G11</f>
        <v>Files &amp; Other Data assets</v>
      </c>
      <c r="G11" s="763">
        <f>'Sensitivity Labels'!I11</f>
        <v>0</v>
      </c>
      <c r="H11" s="743">
        <f>'Sensitivity Labels'!J11</f>
        <v>0</v>
      </c>
      <c r="I11" s="719">
        <f>'Sensitivity Labels'!K11</f>
        <v>0</v>
      </c>
      <c r="J11" s="342" t="str">
        <f>IF(OR(M11=TRUE,M12=TRUE),"Encryption",(IF(K11=TRUE,"Remove Encryption","No Encryption")))</f>
        <v>No Encryption</v>
      </c>
      <c r="K11" s="343" t="b">
        <f>'Emails, Files, &amp; Other Data'!H12</f>
        <v>0</v>
      </c>
      <c r="L11" s="344" t="str">
        <f>'Emails, Files, &amp; Other Data'!I12</f>
        <v>Remove access control settings if already applied to items</v>
      </c>
      <c r="M11" s="343" t="b">
        <f>'Emails, Files, &amp; Other Data'!J12</f>
        <v>0</v>
      </c>
      <c r="N11" s="344" t="str">
        <f>'Emails, Files, &amp; Other Data'!K12</f>
        <v>Assign Permissions now</v>
      </c>
      <c r="O11" s="345" t="s">
        <v>144</v>
      </c>
      <c r="P11" s="691" t="str">
        <f>IF(E13=TRUE,"Yes","No")</f>
        <v>No</v>
      </c>
      <c r="Q11" s="715" t="str">
        <f>IF(OR('Groups &amp; Sites'!H13=INputs!AN$3,'Groups &amp; Sites'!H13=INputs!AN$4),"Yes","No")</f>
        <v>No</v>
      </c>
      <c r="R11" s="717" t="str">
        <f>'Groups &amp; Sites'!F13</f>
        <v>Privacy and external user access</v>
      </c>
      <c r="S11" s="719" t="str">
        <f>IF('Groups &amp; Sites'!K13=TRUE,"Yes","No")</f>
        <v>No</v>
      </c>
      <c r="T11" s="717" t="str">
        <f>'Groups &amp; Sites'!L13</f>
        <v>Content can be shared with</v>
      </c>
      <c r="U11" s="719" t="str">
        <f>IF('Groups &amp; Sites'!S14=TRUE,"Yes","No")</f>
        <v>No</v>
      </c>
      <c r="V11" s="729" t="str">
        <f>'Groups &amp; Sites'!T14</f>
        <v>Allow users to discover private teams that have this label applied.</v>
      </c>
    </row>
    <row r="12" spans="1:27" ht="14.5" x14ac:dyDescent="0.35">
      <c r="A12" s="732"/>
      <c r="B12" s="743"/>
      <c r="C12" s="745"/>
      <c r="D12" s="738"/>
      <c r="E12" s="340" t="b">
        <f>'Sensitivity Labels'!F13</f>
        <v>0</v>
      </c>
      <c r="F12" s="341" t="str">
        <f>'Sensitivity Labels'!G13</f>
        <v>Emails</v>
      </c>
      <c r="G12" s="763"/>
      <c r="H12" s="743"/>
      <c r="I12" s="719"/>
      <c r="J12" s="346" t="str">
        <f>IF(OR('Emails, Files, &amp; Other Data'!X12=TRUE,'Emails, Files, &amp; Other Data'!X13=TRUE,'Emails, Files, &amp; Other Data'!X14=TRUE),"Yes","No")</f>
        <v>No</v>
      </c>
      <c r="K12" s="347"/>
      <c r="L12" s="347"/>
      <c r="M12" s="348" t="b">
        <f>'Emails, Files, &amp; Other Data'!J13</f>
        <v>0</v>
      </c>
      <c r="N12" s="347" t="str">
        <f>'Emails, Files, &amp; Other Data'!K13</f>
        <v>Let users assign permissions when they apply the label</v>
      </c>
      <c r="O12" s="349" t="s">
        <v>265</v>
      </c>
      <c r="P12" s="691"/>
      <c r="Q12" s="716"/>
      <c r="R12" s="718"/>
      <c r="S12" s="720"/>
      <c r="T12" s="718"/>
      <c r="U12" s="720"/>
      <c r="V12" s="730"/>
    </row>
    <row r="13" spans="1:27" ht="14.5" customHeight="1" x14ac:dyDescent="0.35">
      <c r="A13" s="732"/>
      <c r="B13" s="743"/>
      <c r="C13" s="745"/>
      <c r="D13" s="738"/>
      <c r="E13" s="340" t="b">
        <f>'Sensitivity Labels'!F15</f>
        <v>0</v>
      </c>
      <c r="F13" s="341" t="str">
        <f>'Sensitivity Labels'!G15</f>
        <v>Meetings</v>
      </c>
      <c r="G13" s="763"/>
      <c r="H13" s="743"/>
      <c r="I13" s="719"/>
      <c r="J13" s="693" t="str">
        <f>IF('Emails, Files, &amp; Other Data'!AB12=TRUE,"Yes","No")</f>
        <v>No</v>
      </c>
      <c r="K13" s="347"/>
      <c r="L13" s="347"/>
      <c r="M13" s="347"/>
      <c r="N13" s="347"/>
      <c r="O13" s="699" t="s">
        <v>154</v>
      </c>
      <c r="P13" s="691"/>
      <c r="Q13" s="721" t="str">
        <f>IF('Groups &amp; Sites'!H15=TRUE,"Yes","No")</f>
        <v>No</v>
      </c>
      <c r="R13" s="722" t="str">
        <f>'Groups &amp; Sites'!I15</f>
        <v>Let Microsoft 365 Group owners add people outside your organization to the group as guests.</v>
      </c>
      <c r="S13" s="719" t="str">
        <f>IF('Groups &amp; Sites'!K14=TRUE,"Yes","No")</f>
        <v>No</v>
      </c>
      <c r="T13" s="723" t="str">
        <f>'Groups &amp; Sites'!L14</f>
        <v>Use Microsoft Entra Conditional Access to protect labeled SharePoint sites</v>
      </c>
      <c r="U13" s="724" t="str">
        <f>IF(OR('Groups &amp; Sites'!S16=TRUE,'Groups &amp; Sites'!S17=TRUE,'Groups &amp; Sites'!S18=TRUE),"Yes","No")</f>
        <v>No</v>
      </c>
      <c r="V13" s="725" t="str">
        <f>'Groups &amp; Sites'!S15</f>
        <v>Teams shared channels</v>
      </c>
    </row>
    <row r="14" spans="1:27" ht="15" thickBot="1" x14ac:dyDescent="0.4">
      <c r="A14" s="733"/>
      <c r="B14" s="744"/>
      <c r="C14" s="746"/>
      <c r="D14" s="739"/>
      <c r="E14" s="350" t="b">
        <f>'Sensitivity Labels'!F17</f>
        <v>0</v>
      </c>
      <c r="F14" s="351" t="str">
        <f>'Sensitivity Labels'!G17</f>
        <v>Groups &amp; Sites</v>
      </c>
      <c r="G14" s="764"/>
      <c r="H14" s="744"/>
      <c r="I14" s="765"/>
      <c r="J14" s="694"/>
      <c r="K14" s="352"/>
      <c r="L14" s="352"/>
      <c r="M14" s="352"/>
      <c r="N14" s="352"/>
      <c r="O14" s="700"/>
      <c r="P14" s="692"/>
      <c r="Q14" s="715"/>
      <c r="R14" s="723"/>
      <c r="S14" s="719"/>
      <c r="T14" s="723"/>
      <c r="U14" s="719"/>
      <c r="V14" s="726"/>
    </row>
    <row r="15" spans="1:27" ht="14.5" x14ac:dyDescent="0.35">
      <c r="A15" s="734">
        <f>A11+1</f>
        <v>2</v>
      </c>
      <c r="B15" s="741">
        <f>'Sensitivity Labels'!C19</f>
        <v>0</v>
      </c>
      <c r="C15" s="748">
        <f>'Sensitivity Labels'!D19</f>
        <v>0</v>
      </c>
      <c r="D15" s="542">
        <f>'Sensitivity Labels'!E19</f>
        <v>0</v>
      </c>
      <c r="E15" s="60" t="b">
        <f>'Sensitivity Labels'!F19</f>
        <v>0</v>
      </c>
      <c r="F15" s="62" t="str">
        <f>'Sensitivity Labels'!G19</f>
        <v>Files &amp; Other Data assets</v>
      </c>
      <c r="G15" s="766">
        <f>'Sensitivity Labels'!I19</f>
        <v>0</v>
      </c>
      <c r="H15" s="740">
        <f>'Sensitivity Labels'!J19</f>
        <v>0</v>
      </c>
      <c r="I15" s="769">
        <f>'Sensitivity Labels'!K19</f>
        <v>0</v>
      </c>
      <c r="J15" s="311" t="str">
        <f>IF(OR(M15=TRUE,M16=TRUE),"Encryption",(IF(K15=TRUE,"Remove Encryption","No Encryption")))</f>
        <v>No Encryption</v>
      </c>
      <c r="K15" s="306" t="b">
        <f>'Emails, Files, &amp; Other Data'!H24</f>
        <v>0</v>
      </c>
      <c r="L15" s="307" t="str">
        <f>L11</f>
        <v>Remove access control settings if already applied to items</v>
      </c>
      <c r="M15" s="306" t="b">
        <f>'Emails, Files, &amp; Other Data'!J24</f>
        <v>0</v>
      </c>
      <c r="N15" s="307" t="str">
        <f>N11</f>
        <v>Assign Permissions now</v>
      </c>
      <c r="O15" s="312" t="str">
        <f>O$11</f>
        <v>Access Control</v>
      </c>
      <c r="P15" s="688" t="str">
        <f>IF(E17=TRUE,"Yes","No")</f>
        <v>No</v>
      </c>
      <c r="Q15" s="701" t="str">
        <f>IF(OR('Groups &amp; Sites'!H22=INputs!AN$3,'Groups &amp; Sites'!H22=INputs!AN$4),"Yes","No")</f>
        <v>No</v>
      </c>
      <c r="R15" s="703" t="str">
        <f>R$11</f>
        <v>Privacy and external user access</v>
      </c>
      <c r="S15" s="705" t="str">
        <f>IF('Groups &amp; Sites'!K22=TRUE,"Yes","No")</f>
        <v>No</v>
      </c>
      <c r="T15" s="703" t="str">
        <f>T$11</f>
        <v>Content can be shared with</v>
      </c>
      <c r="U15" s="705" t="str">
        <f>IF('Groups &amp; Sites'!S23=TRUE,"Yes","No")</f>
        <v>No</v>
      </c>
      <c r="V15" s="727" t="str">
        <f>V$11</f>
        <v>Allow users to discover private teams that have this label applied.</v>
      </c>
    </row>
    <row r="16" spans="1:27" ht="14.5" x14ac:dyDescent="0.35">
      <c r="A16" s="735"/>
      <c r="B16" s="741"/>
      <c r="C16" s="748"/>
      <c r="D16" s="542"/>
      <c r="E16" s="64" t="b">
        <f>'Sensitivity Labels'!F21</f>
        <v>0</v>
      </c>
      <c r="F16" t="str">
        <f>'Sensitivity Labels'!G21</f>
        <v>Emails</v>
      </c>
      <c r="G16" s="767"/>
      <c r="H16" s="741"/>
      <c r="I16" s="770"/>
      <c r="J16" s="313" t="str">
        <f>IF(OR('Emails, Files, &amp; Other Data'!X24=TRUE,'Emails, Files, &amp; Other Data'!X25=TRUE,'Emails, Files, &amp; Other Data'!X26=TRUE),"Yes","No")</f>
        <v>No</v>
      </c>
      <c r="K16" s="308"/>
      <c r="L16" s="308"/>
      <c r="M16" s="309" t="b">
        <f>'Emails, Files, &amp; Other Data'!J25</f>
        <v>0</v>
      </c>
      <c r="N16" s="308" t="str">
        <f>N12</f>
        <v>Let users assign permissions when they apply the label</v>
      </c>
      <c r="O16" s="314" t="str">
        <f>O$12</f>
        <v>Content Marking</v>
      </c>
      <c r="P16" s="689"/>
      <c r="Q16" s="702"/>
      <c r="R16" s="704"/>
      <c r="S16" s="706"/>
      <c r="T16" s="704"/>
      <c r="U16" s="706"/>
      <c r="V16" s="728"/>
    </row>
    <row r="17" spans="1:22" ht="14.5" customHeight="1" x14ac:dyDescent="0.35">
      <c r="A17" s="735"/>
      <c r="B17" s="741"/>
      <c r="C17" s="748"/>
      <c r="D17" s="542"/>
      <c r="E17" s="64" t="b">
        <f>'Sensitivity Labels'!F23</f>
        <v>0</v>
      </c>
      <c r="F17" t="str">
        <f>'Sensitivity Labels'!G23</f>
        <v>Meetings</v>
      </c>
      <c r="G17" s="767"/>
      <c r="H17" s="741"/>
      <c r="I17" s="770"/>
      <c r="J17" s="686" t="str">
        <f>IF('Emails, Files, &amp; Other Data'!AB24=TRUE,"Yes","No")</f>
        <v>No</v>
      </c>
      <c r="K17" s="308"/>
      <c r="L17" s="308"/>
      <c r="M17" s="308"/>
      <c r="N17" s="308"/>
      <c r="O17" s="697" t="str">
        <f>O$13</f>
        <v>Auto-labeling for files and emails: "Client-side Auto-Labeling"</v>
      </c>
      <c r="P17" s="689"/>
      <c r="Q17" s="707" t="str">
        <f>IF('Groups &amp; Sites'!H24=TRUE,"Yes","No")</f>
        <v>No</v>
      </c>
      <c r="R17" s="709" t="str">
        <f>R$13</f>
        <v>Let Microsoft 365 Group owners add people outside your organization to the group as guests.</v>
      </c>
      <c r="S17" s="711" t="str">
        <f>IF('Groups &amp; Sites'!K23=TRUE,"Yes","No")</f>
        <v>No</v>
      </c>
      <c r="T17" s="713" t="str">
        <f>T$13</f>
        <v>Use Microsoft Entra Conditional Access to protect labeled SharePoint sites</v>
      </c>
      <c r="U17" s="714" t="str">
        <f>IF(OR('Groups &amp; Sites'!S25=TRUE,'Groups &amp; Sites'!S26=TRUE,'Groups &amp; Sites'!S27=TRUE),"Yes","No")</f>
        <v>No</v>
      </c>
      <c r="V17" s="695" t="str">
        <f>V$13</f>
        <v>Teams shared channels</v>
      </c>
    </row>
    <row r="18" spans="1:22" ht="15" thickBot="1" x14ac:dyDescent="0.4">
      <c r="A18" s="736"/>
      <c r="B18" s="742"/>
      <c r="C18" s="749"/>
      <c r="D18" s="543"/>
      <c r="E18" s="69" t="b">
        <f>'Sensitivity Labels'!F25</f>
        <v>0</v>
      </c>
      <c r="F18" s="67" t="str">
        <f>'Sensitivity Labels'!G25</f>
        <v>Groups &amp; Sites</v>
      </c>
      <c r="G18" s="768"/>
      <c r="H18" s="742"/>
      <c r="I18" s="771"/>
      <c r="J18" s="687"/>
      <c r="K18" s="310"/>
      <c r="L18" s="310"/>
      <c r="M18" s="310"/>
      <c r="N18" s="310"/>
      <c r="O18" s="698"/>
      <c r="P18" s="690"/>
      <c r="Q18" s="708"/>
      <c r="R18" s="710"/>
      <c r="S18" s="712"/>
      <c r="T18" s="710"/>
      <c r="U18" s="712"/>
      <c r="V18" s="696"/>
    </row>
    <row r="19" spans="1:22" ht="14.5" customHeight="1" x14ac:dyDescent="0.35">
      <c r="A19" s="731">
        <f>A15+1</f>
        <v>3</v>
      </c>
      <c r="B19" s="743">
        <f>'Sensitivity Labels'!C27</f>
        <v>0</v>
      </c>
      <c r="C19" s="745">
        <f>'Sensitivity Labels'!D27</f>
        <v>0</v>
      </c>
      <c r="D19" s="737">
        <f>'Sensitivity Labels'!E27</f>
        <v>0</v>
      </c>
      <c r="E19" s="340" t="b">
        <f>'Sensitivity Labels'!F27</f>
        <v>0</v>
      </c>
      <c r="F19" s="341" t="str">
        <f>'Sensitivity Labels'!G27</f>
        <v>Files &amp; Other Data assets</v>
      </c>
      <c r="G19" s="763">
        <f>'Sensitivity Labels'!I27</f>
        <v>0</v>
      </c>
      <c r="H19" s="743">
        <f>'Sensitivity Labels'!J27</f>
        <v>0</v>
      </c>
      <c r="I19" s="719">
        <f>'Sensitivity Labels'!K27</f>
        <v>0</v>
      </c>
      <c r="J19" s="342" t="str">
        <f>IF(OR(M19=TRUE,M20=TRUE),"Encryption",(IF(K19=TRUE,"Remove Encryption","No Encryption")))</f>
        <v>No Encryption</v>
      </c>
      <c r="K19" s="343" t="b">
        <f>'Emails, Files, &amp; Other Data'!H36</f>
        <v>0</v>
      </c>
      <c r="L19" s="344" t="str">
        <f>L15</f>
        <v>Remove access control settings if already applied to items</v>
      </c>
      <c r="M19" s="343" t="b">
        <f>'Emails, Files, &amp; Other Data'!J36</f>
        <v>0</v>
      </c>
      <c r="N19" s="344" t="str">
        <f>N15</f>
        <v>Assign Permissions now</v>
      </c>
      <c r="O19" s="345" t="str">
        <f>O$11</f>
        <v>Access Control</v>
      </c>
      <c r="P19" s="691" t="str">
        <f>IF(E21=TRUE,"Yes","No")</f>
        <v>No</v>
      </c>
      <c r="Q19" s="715" t="str">
        <f>IF(OR('Groups &amp; Sites'!H31=INputs!AN$3,'Groups &amp; Sites'!H31=INputs!AN$4),"Yes","No")</f>
        <v>No</v>
      </c>
      <c r="R19" s="717" t="str">
        <f>R$11</f>
        <v>Privacy and external user access</v>
      </c>
      <c r="S19" s="719" t="str">
        <f>IF('Groups &amp; Sites'!K31=TRUE,"Yes","No")</f>
        <v>No</v>
      </c>
      <c r="T19" s="717" t="str">
        <f>T$11</f>
        <v>Content can be shared with</v>
      </c>
      <c r="U19" s="719" t="str">
        <f>IF('Groups &amp; Sites'!S32=TRUE,"Yes","No")</f>
        <v>No</v>
      </c>
      <c r="V19" s="729" t="str">
        <f>V$11</f>
        <v>Allow users to discover private teams that have this label applied.</v>
      </c>
    </row>
    <row r="20" spans="1:22" ht="14.5" x14ac:dyDescent="0.35">
      <c r="A20" s="732"/>
      <c r="B20" s="743"/>
      <c r="C20" s="745"/>
      <c r="D20" s="738"/>
      <c r="E20" s="340" t="b">
        <f>'Sensitivity Labels'!F29</f>
        <v>0</v>
      </c>
      <c r="F20" s="341" t="str">
        <f>'Sensitivity Labels'!G29</f>
        <v>Emails</v>
      </c>
      <c r="G20" s="763"/>
      <c r="H20" s="743"/>
      <c r="I20" s="719"/>
      <c r="J20" s="346" t="str">
        <f>IF(OR('Emails, Files, &amp; Other Data'!X36=TRUE,'Emails, Files, &amp; Other Data'!X37=TRUE,'Emails, Files, &amp; Other Data'!X38=TRUE),"Yes","No")</f>
        <v>No</v>
      </c>
      <c r="K20" s="347"/>
      <c r="L20" s="347"/>
      <c r="M20" s="348" t="b">
        <f>'Emails, Files, &amp; Other Data'!J37</f>
        <v>0</v>
      </c>
      <c r="N20" s="347" t="str">
        <f>N16</f>
        <v>Let users assign permissions when they apply the label</v>
      </c>
      <c r="O20" s="349" t="str">
        <f>O$12</f>
        <v>Content Marking</v>
      </c>
      <c r="P20" s="691"/>
      <c r="Q20" s="716"/>
      <c r="R20" s="718"/>
      <c r="S20" s="720"/>
      <c r="T20" s="718"/>
      <c r="U20" s="720"/>
      <c r="V20" s="730"/>
    </row>
    <row r="21" spans="1:22" ht="14.5" customHeight="1" x14ac:dyDescent="0.35">
      <c r="A21" s="732"/>
      <c r="B21" s="743"/>
      <c r="C21" s="745"/>
      <c r="D21" s="738"/>
      <c r="E21" s="340" t="b">
        <f>'Sensitivity Labels'!F31</f>
        <v>0</v>
      </c>
      <c r="F21" s="341" t="str">
        <f>'Sensitivity Labels'!G31</f>
        <v>Meetings</v>
      </c>
      <c r="G21" s="763"/>
      <c r="H21" s="743"/>
      <c r="I21" s="719"/>
      <c r="J21" s="693" t="str">
        <f>IF('Emails, Files, &amp; Other Data'!AB36=TRUE,"Yes","No")</f>
        <v>No</v>
      </c>
      <c r="K21" s="347"/>
      <c r="L21" s="347"/>
      <c r="M21" s="347"/>
      <c r="N21" s="347"/>
      <c r="O21" s="699" t="str">
        <f>O$13</f>
        <v>Auto-labeling for files and emails: "Client-side Auto-Labeling"</v>
      </c>
      <c r="P21" s="691"/>
      <c r="Q21" s="721" t="str">
        <f>IF('Groups &amp; Sites'!H33=TRUE,"Yes","No")</f>
        <v>No</v>
      </c>
      <c r="R21" s="722" t="str">
        <f>R$13</f>
        <v>Let Microsoft 365 Group owners add people outside your organization to the group as guests.</v>
      </c>
      <c r="S21" s="719" t="str">
        <f>IF('Groups &amp; Sites'!K32=TRUE,"Yes","No")</f>
        <v>No</v>
      </c>
      <c r="T21" s="723" t="str">
        <f>T$13</f>
        <v>Use Microsoft Entra Conditional Access to protect labeled SharePoint sites</v>
      </c>
      <c r="U21" s="724" t="str">
        <f>IF(OR('Groups &amp; Sites'!S34=TRUE,'Groups &amp; Sites'!S35=TRUE,'Groups &amp; Sites'!S36=TRUE),"Yes","No")</f>
        <v>No</v>
      </c>
      <c r="V21" s="725" t="str">
        <f>V$13</f>
        <v>Teams shared channels</v>
      </c>
    </row>
    <row r="22" spans="1:22" ht="15" thickBot="1" x14ac:dyDescent="0.4">
      <c r="A22" s="733"/>
      <c r="B22" s="744"/>
      <c r="C22" s="746"/>
      <c r="D22" s="739"/>
      <c r="E22" s="350" t="b">
        <f>'Sensitivity Labels'!F33</f>
        <v>0</v>
      </c>
      <c r="F22" s="351" t="str">
        <f>'Sensitivity Labels'!G33</f>
        <v>Groups &amp; Sites</v>
      </c>
      <c r="G22" s="764"/>
      <c r="H22" s="744"/>
      <c r="I22" s="765"/>
      <c r="J22" s="694"/>
      <c r="K22" s="352"/>
      <c r="L22" s="352"/>
      <c r="M22" s="352"/>
      <c r="N22" s="352"/>
      <c r="O22" s="700"/>
      <c r="P22" s="692"/>
      <c r="Q22" s="715"/>
      <c r="R22" s="723"/>
      <c r="S22" s="719"/>
      <c r="T22" s="723"/>
      <c r="U22" s="719"/>
      <c r="V22" s="726"/>
    </row>
    <row r="23" spans="1:22" ht="14.5" customHeight="1" x14ac:dyDescent="0.35">
      <c r="A23" s="734">
        <f>A19+1</f>
        <v>4</v>
      </c>
      <c r="B23" s="740">
        <f>'Sensitivity Labels'!C35</f>
        <v>0</v>
      </c>
      <c r="C23" s="747">
        <f>'Sensitivity Labels'!D35</f>
        <v>0</v>
      </c>
      <c r="D23" s="541">
        <f>'Sensitivity Labels'!E35</f>
        <v>0</v>
      </c>
      <c r="E23" s="60" t="b">
        <f>'Sensitivity Labels'!F35</f>
        <v>0</v>
      </c>
      <c r="F23" s="62" t="str">
        <f>'Sensitivity Labels'!G35</f>
        <v>Files &amp; Other Data assets</v>
      </c>
      <c r="G23" s="766">
        <f>'Sensitivity Labels'!I35</f>
        <v>0</v>
      </c>
      <c r="H23" s="740">
        <f>'Sensitivity Labels'!J35</f>
        <v>0</v>
      </c>
      <c r="I23" s="769">
        <f>'Sensitivity Labels'!K35</f>
        <v>0</v>
      </c>
      <c r="J23" s="311" t="str">
        <f>IF(OR(M23=TRUE,M24=TRUE),"Encryption",(IF(K23=TRUE,"Remove Encryption","No Encryption")))</f>
        <v>No Encryption</v>
      </c>
      <c r="K23" s="306" t="b">
        <f>'Emails, Files, &amp; Other Data'!H48</f>
        <v>0</v>
      </c>
      <c r="L23" s="307" t="str">
        <f>L19</f>
        <v>Remove access control settings if already applied to items</v>
      </c>
      <c r="M23" s="306" t="b">
        <f>'Emails, Files, &amp; Other Data'!J48</f>
        <v>0</v>
      </c>
      <c r="N23" s="307" t="str">
        <f>N19</f>
        <v>Assign Permissions now</v>
      </c>
      <c r="O23" s="312" t="str">
        <f>O$11</f>
        <v>Access Control</v>
      </c>
      <c r="P23" s="688" t="str">
        <f>IF(E25=TRUE,"Yes","No")</f>
        <v>No</v>
      </c>
      <c r="Q23" s="701" t="str">
        <f>IF(OR('Groups &amp; Sites'!H40=INputs!AN$3,'Groups &amp; Sites'!H40=INputs!AN$4),"Yes","No")</f>
        <v>No</v>
      </c>
      <c r="R23" s="703" t="str">
        <f>R$11</f>
        <v>Privacy and external user access</v>
      </c>
      <c r="S23" s="705" t="str">
        <f>IF('Groups &amp; Sites'!K40=TRUE,"Yes","No")</f>
        <v>No</v>
      </c>
      <c r="T23" s="703" t="str">
        <f>T$11</f>
        <v>Content can be shared with</v>
      </c>
      <c r="U23" s="705" t="str">
        <f>IF('Groups &amp; Sites'!S41=TRUE,"Yes","No")</f>
        <v>No</v>
      </c>
      <c r="V23" s="727" t="str">
        <f>V$11</f>
        <v>Allow users to discover private teams that have this label applied.</v>
      </c>
    </row>
    <row r="24" spans="1:22" ht="14.5" x14ac:dyDescent="0.35">
      <c r="A24" s="735"/>
      <c r="B24" s="741"/>
      <c r="C24" s="748"/>
      <c r="D24" s="542"/>
      <c r="E24" s="64" t="b">
        <f>'Sensitivity Labels'!F37</f>
        <v>0</v>
      </c>
      <c r="F24" t="str">
        <f>'Sensitivity Labels'!G37</f>
        <v>Emails</v>
      </c>
      <c r="G24" s="767"/>
      <c r="H24" s="741"/>
      <c r="I24" s="770"/>
      <c r="J24" s="313" t="str">
        <f>IF(OR('Emails, Files, &amp; Other Data'!X48=TRUE,'Emails, Files, &amp; Other Data'!X49=TRUE,'Emails, Files, &amp; Other Data'!X50=TRUE),"Yes","No")</f>
        <v>No</v>
      </c>
      <c r="K24" s="308"/>
      <c r="L24" s="308"/>
      <c r="M24" s="309" t="b">
        <f>'Emails, Files, &amp; Other Data'!J49</f>
        <v>0</v>
      </c>
      <c r="N24" s="308" t="str">
        <f>N20</f>
        <v>Let users assign permissions when they apply the label</v>
      </c>
      <c r="O24" s="314" t="str">
        <f>O$12</f>
        <v>Content Marking</v>
      </c>
      <c r="P24" s="689"/>
      <c r="Q24" s="702"/>
      <c r="R24" s="704"/>
      <c r="S24" s="706"/>
      <c r="T24" s="704"/>
      <c r="U24" s="706"/>
      <c r="V24" s="728"/>
    </row>
    <row r="25" spans="1:22" ht="14.5" customHeight="1" x14ac:dyDescent="0.35">
      <c r="A25" s="735"/>
      <c r="B25" s="741"/>
      <c r="C25" s="748"/>
      <c r="D25" s="542"/>
      <c r="E25" s="64" t="b">
        <f>'Sensitivity Labels'!F39</f>
        <v>0</v>
      </c>
      <c r="F25" t="str">
        <f>'Sensitivity Labels'!G39</f>
        <v>Meetings</v>
      </c>
      <c r="G25" s="767"/>
      <c r="H25" s="741"/>
      <c r="I25" s="770"/>
      <c r="J25" s="686" t="str">
        <f>IF('Emails, Files, &amp; Other Data'!AB48=TRUE,"Yes","No")</f>
        <v>No</v>
      </c>
      <c r="K25" s="308"/>
      <c r="L25" s="308"/>
      <c r="M25" s="308"/>
      <c r="N25" s="308"/>
      <c r="O25" s="697" t="str">
        <f>O$13</f>
        <v>Auto-labeling for files and emails: "Client-side Auto-Labeling"</v>
      </c>
      <c r="P25" s="689"/>
      <c r="Q25" s="707" t="str">
        <f>IF('Groups &amp; Sites'!H42=TRUE,"Yes","No")</f>
        <v>No</v>
      </c>
      <c r="R25" s="709" t="str">
        <f>R$13</f>
        <v>Let Microsoft 365 Group owners add people outside your organization to the group as guests.</v>
      </c>
      <c r="S25" s="711" t="str">
        <f>IF('Groups &amp; Sites'!K41=TRUE,"Yes","No")</f>
        <v>No</v>
      </c>
      <c r="T25" s="713" t="str">
        <f>T$13</f>
        <v>Use Microsoft Entra Conditional Access to protect labeled SharePoint sites</v>
      </c>
      <c r="U25" s="714" t="str">
        <f>IF(OR('Groups &amp; Sites'!S43=TRUE,'Groups &amp; Sites'!S44=TRUE,'Groups &amp; Sites'!S45=TRUE),"Yes","No")</f>
        <v>No</v>
      </c>
      <c r="V25" s="695" t="str">
        <f>V$13</f>
        <v>Teams shared channels</v>
      </c>
    </row>
    <row r="26" spans="1:22" ht="15" thickBot="1" x14ac:dyDescent="0.4">
      <c r="A26" s="736"/>
      <c r="B26" s="742"/>
      <c r="C26" s="749"/>
      <c r="D26" s="543"/>
      <c r="E26" s="69" t="b">
        <f>'Sensitivity Labels'!F41</f>
        <v>0</v>
      </c>
      <c r="F26" s="67" t="str">
        <f>'Sensitivity Labels'!G41</f>
        <v>Groups &amp; Sites</v>
      </c>
      <c r="G26" s="768"/>
      <c r="H26" s="742"/>
      <c r="I26" s="771"/>
      <c r="J26" s="687"/>
      <c r="K26" s="310"/>
      <c r="L26" s="310"/>
      <c r="M26" s="310"/>
      <c r="N26" s="310"/>
      <c r="O26" s="698"/>
      <c r="P26" s="690"/>
      <c r="Q26" s="708"/>
      <c r="R26" s="710"/>
      <c r="S26" s="712"/>
      <c r="T26" s="710"/>
      <c r="U26" s="712"/>
      <c r="V26" s="696"/>
    </row>
    <row r="27" spans="1:22" ht="14.5" customHeight="1" x14ac:dyDescent="0.35">
      <c r="A27" s="731">
        <f>A23+1</f>
        <v>5</v>
      </c>
      <c r="B27" s="743">
        <f>'Sensitivity Labels'!C43</f>
        <v>0</v>
      </c>
      <c r="C27" s="745">
        <f>'Sensitivity Labels'!D43</f>
        <v>0</v>
      </c>
      <c r="D27" s="737">
        <f>'Sensitivity Labels'!E43</f>
        <v>0</v>
      </c>
      <c r="E27" s="340" t="b">
        <f>'Sensitivity Labels'!F43</f>
        <v>0</v>
      </c>
      <c r="F27" s="341" t="str">
        <f>'Sensitivity Labels'!G43</f>
        <v>Files &amp; Other Data assets</v>
      </c>
      <c r="G27" s="763">
        <f>'Sensitivity Labels'!I43</f>
        <v>0</v>
      </c>
      <c r="H27" s="743">
        <f>'Sensitivity Labels'!J43</f>
        <v>0</v>
      </c>
      <c r="I27" s="719">
        <f>'Sensitivity Labels'!K43</f>
        <v>0</v>
      </c>
      <c r="J27" s="342" t="str">
        <f>IF(OR(M27=TRUE,M28=TRUE),"Encryption",(IF(K27=TRUE,"Remove Encryption","No Encryption")))</f>
        <v>No Encryption</v>
      </c>
      <c r="K27" s="343" t="b">
        <f>'Emails, Files, &amp; Other Data'!H60</f>
        <v>0</v>
      </c>
      <c r="L27" s="344" t="str">
        <f>L23</f>
        <v>Remove access control settings if already applied to items</v>
      </c>
      <c r="M27" s="343" t="b">
        <f>'Emails, Files, &amp; Other Data'!J60</f>
        <v>0</v>
      </c>
      <c r="N27" s="344" t="str">
        <f>N23</f>
        <v>Assign Permissions now</v>
      </c>
      <c r="O27" s="345" t="str">
        <f>O$11</f>
        <v>Access Control</v>
      </c>
      <c r="P27" s="691" t="str">
        <f>IF(E29=TRUE,"Yes","No")</f>
        <v>No</v>
      </c>
      <c r="Q27" s="715" t="str">
        <f>IF(OR('Groups &amp; Sites'!H49=INputs!AN$3,'Groups &amp; Sites'!H49=INputs!AN$4),"Yes","No")</f>
        <v>No</v>
      </c>
      <c r="R27" s="717" t="str">
        <f>R$11</f>
        <v>Privacy and external user access</v>
      </c>
      <c r="S27" s="719" t="str">
        <f>IF('Groups &amp; Sites'!K49=TRUE,"Yes","No")</f>
        <v>No</v>
      </c>
      <c r="T27" s="717" t="str">
        <f>T$11</f>
        <v>Content can be shared with</v>
      </c>
      <c r="U27" s="719" t="str">
        <f>IF('Groups &amp; Sites'!S50=TRUE,"Yes","No")</f>
        <v>No</v>
      </c>
      <c r="V27" s="729" t="str">
        <f>V$11</f>
        <v>Allow users to discover private teams that have this label applied.</v>
      </c>
    </row>
    <row r="28" spans="1:22" ht="14.5" x14ac:dyDescent="0.35">
      <c r="A28" s="732"/>
      <c r="B28" s="743"/>
      <c r="C28" s="745"/>
      <c r="D28" s="738"/>
      <c r="E28" s="340" t="b">
        <f>'Sensitivity Labels'!F45</f>
        <v>0</v>
      </c>
      <c r="F28" s="341" t="str">
        <f>'Sensitivity Labels'!G45</f>
        <v>Emails</v>
      </c>
      <c r="G28" s="763"/>
      <c r="H28" s="743"/>
      <c r="I28" s="719"/>
      <c r="J28" s="346" t="str">
        <f>IF(OR('Emails, Files, &amp; Other Data'!X60=TRUE,'Emails, Files, &amp; Other Data'!X61=TRUE,'Emails, Files, &amp; Other Data'!X62=TRUE),"Yes","No")</f>
        <v>No</v>
      </c>
      <c r="K28" s="347"/>
      <c r="L28" s="347"/>
      <c r="M28" s="348" t="b">
        <f>'Emails, Files, &amp; Other Data'!J61</f>
        <v>0</v>
      </c>
      <c r="N28" s="347" t="str">
        <f>N24</f>
        <v>Let users assign permissions when they apply the label</v>
      </c>
      <c r="O28" s="349" t="str">
        <f>O$12</f>
        <v>Content Marking</v>
      </c>
      <c r="P28" s="691"/>
      <c r="Q28" s="716"/>
      <c r="R28" s="718"/>
      <c r="S28" s="720" t="str">
        <f>IF('Groups &amp; Sites'!K50=TRUE,"Yes","No")</f>
        <v>No</v>
      </c>
      <c r="T28" s="718" t="str">
        <f>T$13</f>
        <v>Use Microsoft Entra Conditional Access to protect labeled SharePoint sites</v>
      </c>
      <c r="U28" s="720"/>
      <c r="V28" s="730"/>
    </row>
    <row r="29" spans="1:22" ht="14.5" customHeight="1" x14ac:dyDescent="0.35">
      <c r="A29" s="732"/>
      <c r="B29" s="743"/>
      <c r="C29" s="745"/>
      <c r="D29" s="738"/>
      <c r="E29" s="340" t="b">
        <f>'Sensitivity Labels'!F47</f>
        <v>0</v>
      </c>
      <c r="F29" s="341" t="str">
        <f>'Sensitivity Labels'!G47</f>
        <v>Meetings</v>
      </c>
      <c r="G29" s="763"/>
      <c r="H29" s="743"/>
      <c r="I29" s="719"/>
      <c r="J29" s="693" t="str">
        <f>IF('Emails, Files, &amp; Other Data'!AB60=TRUE,"Yes","No")</f>
        <v>No</v>
      </c>
      <c r="K29" s="347"/>
      <c r="L29" s="347"/>
      <c r="M29" s="347"/>
      <c r="N29" s="347"/>
      <c r="O29" s="699" t="str">
        <f>O$13</f>
        <v>Auto-labeling for files and emails: "Client-side Auto-Labeling"</v>
      </c>
      <c r="P29" s="691"/>
      <c r="Q29" s="721" t="str">
        <f>IF('Groups &amp; Sites'!H51=TRUE,"Yes","No")</f>
        <v>No</v>
      </c>
      <c r="R29" s="722" t="str">
        <f>R$13</f>
        <v>Let Microsoft 365 Group owners add people outside your organization to the group as guests.</v>
      </c>
      <c r="S29" s="719" t="str">
        <f>IF('Groups &amp; Sites'!K51=TRUE,"Yes","No")</f>
        <v>No</v>
      </c>
      <c r="T29" s="723" t="str">
        <f>T$13</f>
        <v>Use Microsoft Entra Conditional Access to protect labeled SharePoint sites</v>
      </c>
      <c r="U29" s="724" t="str">
        <f>IF(OR('Groups &amp; Sites'!S52=TRUE,'Groups &amp; Sites'!S53=TRUE,'Groups &amp; Sites'!S54=TRUE),"Yes","No")</f>
        <v>No</v>
      </c>
      <c r="V29" s="725" t="str">
        <f>V$13</f>
        <v>Teams shared channels</v>
      </c>
    </row>
    <row r="30" spans="1:22" ht="15" thickBot="1" x14ac:dyDescent="0.4">
      <c r="A30" s="733"/>
      <c r="B30" s="744"/>
      <c r="C30" s="746"/>
      <c r="D30" s="739"/>
      <c r="E30" s="350" t="b">
        <f>'Sensitivity Labels'!F49</f>
        <v>0</v>
      </c>
      <c r="F30" s="351" t="str">
        <f>'Sensitivity Labels'!G49</f>
        <v>Groups &amp; Sites</v>
      </c>
      <c r="G30" s="764"/>
      <c r="H30" s="744"/>
      <c r="I30" s="765"/>
      <c r="J30" s="694"/>
      <c r="K30" s="352"/>
      <c r="L30" s="352"/>
      <c r="M30" s="352"/>
      <c r="N30" s="352"/>
      <c r="O30" s="700"/>
      <c r="P30" s="692"/>
      <c r="Q30" s="715"/>
      <c r="R30" s="723"/>
      <c r="S30" s="719" t="str">
        <f>IF('Groups &amp; Sites'!K52=TRUE,"Yes","No")</f>
        <v>No</v>
      </c>
      <c r="T30" s="723"/>
      <c r="U30" s="719"/>
      <c r="V30" s="726"/>
    </row>
    <row r="31" spans="1:22" ht="14.5" customHeight="1" x14ac:dyDescent="0.35">
      <c r="A31" s="734">
        <f>A27+1</f>
        <v>6</v>
      </c>
      <c r="B31" s="740">
        <f>'Sensitivity Labels'!C51</f>
        <v>0</v>
      </c>
      <c r="C31" s="747"/>
      <c r="D31" s="541">
        <f>'Sensitivity Labels'!E51</f>
        <v>0</v>
      </c>
      <c r="E31" s="60" t="b">
        <f>'Sensitivity Labels'!F51</f>
        <v>0</v>
      </c>
      <c r="F31" s="62" t="str">
        <f>'Sensitivity Labels'!G51</f>
        <v>Files &amp; Other Data assets</v>
      </c>
      <c r="G31" s="766">
        <f>'Sensitivity Labels'!I51</f>
        <v>0</v>
      </c>
      <c r="H31" s="740">
        <f>'Sensitivity Labels'!J51</f>
        <v>0</v>
      </c>
      <c r="I31" s="769">
        <f>'Sensitivity Labels'!K51</f>
        <v>0</v>
      </c>
      <c r="J31" s="311" t="str">
        <f>IF(OR(M31=TRUE,M32=TRUE),"Encryption",(IF(K31=TRUE,"Remove Encryption","No Encryption")))</f>
        <v>No Encryption</v>
      </c>
      <c r="K31" s="306" t="b">
        <f>'Emails, Files, &amp; Other Data'!H72</f>
        <v>0</v>
      </c>
      <c r="L31" s="307" t="str">
        <f>L27</f>
        <v>Remove access control settings if already applied to items</v>
      </c>
      <c r="M31" s="306" t="b">
        <f>'Emails, Files, &amp; Other Data'!J72</f>
        <v>0</v>
      </c>
      <c r="N31" s="307" t="str">
        <f>N27</f>
        <v>Assign Permissions now</v>
      </c>
      <c r="O31" s="312" t="str">
        <f>O$11</f>
        <v>Access Control</v>
      </c>
      <c r="P31" s="688" t="str">
        <f>IF(E33=TRUE,"Yes","No")</f>
        <v>No</v>
      </c>
      <c r="Q31" s="701" t="str">
        <f>IF(OR('Groups &amp; Sites'!H58=INputs!AN$3,'Groups &amp; Sites'!H58=INputs!AN$4),"Yes","No")</f>
        <v>No</v>
      </c>
      <c r="R31" s="703" t="str">
        <f>R$11</f>
        <v>Privacy and external user access</v>
      </c>
      <c r="S31" s="705" t="str">
        <f>IF('Groups &amp; Sites'!K58=TRUE,"Yes","No")</f>
        <v>No</v>
      </c>
      <c r="T31" s="703" t="str">
        <f>T$11</f>
        <v>Content can be shared with</v>
      </c>
      <c r="U31" s="705" t="str">
        <f>IF('Groups &amp; Sites'!S59=TRUE,"Yes","No")</f>
        <v>No</v>
      </c>
      <c r="V31" s="727" t="str">
        <f>V$11</f>
        <v>Allow users to discover private teams that have this label applied.</v>
      </c>
    </row>
    <row r="32" spans="1:22" ht="14.5" x14ac:dyDescent="0.35">
      <c r="A32" s="735"/>
      <c r="B32" s="741">
        <f>'Sensitivity Labels'!C53</f>
        <v>0</v>
      </c>
      <c r="C32" s="748">
        <f>'Sensitivity Labels'!D53</f>
        <v>0</v>
      </c>
      <c r="D32" s="542">
        <f>'Sensitivity Labels'!E53</f>
        <v>0</v>
      </c>
      <c r="E32" s="64" t="b">
        <f>'Sensitivity Labels'!F53</f>
        <v>0</v>
      </c>
      <c r="F32" t="str">
        <f>'Sensitivity Labels'!G53</f>
        <v>Emails</v>
      </c>
      <c r="G32" s="767"/>
      <c r="H32" s="741"/>
      <c r="I32" s="770"/>
      <c r="J32" s="313" t="str">
        <f>IF(OR('Emails, Files, &amp; Other Data'!X72=TRUE,'Emails, Files, &amp; Other Data'!X73=TRUE,'Emails, Files, &amp; Other Data'!X74=TRUE),"Yes","No")</f>
        <v>No</v>
      </c>
      <c r="K32" s="308"/>
      <c r="L32" s="308"/>
      <c r="M32" s="309" t="b">
        <f>'Emails, Files, &amp; Other Data'!J73</f>
        <v>0</v>
      </c>
      <c r="N32" s="308" t="str">
        <f>N28</f>
        <v>Let users assign permissions when they apply the label</v>
      </c>
      <c r="O32" s="314" t="str">
        <f>O$12</f>
        <v>Content Marking</v>
      </c>
      <c r="P32" s="689"/>
      <c r="Q32" s="702"/>
      <c r="R32" s="704"/>
      <c r="S32" s="706"/>
      <c r="T32" s="704"/>
      <c r="U32" s="706"/>
      <c r="V32" s="728"/>
    </row>
    <row r="33" spans="1:22" ht="14.5" customHeight="1" x14ac:dyDescent="0.35">
      <c r="A33" s="735"/>
      <c r="B33" s="741"/>
      <c r="C33" s="748"/>
      <c r="D33" s="542"/>
      <c r="E33" s="64" t="b">
        <f>'Sensitivity Labels'!F55</f>
        <v>0</v>
      </c>
      <c r="F33" t="str">
        <f>'Sensitivity Labels'!G55</f>
        <v>Meetings</v>
      </c>
      <c r="G33" s="767"/>
      <c r="H33" s="741"/>
      <c r="I33" s="770"/>
      <c r="J33" s="686" t="str">
        <f>IF('Emails, Files, &amp; Other Data'!AB72=TRUE,"Yes","No")</f>
        <v>No</v>
      </c>
      <c r="K33" s="308"/>
      <c r="L33" s="308"/>
      <c r="M33" s="308"/>
      <c r="N33" s="308"/>
      <c r="O33" s="697" t="str">
        <f>O$13</f>
        <v>Auto-labeling for files and emails: "Client-side Auto-Labeling"</v>
      </c>
      <c r="P33" s="689"/>
      <c r="Q33" s="707" t="str">
        <f>IF('Groups &amp; Sites'!H60=TRUE,"Yes","No")</f>
        <v>No</v>
      </c>
      <c r="R33" s="709" t="str">
        <f>R$13</f>
        <v>Let Microsoft 365 Group owners add people outside your organization to the group as guests.</v>
      </c>
      <c r="S33" s="711" t="str">
        <f>IF('Groups &amp; Sites'!K59=TRUE,"Yes","No")</f>
        <v>No</v>
      </c>
      <c r="T33" s="713" t="str">
        <f>T$13</f>
        <v>Use Microsoft Entra Conditional Access to protect labeled SharePoint sites</v>
      </c>
      <c r="U33" s="714" t="str">
        <f>IF(OR('Groups &amp; Sites'!S61=TRUE,'Groups &amp; Sites'!S62=TRUE,'Groups &amp; Sites'!S63=TRUE),"Yes","No")</f>
        <v>No</v>
      </c>
      <c r="V33" s="695" t="str">
        <f>V$13</f>
        <v>Teams shared channels</v>
      </c>
    </row>
    <row r="34" spans="1:22" ht="15" thickBot="1" x14ac:dyDescent="0.4">
      <c r="A34" s="736"/>
      <c r="B34" s="742"/>
      <c r="C34" s="749"/>
      <c r="D34" s="543"/>
      <c r="E34" s="69" t="b">
        <f>'Sensitivity Labels'!F57</f>
        <v>0</v>
      </c>
      <c r="F34" s="67" t="str">
        <f>'Sensitivity Labels'!G57</f>
        <v>Groups &amp; Sites</v>
      </c>
      <c r="G34" s="768"/>
      <c r="H34" s="742"/>
      <c r="I34" s="771"/>
      <c r="J34" s="687"/>
      <c r="K34" s="310"/>
      <c r="L34" s="310"/>
      <c r="M34" s="310"/>
      <c r="N34" s="310"/>
      <c r="O34" s="698"/>
      <c r="P34" s="690"/>
      <c r="Q34" s="708"/>
      <c r="R34" s="710"/>
      <c r="S34" s="712"/>
      <c r="T34" s="710"/>
      <c r="U34" s="712"/>
      <c r="V34" s="696"/>
    </row>
    <row r="35" spans="1:22" ht="14.5" customHeight="1" x14ac:dyDescent="0.35">
      <c r="A35" s="731">
        <f>A31+1</f>
        <v>7</v>
      </c>
      <c r="B35" s="743">
        <f>'Sensitivity Labels'!C59</f>
        <v>0</v>
      </c>
      <c r="C35" s="745">
        <f>'Sensitivity Labels'!D59</f>
        <v>0</v>
      </c>
      <c r="D35" s="737">
        <f>'Sensitivity Labels'!E59</f>
        <v>0</v>
      </c>
      <c r="E35" s="340" t="b">
        <f>'Sensitivity Labels'!F59</f>
        <v>0</v>
      </c>
      <c r="F35" s="341" t="str">
        <f>'Sensitivity Labels'!G59</f>
        <v>Files &amp; Other Data assets</v>
      </c>
      <c r="G35" s="763">
        <f>'Sensitivity Labels'!I59</f>
        <v>0</v>
      </c>
      <c r="H35" s="743">
        <f>'Sensitivity Labels'!J59</f>
        <v>0</v>
      </c>
      <c r="I35" s="719">
        <f>'Sensitivity Labels'!K59</f>
        <v>0</v>
      </c>
      <c r="J35" s="342" t="str">
        <f>IF(OR(M35=TRUE,M36=TRUE),"Encryption",(IF(K35=TRUE,"Remove Encryption","No Encryption")))</f>
        <v>No Encryption</v>
      </c>
      <c r="K35" s="343" t="b">
        <f>'Emails, Files, &amp; Other Data'!H84</f>
        <v>0</v>
      </c>
      <c r="L35" s="344" t="str">
        <f>L31</f>
        <v>Remove access control settings if already applied to items</v>
      </c>
      <c r="M35" s="343" t="b">
        <f>'Emails, Files, &amp; Other Data'!J84</f>
        <v>0</v>
      </c>
      <c r="N35" s="344" t="str">
        <f>N31</f>
        <v>Assign Permissions now</v>
      </c>
      <c r="O35" s="345" t="str">
        <f>O$11</f>
        <v>Access Control</v>
      </c>
      <c r="P35" s="691" t="str">
        <f>IF(E37=TRUE,"Yes","No")</f>
        <v>No</v>
      </c>
      <c r="Q35" s="715" t="str">
        <f>IF(OR('Groups &amp; Sites'!H67=INputs!AN$3,'Groups &amp; Sites'!H67=INputs!AN$4),"Yes","No")</f>
        <v>No</v>
      </c>
      <c r="R35" s="717" t="str">
        <f>R$11</f>
        <v>Privacy and external user access</v>
      </c>
      <c r="S35" s="719" t="str">
        <f>IF('Groups &amp; Sites'!K67=TRUE,"Yes","No")</f>
        <v>No</v>
      </c>
      <c r="T35" s="717" t="str">
        <f>T$11</f>
        <v>Content can be shared with</v>
      </c>
      <c r="U35" s="719" t="str">
        <f>IF('Groups &amp; Sites'!S68=TRUE,"Yes","No")</f>
        <v>No</v>
      </c>
      <c r="V35" s="729" t="str">
        <f>V$11</f>
        <v>Allow users to discover private teams that have this label applied.</v>
      </c>
    </row>
    <row r="36" spans="1:22" ht="14.5" x14ac:dyDescent="0.35">
      <c r="A36" s="732"/>
      <c r="B36" s="743"/>
      <c r="C36" s="745"/>
      <c r="D36" s="738"/>
      <c r="E36" s="340" t="b">
        <f>'Sensitivity Labels'!F61</f>
        <v>0</v>
      </c>
      <c r="F36" s="341" t="str">
        <f>'Sensitivity Labels'!G61</f>
        <v>Emails</v>
      </c>
      <c r="G36" s="763"/>
      <c r="H36" s="743"/>
      <c r="I36" s="719"/>
      <c r="J36" s="346" t="str">
        <f>IF(OR('Emails, Files, &amp; Other Data'!X84=TRUE,'Emails, Files, &amp; Other Data'!X85=TRUE,'Emails, Files, &amp; Other Data'!X86=TRUE),"Yes","No")</f>
        <v>No</v>
      </c>
      <c r="K36" s="347"/>
      <c r="L36" s="347"/>
      <c r="M36" s="348" t="b">
        <f>'Emails, Files, &amp; Other Data'!J85</f>
        <v>0</v>
      </c>
      <c r="N36" s="347" t="str">
        <f>N32</f>
        <v>Let users assign permissions when they apply the label</v>
      </c>
      <c r="O36" s="349" t="str">
        <f>O$12</f>
        <v>Content Marking</v>
      </c>
      <c r="P36" s="691"/>
      <c r="Q36" s="716"/>
      <c r="R36" s="718"/>
      <c r="S36" s="720"/>
      <c r="T36" s="718"/>
      <c r="U36" s="720"/>
      <c r="V36" s="730"/>
    </row>
    <row r="37" spans="1:22" ht="14.5" customHeight="1" x14ac:dyDescent="0.35">
      <c r="A37" s="732"/>
      <c r="B37" s="743"/>
      <c r="C37" s="745"/>
      <c r="D37" s="738"/>
      <c r="E37" s="340" t="b">
        <f>'Sensitivity Labels'!F63</f>
        <v>0</v>
      </c>
      <c r="F37" s="341" t="str">
        <f>'Sensitivity Labels'!G63</f>
        <v>Meetings</v>
      </c>
      <c r="G37" s="763"/>
      <c r="H37" s="743"/>
      <c r="I37" s="719"/>
      <c r="J37" s="693" t="str">
        <f>IF('Emails, Files, &amp; Other Data'!AB84=TRUE,"Yes","No")</f>
        <v>No</v>
      </c>
      <c r="K37" s="347"/>
      <c r="L37" s="347"/>
      <c r="M37" s="347"/>
      <c r="N37" s="347"/>
      <c r="O37" s="699" t="str">
        <f>O$13</f>
        <v>Auto-labeling for files and emails: "Client-side Auto-Labeling"</v>
      </c>
      <c r="P37" s="691"/>
      <c r="Q37" s="721" t="str">
        <f>IF('Groups &amp; Sites'!H69=TRUE,"Yes","No")</f>
        <v>No</v>
      </c>
      <c r="R37" s="722" t="str">
        <f>R$13</f>
        <v>Let Microsoft 365 Group owners add people outside your organization to the group as guests.</v>
      </c>
      <c r="S37" s="719" t="str">
        <f>IF('Groups &amp; Sites'!K68=TRUE,"Yes","No")</f>
        <v>No</v>
      </c>
      <c r="T37" s="723" t="str">
        <f>T$13</f>
        <v>Use Microsoft Entra Conditional Access to protect labeled SharePoint sites</v>
      </c>
      <c r="U37" s="724" t="str">
        <f>IF(OR('Groups &amp; Sites'!S70=TRUE,'Groups &amp; Sites'!S71=TRUE,'Groups &amp; Sites'!S72=TRUE),"Yes","No")</f>
        <v>No</v>
      </c>
      <c r="V37" s="725" t="str">
        <f>V$13</f>
        <v>Teams shared channels</v>
      </c>
    </row>
    <row r="38" spans="1:22" ht="15" thickBot="1" x14ac:dyDescent="0.4">
      <c r="A38" s="733"/>
      <c r="B38" s="744"/>
      <c r="C38" s="746"/>
      <c r="D38" s="739"/>
      <c r="E38" s="350" t="b">
        <f>'Sensitivity Labels'!F65</f>
        <v>0</v>
      </c>
      <c r="F38" s="351" t="str">
        <f>'Sensitivity Labels'!G65</f>
        <v>Groups &amp; Sites</v>
      </c>
      <c r="G38" s="764"/>
      <c r="H38" s="744"/>
      <c r="I38" s="765"/>
      <c r="J38" s="694"/>
      <c r="K38" s="352"/>
      <c r="L38" s="352"/>
      <c r="M38" s="352"/>
      <c r="N38" s="352"/>
      <c r="O38" s="700"/>
      <c r="P38" s="692"/>
      <c r="Q38" s="715"/>
      <c r="R38" s="723"/>
      <c r="S38" s="719"/>
      <c r="T38" s="723"/>
      <c r="U38" s="719"/>
      <c r="V38" s="726"/>
    </row>
    <row r="39" spans="1:22" ht="14.5" customHeight="1" x14ac:dyDescent="0.35">
      <c r="A39" s="734">
        <f>A35+1</f>
        <v>8</v>
      </c>
      <c r="B39" s="740">
        <f>'Sensitivity Labels'!C67</f>
        <v>0</v>
      </c>
      <c r="C39" s="747">
        <f>'Sensitivity Labels'!D67</f>
        <v>0</v>
      </c>
      <c r="D39" s="541">
        <f>'Sensitivity Labels'!E67</f>
        <v>0</v>
      </c>
      <c r="E39" s="60" t="b">
        <f>'Sensitivity Labels'!F67</f>
        <v>0</v>
      </c>
      <c r="F39" s="62" t="str">
        <f>'Sensitivity Labels'!G67</f>
        <v>Files &amp; Other Data assets</v>
      </c>
      <c r="G39" s="766">
        <f>'Sensitivity Labels'!I67</f>
        <v>0</v>
      </c>
      <c r="H39" s="740">
        <f>'Sensitivity Labels'!J67</f>
        <v>0</v>
      </c>
      <c r="I39" s="769">
        <f>'Sensitivity Labels'!K67</f>
        <v>0</v>
      </c>
      <c r="J39" s="311" t="str">
        <f>IF(OR(M39=TRUE,M40=TRUE),"Encryption",(IF(K39=TRUE,"Remove Encryption","No Encryption")))</f>
        <v>No Encryption</v>
      </c>
      <c r="K39" s="306" t="b">
        <f>'Emails, Files, &amp; Other Data'!H96</f>
        <v>0</v>
      </c>
      <c r="L39" s="307" t="str">
        <f>L35</f>
        <v>Remove access control settings if already applied to items</v>
      </c>
      <c r="M39" s="306" t="b">
        <f>'Emails, Files, &amp; Other Data'!J96</f>
        <v>0</v>
      </c>
      <c r="N39" s="307" t="str">
        <f>N35</f>
        <v>Assign Permissions now</v>
      </c>
      <c r="O39" s="312" t="str">
        <f>O$11</f>
        <v>Access Control</v>
      </c>
      <c r="P39" s="688" t="str">
        <f>IF(E41=TRUE,"Yes","No")</f>
        <v>No</v>
      </c>
      <c r="Q39" s="701" t="str">
        <f>IF(OR('Groups &amp; Sites'!H76=INputs!AN$3,'Groups &amp; Sites'!H76=INputs!AN$4),"Yes","No")</f>
        <v>No</v>
      </c>
      <c r="R39" s="703" t="str">
        <f>R$11</f>
        <v>Privacy and external user access</v>
      </c>
      <c r="S39" s="705" t="str">
        <f>IF('Groups &amp; Sites'!K76=TRUE,"Yes","No")</f>
        <v>No</v>
      </c>
      <c r="T39" s="703" t="str">
        <f>T$11</f>
        <v>Content can be shared with</v>
      </c>
      <c r="U39" s="705" t="str">
        <f>IF('Groups &amp; Sites'!S77=TRUE,"Yes","No")</f>
        <v>No</v>
      </c>
      <c r="V39" s="727" t="str">
        <f>V$11</f>
        <v>Allow users to discover private teams that have this label applied.</v>
      </c>
    </row>
    <row r="40" spans="1:22" ht="14.5" x14ac:dyDescent="0.35">
      <c r="A40" s="735"/>
      <c r="B40" s="741"/>
      <c r="C40" s="748"/>
      <c r="D40" s="542"/>
      <c r="E40" s="64" t="b">
        <f>'Sensitivity Labels'!F69</f>
        <v>0</v>
      </c>
      <c r="F40" t="str">
        <f>'Sensitivity Labels'!G69</f>
        <v>Emails</v>
      </c>
      <c r="G40" s="767"/>
      <c r="H40" s="741"/>
      <c r="I40" s="770"/>
      <c r="J40" s="313" t="str">
        <f>IF(OR('Emails, Files, &amp; Other Data'!X96=TRUE,'Emails, Files, &amp; Other Data'!X97=TRUE,'Emails, Files, &amp; Other Data'!X98=TRUE),"Yes","No")</f>
        <v>No</v>
      </c>
      <c r="K40" s="308"/>
      <c r="L40" s="308"/>
      <c r="M40" s="309" t="b">
        <f>'Emails, Files, &amp; Other Data'!J97</f>
        <v>0</v>
      </c>
      <c r="N40" s="308" t="str">
        <f>N36</f>
        <v>Let users assign permissions when they apply the label</v>
      </c>
      <c r="O40" s="314" t="str">
        <f>O$12</f>
        <v>Content Marking</v>
      </c>
      <c r="P40" s="689"/>
      <c r="Q40" s="702"/>
      <c r="R40" s="704"/>
      <c r="S40" s="706"/>
      <c r="T40" s="704"/>
      <c r="U40" s="706"/>
      <c r="V40" s="728"/>
    </row>
    <row r="41" spans="1:22" ht="14.5" customHeight="1" x14ac:dyDescent="0.35">
      <c r="A41" s="735"/>
      <c r="B41" s="741"/>
      <c r="C41" s="748"/>
      <c r="D41" s="542"/>
      <c r="E41" s="64" t="b">
        <f>'Sensitivity Labels'!F71</f>
        <v>0</v>
      </c>
      <c r="F41" t="str">
        <f>'Sensitivity Labels'!G71</f>
        <v>Meetings</v>
      </c>
      <c r="G41" s="767"/>
      <c r="H41" s="741"/>
      <c r="I41" s="770"/>
      <c r="J41" s="686" t="str">
        <f>IF('Emails, Files, &amp; Other Data'!AB96=TRUE,"Yes","No")</f>
        <v>No</v>
      </c>
      <c r="K41" s="308"/>
      <c r="L41" s="308"/>
      <c r="M41" s="308"/>
      <c r="N41" s="308"/>
      <c r="O41" s="697" t="str">
        <f>O$13</f>
        <v>Auto-labeling for files and emails: "Client-side Auto-Labeling"</v>
      </c>
      <c r="P41" s="689"/>
      <c r="Q41" s="707" t="str">
        <f>IF('Groups &amp; Sites'!H78=TRUE,"Yes","No")</f>
        <v>No</v>
      </c>
      <c r="R41" s="709" t="str">
        <f>R$13</f>
        <v>Let Microsoft 365 Group owners add people outside your organization to the group as guests.</v>
      </c>
      <c r="S41" s="711" t="str">
        <f>IF('Groups &amp; Sites'!K77=TRUE,"Yes","No")</f>
        <v>No</v>
      </c>
      <c r="T41" s="713" t="str">
        <f>T$13</f>
        <v>Use Microsoft Entra Conditional Access to protect labeled SharePoint sites</v>
      </c>
      <c r="U41" s="714" t="str">
        <f>IF(OR('Groups &amp; Sites'!S79=TRUE,'Groups &amp; Sites'!S80=TRUE,'Groups &amp; Sites'!S81=TRUE),"Yes","No")</f>
        <v>No</v>
      </c>
      <c r="V41" s="695" t="str">
        <f>V$13</f>
        <v>Teams shared channels</v>
      </c>
    </row>
    <row r="42" spans="1:22" ht="15" thickBot="1" x14ac:dyDescent="0.4">
      <c r="A42" s="735"/>
      <c r="B42" s="742"/>
      <c r="C42" s="749"/>
      <c r="D42" s="543"/>
      <c r="E42" s="69" t="b">
        <f>'Sensitivity Labels'!F73</f>
        <v>0</v>
      </c>
      <c r="F42" s="67" t="str">
        <f>'Sensitivity Labels'!G73</f>
        <v>Groups &amp; Sites</v>
      </c>
      <c r="G42" s="768"/>
      <c r="H42" s="742"/>
      <c r="I42" s="771"/>
      <c r="J42" s="687"/>
      <c r="K42" s="310"/>
      <c r="L42" s="310"/>
      <c r="M42" s="310"/>
      <c r="N42" s="310"/>
      <c r="O42" s="698"/>
      <c r="P42" s="690"/>
      <c r="Q42" s="708"/>
      <c r="R42" s="710"/>
      <c r="S42" s="712"/>
      <c r="T42" s="710"/>
      <c r="U42" s="712"/>
      <c r="V42" s="696"/>
    </row>
    <row r="43" spans="1:22" ht="14.5" customHeight="1" x14ac:dyDescent="0.35">
      <c r="A43" s="731">
        <f>A39+1</f>
        <v>9</v>
      </c>
      <c r="B43" s="743">
        <f>'Sensitivity Labels'!C75</f>
        <v>0</v>
      </c>
      <c r="C43" s="745">
        <f>'Sensitivity Labels'!D75</f>
        <v>0</v>
      </c>
      <c r="D43" s="737">
        <f>'Sensitivity Labels'!E75</f>
        <v>0</v>
      </c>
      <c r="E43" s="340" t="b">
        <f>'Sensitivity Labels'!F75</f>
        <v>0</v>
      </c>
      <c r="F43" s="341" t="str">
        <f>'Sensitivity Labels'!G75</f>
        <v>Files &amp; Other Data assets</v>
      </c>
      <c r="G43" s="763">
        <f>'Sensitivity Labels'!I75</f>
        <v>0</v>
      </c>
      <c r="H43" s="743">
        <f>'Sensitivity Labels'!J75</f>
        <v>0</v>
      </c>
      <c r="I43" s="719">
        <f>'Sensitivity Labels'!K75</f>
        <v>0</v>
      </c>
      <c r="J43" s="342" t="str">
        <f>IF(OR(M43=TRUE,M44=TRUE),"Encryption",(IF(K43=TRUE,"Remove Encryption","No Encryption")))</f>
        <v>No Encryption</v>
      </c>
      <c r="K43" s="343" t="b">
        <f>'Emails, Files, &amp; Other Data'!H108</f>
        <v>0</v>
      </c>
      <c r="L43" s="344" t="str">
        <f>L39</f>
        <v>Remove access control settings if already applied to items</v>
      </c>
      <c r="M43" s="343" t="b">
        <f>'Emails, Files, &amp; Other Data'!J108</f>
        <v>0</v>
      </c>
      <c r="N43" s="344" t="str">
        <f>N39</f>
        <v>Assign Permissions now</v>
      </c>
      <c r="O43" s="345" t="str">
        <f>O$11</f>
        <v>Access Control</v>
      </c>
      <c r="P43" s="691" t="str">
        <f>IF(E45=TRUE,"Yes","No")</f>
        <v>No</v>
      </c>
      <c r="Q43" s="715" t="str">
        <f>IF(OR('Groups &amp; Sites'!H85=INputs!AN$3,'Groups &amp; Sites'!H85=INputs!AN$4),"Yes","No")</f>
        <v>No</v>
      </c>
      <c r="R43" s="717" t="str">
        <f>R$11</f>
        <v>Privacy and external user access</v>
      </c>
      <c r="S43" s="719" t="str">
        <f>IF('Groups &amp; Sites'!K85=TRUE,"Yes","No")</f>
        <v>No</v>
      </c>
      <c r="T43" s="717" t="str">
        <f>T$11</f>
        <v>Content can be shared with</v>
      </c>
      <c r="U43" s="719" t="str">
        <f>IF('Groups &amp; Sites'!S86=TRUE,"Yes","No")</f>
        <v>No</v>
      </c>
      <c r="V43" s="729" t="str">
        <f>V$11</f>
        <v>Allow users to discover private teams that have this label applied.</v>
      </c>
    </row>
    <row r="44" spans="1:22" ht="14.5" x14ac:dyDescent="0.35">
      <c r="A44" s="732"/>
      <c r="B44" s="743"/>
      <c r="C44" s="745"/>
      <c r="D44" s="738"/>
      <c r="E44" s="340" t="b">
        <f>'Sensitivity Labels'!F77</f>
        <v>0</v>
      </c>
      <c r="F44" s="341" t="str">
        <f>'Sensitivity Labels'!G77</f>
        <v>Emails</v>
      </c>
      <c r="G44" s="763"/>
      <c r="H44" s="743"/>
      <c r="I44" s="719"/>
      <c r="J44" s="346" t="str">
        <f>IF(OR('Emails, Files, &amp; Other Data'!X108=TRUE,'Emails, Files, &amp; Other Data'!X109=TRUE,'Emails, Files, &amp; Other Data'!X110=TRUE),"Yes","No")</f>
        <v>No</v>
      </c>
      <c r="K44" s="347"/>
      <c r="L44" s="347"/>
      <c r="M44" s="348" t="b">
        <f>'Emails, Files, &amp; Other Data'!J109</f>
        <v>0</v>
      </c>
      <c r="N44" s="347" t="str">
        <f>N40</f>
        <v>Let users assign permissions when they apply the label</v>
      </c>
      <c r="O44" s="349" t="str">
        <f>O$12</f>
        <v>Content Marking</v>
      </c>
      <c r="P44" s="691"/>
      <c r="Q44" s="716"/>
      <c r="R44" s="718"/>
      <c r="S44" s="720"/>
      <c r="T44" s="718"/>
      <c r="U44" s="720"/>
      <c r="V44" s="730"/>
    </row>
    <row r="45" spans="1:22" ht="14.5" customHeight="1" x14ac:dyDescent="0.35">
      <c r="A45" s="732"/>
      <c r="B45" s="743"/>
      <c r="C45" s="745"/>
      <c r="D45" s="738"/>
      <c r="E45" s="340" t="b">
        <f>'Sensitivity Labels'!F79</f>
        <v>0</v>
      </c>
      <c r="F45" s="341" t="str">
        <f>'Sensitivity Labels'!G79</f>
        <v>Meetings</v>
      </c>
      <c r="G45" s="763"/>
      <c r="H45" s="743"/>
      <c r="I45" s="719"/>
      <c r="J45" s="693" t="str">
        <f>IF('Emails, Files, &amp; Other Data'!AB108=TRUE,"Yes","No")</f>
        <v>No</v>
      </c>
      <c r="K45" s="347"/>
      <c r="L45" s="347"/>
      <c r="M45" s="347"/>
      <c r="N45" s="347"/>
      <c r="O45" s="699" t="str">
        <f>O$13</f>
        <v>Auto-labeling for files and emails: "Client-side Auto-Labeling"</v>
      </c>
      <c r="P45" s="691"/>
      <c r="Q45" s="721" t="str">
        <f>IF('Groups &amp; Sites'!H87=TRUE,"Yes","No")</f>
        <v>No</v>
      </c>
      <c r="R45" s="722" t="str">
        <f>R$13</f>
        <v>Let Microsoft 365 Group owners add people outside your organization to the group as guests.</v>
      </c>
      <c r="S45" s="719" t="str">
        <f>IF('Groups &amp; Sites'!K86=TRUE,"Yes","No")</f>
        <v>No</v>
      </c>
      <c r="T45" s="723" t="str">
        <f>T$13</f>
        <v>Use Microsoft Entra Conditional Access to protect labeled SharePoint sites</v>
      </c>
      <c r="U45" s="724" t="str">
        <f>IF(OR('Groups &amp; Sites'!S88=TRUE,'Groups &amp; Sites'!S89=TRUE,'Groups &amp; Sites'!S90=TRUE),"Yes","No")</f>
        <v>No</v>
      </c>
      <c r="V45" s="725" t="str">
        <f>V$13</f>
        <v>Teams shared channels</v>
      </c>
    </row>
    <row r="46" spans="1:22" ht="15" thickBot="1" x14ac:dyDescent="0.4">
      <c r="A46" s="733"/>
      <c r="B46" s="744"/>
      <c r="C46" s="746"/>
      <c r="D46" s="739"/>
      <c r="E46" s="350" t="b">
        <f>'Sensitivity Labels'!F81</f>
        <v>0</v>
      </c>
      <c r="F46" s="351" t="str">
        <f>'Sensitivity Labels'!G81</f>
        <v>Groups &amp; Sites</v>
      </c>
      <c r="G46" s="764"/>
      <c r="H46" s="744"/>
      <c r="I46" s="765"/>
      <c r="J46" s="694"/>
      <c r="K46" s="352"/>
      <c r="L46" s="352"/>
      <c r="M46" s="352"/>
      <c r="N46" s="352"/>
      <c r="O46" s="700"/>
      <c r="P46" s="692"/>
      <c r="Q46" s="715"/>
      <c r="R46" s="723"/>
      <c r="S46" s="719"/>
      <c r="T46" s="723"/>
      <c r="U46" s="719"/>
      <c r="V46" s="726"/>
    </row>
    <row r="47" spans="1:22" ht="14.5" customHeight="1" x14ac:dyDescent="0.35">
      <c r="A47" s="735">
        <f>A43+1</f>
        <v>10</v>
      </c>
      <c r="B47" s="740">
        <f>'Sensitivity Labels'!C83</f>
        <v>0</v>
      </c>
      <c r="C47" s="747">
        <f>'Sensitivity Labels'!D83</f>
        <v>0</v>
      </c>
      <c r="D47" s="541">
        <f>'Sensitivity Labels'!E83</f>
        <v>0</v>
      </c>
      <c r="E47" s="60" t="b">
        <f>'Sensitivity Labels'!F83</f>
        <v>0</v>
      </c>
      <c r="F47" s="62" t="str">
        <f>'Sensitivity Labels'!G83</f>
        <v>Files &amp; Other Data assets</v>
      </c>
      <c r="G47" s="766">
        <f>'Sensitivity Labels'!I83</f>
        <v>0</v>
      </c>
      <c r="H47" s="740">
        <f>'Sensitivity Labels'!J83</f>
        <v>0</v>
      </c>
      <c r="I47" s="769">
        <f>'Sensitivity Labels'!K83</f>
        <v>0</v>
      </c>
      <c r="J47" s="311" t="str">
        <f>IF(OR(M47=TRUE,M48=TRUE),"Encryption",(IF(K47=TRUE,"Remove Encryption","No Encryption")))</f>
        <v>No Encryption</v>
      </c>
      <c r="K47" s="306" t="b">
        <f>'Emails, Files, &amp; Other Data'!H120</f>
        <v>0</v>
      </c>
      <c r="L47" s="307" t="str">
        <f>L43</f>
        <v>Remove access control settings if already applied to items</v>
      </c>
      <c r="M47" s="306" t="b">
        <f>'Emails, Files, &amp; Other Data'!J120</f>
        <v>0</v>
      </c>
      <c r="N47" s="307" t="str">
        <f>N43</f>
        <v>Assign Permissions now</v>
      </c>
      <c r="O47" s="312" t="str">
        <f>O$11</f>
        <v>Access Control</v>
      </c>
      <c r="P47" s="688" t="str">
        <f>IF(E49=TRUE,"Yes","No")</f>
        <v>No</v>
      </c>
      <c r="Q47" s="701" t="str">
        <f>IF(OR('Groups &amp; Sites'!H94=INputs!AN$3,'Groups &amp; Sites'!H94=INputs!AN$4),"Yes","No")</f>
        <v>No</v>
      </c>
      <c r="R47" s="703" t="str">
        <f>R$11</f>
        <v>Privacy and external user access</v>
      </c>
      <c r="S47" s="705" t="str">
        <f>IF('Groups &amp; Sites'!K94=TRUE,"Yes","No")</f>
        <v>No</v>
      </c>
      <c r="T47" s="703" t="str">
        <f>T$11</f>
        <v>Content can be shared with</v>
      </c>
      <c r="U47" s="705" t="str">
        <f>IF('Groups &amp; Sites'!S95=TRUE,"Yes","No")</f>
        <v>No</v>
      </c>
      <c r="V47" s="727" t="str">
        <f>V$11</f>
        <v>Allow users to discover private teams that have this label applied.</v>
      </c>
    </row>
    <row r="48" spans="1:22" ht="14.5" x14ac:dyDescent="0.35">
      <c r="A48" s="735"/>
      <c r="B48" s="741"/>
      <c r="C48" s="748"/>
      <c r="D48" s="542"/>
      <c r="E48" s="64" t="b">
        <f>'Sensitivity Labels'!F85</f>
        <v>0</v>
      </c>
      <c r="F48" t="str">
        <f>'Sensitivity Labels'!G85</f>
        <v>Emails</v>
      </c>
      <c r="G48" s="767"/>
      <c r="H48" s="741"/>
      <c r="I48" s="770"/>
      <c r="J48" s="313" t="str">
        <f>IF(OR('Emails, Files, &amp; Other Data'!X120=TRUE,'Emails, Files, &amp; Other Data'!X121=TRUE,'Emails, Files, &amp; Other Data'!X122=TRUE),"Yes","No")</f>
        <v>No</v>
      </c>
      <c r="K48" s="308"/>
      <c r="L48" s="308"/>
      <c r="M48" s="309" t="b">
        <f>'Emails, Files, &amp; Other Data'!J121</f>
        <v>0</v>
      </c>
      <c r="N48" s="308" t="str">
        <f>N44</f>
        <v>Let users assign permissions when they apply the label</v>
      </c>
      <c r="O48" s="314" t="str">
        <f>O$12</f>
        <v>Content Marking</v>
      </c>
      <c r="P48" s="689"/>
      <c r="Q48" s="702"/>
      <c r="R48" s="704"/>
      <c r="S48" s="706"/>
      <c r="T48" s="704"/>
      <c r="U48" s="706"/>
      <c r="V48" s="728"/>
    </row>
    <row r="49" spans="1:22" ht="14.5" customHeight="1" x14ac:dyDescent="0.35">
      <c r="A49" s="735"/>
      <c r="B49" s="741"/>
      <c r="C49" s="748"/>
      <c r="D49" s="542"/>
      <c r="E49" s="64" t="b">
        <f>'Sensitivity Labels'!F87</f>
        <v>0</v>
      </c>
      <c r="F49" t="str">
        <f>'Sensitivity Labels'!G87</f>
        <v>Meetings</v>
      </c>
      <c r="G49" s="767"/>
      <c r="H49" s="741"/>
      <c r="I49" s="770"/>
      <c r="J49" s="686" t="str">
        <f>IF('Emails, Files, &amp; Other Data'!AB120=TRUE,"Yes","No")</f>
        <v>No</v>
      </c>
      <c r="K49" s="308"/>
      <c r="L49" s="308"/>
      <c r="M49" s="308"/>
      <c r="N49" s="308"/>
      <c r="O49" s="697" t="str">
        <f>O$13</f>
        <v>Auto-labeling for files and emails: "Client-side Auto-Labeling"</v>
      </c>
      <c r="P49" s="689"/>
      <c r="Q49" s="707" t="str">
        <f>IF('Groups &amp; Sites'!H96=TRUE,"Yes","No")</f>
        <v>No</v>
      </c>
      <c r="R49" s="709" t="str">
        <f>R$13</f>
        <v>Let Microsoft 365 Group owners add people outside your organization to the group as guests.</v>
      </c>
      <c r="S49" s="711" t="str">
        <f>IF('Groups &amp; Sites'!K95=TRUE,"Yes","No")</f>
        <v>No</v>
      </c>
      <c r="T49" s="713" t="str">
        <f>T$13</f>
        <v>Use Microsoft Entra Conditional Access to protect labeled SharePoint sites</v>
      </c>
      <c r="U49" s="714" t="str">
        <f>IF(OR('Groups &amp; Sites'!S97=TRUE,'Groups &amp; Sites'!S98=TRUE,'Groups &amp; Sites'!S99=TRUE),"Yes","No")</f>
        <v>No</v>
      </c>
      <c r="V49" s="695" t="str">
        <f>V$13</f>
        <v>Teams shared channels</v>
      </c>
    </row>
    <row r="50" spans="1:22" ht="15" thickBot="1" x14ac:dyDescent="0.4">
      <c r="A50" s="735"/>
      <c r="B50" s="742"/>
      <c r="C50" s="749"/>
      <c r="D50" s="543"/>
      <c r="E50" s="69" t="b">
        <f>'Sensitivity Labels'!F89</f>
        <v>0</v>
      </c>
      <c r="F50" s="67" t="str">
        <f>'Sensitivity Labels'!G89</f>
        <v>Groups &amp; Sites</v>
      </c>
      <c r="G50" s="768"/>
      <c r="H50" s="742"/>
      <c r="I50" s="771"/>
      <c r="J50" s="687"/>
      <c r="K50" s="310"/>
      <c r="L50" s="310"/>
      <c r="M50" s="310"/>
      <c r="N50" s="310"/>
      <c r="O50" s="698"/>
      <c r="P50" s="690"/>
      <c r="Q50" s="708"/>
      <c r="R50" s="710"/>
      <c r="S50" s="712"/>
      <c r="T50" s="710"/>
      <c r="U50" s="712"/>
      <c r="V50" s="696"/>
    </row>
    <row r="51" spans="1:22" ht="14.5" customHeight="1" x14ac:dyDescent="0.35">
      <c r="A51" s="731">
        <f>A47+1</f>
        <v>11</v>
      </c>
      <c r="B51" s="743">
        <f>'Sensitivity Labels'!C91</f>
        <v>0</v>
      </c>
      <c r="C51" s="745">
        <f>'Sensitivity Labels'!D91</f>
        <v>0</v>
      </c>
      <c r="D51" s="737">
        <f>'Sensitivity Labels'!E91</f>
        <v>0</v>
      </c>
      <c r="E51" s="340" t="b">
        <f>'Sensitivity Labels'!F91</f>
        <v>0</v>
      </c>
      <c r="F51" s="341" t="str">
        <f>'Sensitivity Labels'!G91</f>
        <v>Files &amp; Other Data assets</v>
      </c>
      <c r="G51" s="763">
        <f>'Sensitivity Labels'!I91</f>
        <v>0</v>
      </c>
      <c r="H51" s="743">
        <f>'Sensitivity Labels'!J91</f>
        <v>0</v>
      </c>
      <c r="I51" s="719">
        <f>'Sensitivity Labels'!K91</f>
        <v>0</v>
      </c>
      <c r="J51" s="342" t="str">
        <f>IF(OR(M51=TRUE,M52=TRUE),"Encryption",(IF(K51=TRUE,"Remove Encryption","No Encryption")))</f>
        <v>No Encryption</v>
      </c>
      <c r="K51" s="343" t="b">
        <f>'Emails, Files, &amp; Other Data'!H132</f>
        <v>0</v>
      </c>
      <c r="L51" s="344" t="str">
        <f>L47</f>
        <v>Remove access control settings if already applied to items</v>
      </c>
      <c r="M51" s="343" t="b">
        <f>'Emails, Files, &amp; Other Data'!J132</f>
        <v>0</v>
      </c>
      <c r="N51" s="344" t="str">
        <f>N47</f>
        <v>Assign Permissions now</v>
      </c>
      <c r="O51" s="345" t="str">
        <f>O$11</f>
        <v>Access Control</v>
      </c>
      <c r="P51" s="691" t="str">
        <f>IF(E53=TRUE,"Yes","No")</f>
        <v>No</v>
      </c>
      <c r="Q51" s="715" t="str">
        <f>IF(OR('Groups &amp; Sites'!H103=INputs!AN$3,'Groups &amp; Sites'!H103=INputs!AN$4),"Yes","No")</f>
        <v>No</v>
      </c>
      <c r="R51" s="717" t="str">
        <f>R$11</f>
        <v>Privacy and external user access</v>
      </c>
      <c r="S51" s="719" t="str">
        <f>IF('Groups &amp; Sites'!K103=TRUE,"Yes","No")</f>
        <v>No</v>
      </c>
      <c r="T51" s="717" t="str">
        <f>T$11</f>
        <v>Content can be shared with</v>
      </c>
      <c r="U51" s="719" t="str">
        <f>IF('Groups &amp; Sites'!S104=TRUE,"Yes","No")</f>
        <v>No</v>
      </c>
      <c r="V51" s="729" t="str">
        <f>V$11</f>
        <v>Allow users to discover private teams that have this label applied.</v>
      </c>
    </row>
    <row r="52" spans="1:22" ht="14.5" x14ac:dyDescent="0.35">
      <c r="A52" s="732"/>
      <c r="B52" s="743"/>
      <c r="C52" s="745"/>
      <c r="D52" s="738"/>
      <c r="E52" s="340" t="b">
        <f>'Sensitivity Labels'!F93</f>
        <v>0</v>
      </c>
      <c r="F52" s="341" t="str">
        <f>'Sensitivity Labels'!G93</f>
        <v>Emails</v>
      </c>
      <c r="G52" s="763"/>
      <c r="H52" s="743"/>
      <c r="I52" s="719"/>
      <c r="J52" s="346" t="str">
        <f>IF(OR('Emails, Files, &amp; Other Data'!X132=TRUE,'Emails, Files, &amp; Other Data'!X133=TRUE,'Emails, Files, &amp; Other Data'!X134=TRUE),"Yes","No")</f>
        <v>No</v>
      </c>
      <c r="K52" s="347"/>
      <c r="L52" s="347"/>
      <c r="M52" s="348" t="b">
        <f>'Emails, Files, &amp; Other Data'!J133</f>
        <v>0</v>
      </c>
      <c r="N52" s="347" t="str">
        <f>N48</f>
        <v>Let users assign permissions when they apply the label</v>
      </c>
      <c r="O52" s="349" t="str">
        <f>O$12</f>
        <v>Content Marking</v>
      </c>
      <c r="P52" s="691"/>
      <c r="Q52" s="716"/>
      <c r="R52" s="718"/>
      <c r="S52" s="720"/>
      <c r="T52" s="718"/>
      <c r="U52" s="720"/>
      <c r="V52" s="730"/>
    </row>
    <row r="53" spans="1:22" ht="14.5" customHeight="1" x14ac:dyDescent="0.35">
      <c r="A53" s="732"/>
      <c r="B53" s="743"/>
      <c r="C53" s="745"/>
      <c r="D53" s="738"/>
      <c r="E53" s="340" t="b">
        <f>'Sensitivity Labels'!F95</f>
        <v>0</v>
      </c>
      <c r="F53" s="341" t="str">
        <f>'Sensitivity Labels'!G95</f>
        <v>Meetings</v>
      </c>
      <c r="G53" s="763"/>
      <c r="H53" s="743"/>
      <c r="I53" s="719"/>
      <c r="J53" s="693" t="str">
        <f>IF('Emails, Files, &amp; Other Data'!AB132=TRUE,"Yes","No")</f>
        <v>No</v>
      </c>
      <c r="K53" s="347"/>
      <c r="L53" s="347"/>
      <c r="M53" s="347"/>
      <c r="N53" s="347"/>
      <c r="O53" s="699" t="str">
        <f>O$13</f>
        <v>Auto-labeling for files and emails: "Client-side Auto-Labeling"</v>
      </c>
      <c r="P53" s="691"/>
      <c r="Q53" s="721" t="str">
        <f>IF('Groups &amp; Sites'!H105=TRUE,"Yes","No")</f>
        <v>No</v>
      </c>
      <c r="R53" s="722" t="str">
        <f>R$13</f>
        <v>Let Microsoft 365 Group owners add people outside your organization to the group as guests.</v>
      </c>
      <c r="S53" s="719" t="str">
        <f>IF('Groups &amp; Sites'!K104=TRUE,"Yes","No")</f>
        <v>No</v>
      </c>
      <c r="T53" s="723" t="str">
        <f>T$13</f>
        <v>Use Microsoft Entra Conditional Access to protect labeled SharePoint sites</v>
      </c>
      <c r="U53" s="724" t="str">
        <f>IF(OR('Groups &amp; Sites'!S106=TRUE,'Groups &amp; Sites'!S107=TRUE,'Groups &amp; Sites'!S108=TRUE),"Yes","No")</f>
        <v>No</v>
      </c>
      <c r="V53" s="725" t="str">
        <f>V$13</f>
        <v>Teams shared channels</v>
      </c>
    </row>
    <row r="54" spans="1:22" ht="15" thickBot="1" x14ac:dyDescent="0.4">
      <c r="A54" s="733"/>
      <c r="B54" s="744"/>
      <c r="C54" s="746"/>
      <c r="D54" s="739"/>
      <c r="E54" s="350" t="b">
        <f>'Sensitivity Labels'!F97</f>
        <v>0</v>
      </c>
      <c r="F54" s="351" t="str">
        <f>'Sensitivity Labels'!G97</f>
        <v>Groups &amp; Sites</v>
      </c>
      <c r="G54" s="764"/>
      <c r="H54" s="744"/>
      <c r="I54" s="765"/>
      <c r="J54" s="694"/>
      <c r="K54" s="352"/>
      <c r="L54" s="352"/>
      <c r="M54" s="352"/>
      <c r="N54" s="352"/>
      <c r="O54" s="700"/>
      <c r="P54" s="692"/>
      <c r="Q54" s="715"/>
      <c r="R54" s="723"/>
      <c r="S54" s="719"/>
      <c r="T54" s="723"/>
      <c r="U54" s="719"/>
      <c r="V54" s="726"/>
    </row>
    <row r="55" spans="1:22" ht="14.5" customHeight="1" x14ac:dyDescent="0.35">
      <c r="A55" s="735">
        <f>A51+1</f>
        <v>12</v>
      </c>
      <c r="B55" s="740">
        <f>'Sensitivity Labels'!C99</f>
        <v>0</v>
      </c>
      <c r="C55" s="747">
        <f>'Sensitivity Labels'!D99</f>
        <v>0</v>
      </c>
      <c r="D55" s="541">
        <f>'Sensitivity Labels'!E99</f>
        <v>0</v>
      </c>
      <c r="E55" s="60" t="b">
        <f>'Sensitivity Labels'!F99</f>
        <v>0</v>
      </c>
      <c r="F55" s="62" t="str">
        <f>'Sensitivity Labels'!G99</f>
        <v>Files &amp; Other Data assets</v>
      </c>
      <c r="G55" s="766">
        <f>'Sensitivity Labels'!I99</f>
        <v>0</v>
      </c>
      <c r="H55" s="740">
        <f>'Sensitivity Labels'!J99</f>
        <v>0</v>
      </c>
      <c r="I55" s="769">
        <f>'Sensitivity Labels'!K99</f>
        <v>0</v>
      </c>
      <c r="J55" s="311" t="str">
        <f>IF(OR(M55=TRUE,M56=TRUE),"Encryption",(IF(K55=TRUE,"Remove Encryption","No Encryption")))</f>
        <v>No Encryption</v>
      </c>
      <c r="K55" s="306" t="b">
        <f>'Emails, Files, &amp; Other Data'!H144</f>
        <v>0</v>
      </c>
      <c r="L55" s="307" t="str">
        <f>L51</f>
        <v>Remove access control settings if already applied to items</v>
      </c>
      <c r="M55" s="306" t="b">
        <f>'Emails, Files, &amp; Other Data'!J144</f>
        <v>0</v>
      </c>
      <c r="N55" s="307" t="str">
        <f>N51</f>
        <v>Assign Permissions now</v>
      </c>
      <c r="O55" s="312" t="str">
        <f>O$11</f>
        <v>Access Control</v>
      </c>
      <c r="P55" s="688" t="str">
        <f>IF(E57=TRUE,"Yes","No")</f>
        <v>No</v>
      </c>
      <c r="Q55" s="701" t="str">
        <f>IF(OR('Groups &amp; Sites'!H112=INputs!AN$3,'Groups &amp; Sites'!H112=INputs!AN$4),"Yes","No")</f>
        <v>No</v>
      </c>
      <c r="R55" s="703" t="str">
        <f>R$11</f>
        <v>Privacy and external user access</v>
      </c>
      <c r="S55" s="705" t="str">
        <f>IF('Groups &amp; Sites'!K112=TRUE,"Yes","No")</f>
        <v>No</v>
      </c>
      <c r="T55" s="703" t="str">
        <f>T$11</f>
        <v>Content can be shared with</v>
      </c>
      <c r="U55" s="705" t="str">
        <f>IF('Groups &amp; Sites'!S113=TRUE,"Yes","No")</f>
        <v>No</v>
      </c>
      <c r="V55" s="727" t="str">
        <f>V$11</f>
        <v>Allow users to discover private teams that have this label applied.</v>
      </c>
    </row>
    <row r="56" spans="1:22" ht="14.5" x14ac:dyDescent="0.35">
      <c r="A56" s="735"/>
      <c r="B56" s="741"/>
      <c r="C56" s="748"/>
      <c r="D56" s="542"/>
      <c r="E56" s="64" t="b">
        <f>'Sensitivity Labels'!F101</f>
        <v>0</v>
      </c>
      <c r="F56" t="str">
        <f>'Sensitivity Labels'!G101</f>
        <v>Emails</v>
      </c>
      <c r="G56" s="767"/>
      <c r="H56" s="741"/>
      <c r="I56" s="770"/>
      <c r="J56" s="313" t="str">
        <f>IF(OR('Emails, Files, &amp; Other Data'!X144=TRUE,'Emails, Files, &amp; Other Data'!X145=TRUE,'Emails, Files, &amp; Other Data'!X146=TRUE),"Yes","No")</f>
        <v>No</v>
      </c>
      <c r="K56" s="308"/>
      <c r="L56" s="308"/>
      <c r="M56" s="309" t="b">
        <f>'Emails, Files, &amp; Other Data'!J145</f>
        <v>0</v>
      </c>
      <c r="N56" s="308" t="str">
        <f>N52</f>
        <v>Let users assign permissions when they apply the label</v>
      </c>
      <c r="O56" s="314" t="str">
        <f>O$12</f>
        <v>Content Marking</v>
      </c>
      <c r="P56" s="689"/>
      <c r="Q56" s="702"/>
      <c r="R56" s="704"/>
      <c r="S56" s="706"/>
      <c r="T56" s="704"/>
      <c r="U56" s="706"/>
      <c r="V56" s="728"/>
    </row>
    <row r="57" spans="1:22" ht="14.5" customHeight="1" x14ac:dyDescent="0.35">
      <c r="A57" s="735"/>
      <c r="B57" s="741"/>
      <c r="C57" s="748"/>
      <c r="D57" s="542"/>
      <c r="E57" s="64" t="b">
        <f>'Sensitivity Labels'!F103</f>
        <v>0</v>
      </c>
      <c r="F57" t="str">
        <f>'Sensitivity Labels'!G103</f>
        <v>Meetings</v>
      </c>
      <c r="G57" s="767"/>
      <c r="H57" s="741"/>
      <c r="I57" s="770"/>
      <c r="J57" s="686" t="str">
        <f>IF('Emails, Files, &amp; Other Data'!AB144=TRUE,"Yes","No")</f>
        <v>No</v>
      </c>
      <c r="K57" s="308"/>
      <c r="L57" s="308"/>
      <c r="M57" s="308"/>
      <c r="N57" s="308"/>
      <c r="O57" s="697" t="str">
        <f>O$13</f>
        <v>Auto-labeling for files and emails: "Client-side Auto-Labeling"</v>
      </c>
      <c r="P57" s="689"/>
      <c r="Q57" s="707" t="str">
        <f>IF('Groups &amp; Sites'!H114=TRUE,"Yes","No")</f>
        <v>No</v>
      </c>
      <c r="R57" s="709" t="str">
        <f>R$13</f>
        <v>Let Microsoft 365 Group owners add people outside your organization to the group as guests.</v>
      </c>
      <c r="S57" s="711" t="str">
        <f>IF('Groups &amp; Sites'!K113=TRUE,"Yes","No")</f>
        <v>No</v>
      </c>
      <c r="T57" s="713" t="str">
        <f>T$13</f>
        <v>Use Microsoft Entra Conditional Access to protect labeled SharePoint sites</v>
      </c>
      <c r="U57" s="714" t="str">
        <f>IF(OR('Groups &amp; Sites'!S115=TRUE,'Groups &amp; Sites'!S116=TRUE,'Groups &amp; Sites'!S117=TRUE),"Yes","No")</f>
        <v>No</v>
      </c>
      <c r="V57" s="695" t="str">
        <f>V$13</f>
        <v>Teams shared channels</v>
      </c>
    </row>
    <row r="58" spans="1:22" ht="15" thickBot="1" x14ac:dyDescent="0.4">
      <c r="A58" s="735"/>
      <c r="B58" s="742"/>
      <c r="C58" s="749"/>
      <c r="D58" s="543"/>
      <c r="E58" s="69" t="b">
        <f>'Sensitivity Labels'!F105</f>
        <v>0</v>
      </c>
      <c r="F58" s="67" t="str">
        <f>'Sensitivity Labels'!G105</f>
        <v>Groups &amp; Sites</v>
      </c>
      <c r="G58" s="768"/>
      <c r="H58" s="742"/>
      <c r="I58" s="771"/>
      <c r="J58" s="687"/>
      <c r="K58" s="310"/>
      <c r="L58" s="310"/>
      <c r="M58" s="310"/>
      <c r="N58" s="310"/>
      <c r="O58" s="698"/>
      <c r="P58" s="690"/>
      <c r="Q58" s="708"/>
      <c r="R58" s="710"/>
      <c r="S58" s="712"/>
      <c r="T58" s="710"/>
      <c r="U58" s="712"/>
      <c r="V58" s="696"/>
    </row>
    <row r="59" spans="1:22" ht="14.5" customHeight="1" x14ac:dyDescent="0.35">
      <c r="A59" s="731">
        <f>A55+1</f>
        <v>13</v>
      </c>
      <c r="B59" s="743">
        <f>'Sensitivity Labels'!C107</f>
        <v>0</v>
      </c>
      <c r="C59" s="745">
        <f>'Sensitivity Labels'!D107</f>
        <v>0</v>
      </c>
      <c r="D59" s="737">
        <f>'Sensitivity Labels'!E107</f>
        <v>0</v>
      </c>
      <c r="E59" s="340" t="b">
        <f>'Sensitivity Labels'!F107</f>
        <v>0</v>
      </c>
      <c r="F59" s="341" t="str">
        <f>'Sensitivity Labels'!G107</f>
        <v>Files &amp; Other Data assets</v>
      </c>
      <c r="G59" s="763">
        <f>'Sensitivity Labels'!I107</f>
        <v>0</v>
      </c>
      <c r="H59" s="743">
        <f>'Sensitivity Labels'!J107</f>
        <v>0</v>
      </c>
      <c r="I59" s="719">
        <f>'Sensitivity Labels'!K107</f>
        <v>0</v>
      </c>
      <c r="J59" s="342" t="str">
        <f>IF(OR(M59=TRUE,M60=TRUE),"Encryption",(IF(K59=TRUE,"Remove Encryption","No Encryption")))</f>
        <v>No Encryption</v>
      </c>
      <c r="K59" s="343" t="b">
        <f>'Emails, Files, &amp; Other Data'!H156</f>
        <v>0</v>
      </c>
      <c r="L59" s="344" t="str">
        <f>L55</f>
        <v>Remove access control settings if already applied to items</v>
      </c>
      <c r="M59" s="343" t="b">
        <f>'Emails, Files, &amp; Other Data'!J156</f>
        <v>0</v>
      </c>
      <c r="N59" s="344" t="str">
        <f>N55</f>
        <v>Assign Permissions now</v>
      </c>
      <c r="O59" s="345" t="str">
        <f>O$11</f>
        <v>Access Control</v>
      </c>
      <c r="P59" s="691" t="str">
        <f>IF(E61=TRUE,"Yes","No")</f>
        <v>No</v>
      </c>
      <c r="Q59" s="715" t="str">
        <f>IF(OR('Groups &amp; Sites'!H121=INputs!AN$3,'Groups &amp; Sites'!H121=INputs!AN$4),"Yes","No")</f>
        <v>No</v>
      </c>
      <c r="R59" s="717" t="str">
        <f>R$11</f>
        <v>Privacy and external user access</v>
      </c>
      <c r="S59" s="719" t="str">
        <f>IF('Groups &amp; Sites'!K121=TRUE,"Yes","No")</f>
        <v>No</v>
      </c>
      <c r="T59" s="717" t="str">
        <f>T$11</f>
        <v>Content can be shared with</v>
      </c>
      <c r="U59" s="719" t="str">
        <f>IF('Groups &amp; Sites'!S122=TRUE,"Yes","No")</f>
        <v>No</v>
      </c>
      <c r="V59" s="729" t="str">
        <f>V$11</f>
        <v>Allow users to discover private teams that have this label applied.</v>
      </c>
    </row>
    <row r="60" spans="1:22" ht="14.5" x14ac:dyDescent="0.35">
      <c r="A60" s="732"/>
      <c r="B60" s="743"/>
      <c r="C60" s="745"/>
      <c r="D60" s="738"/>
      <c r="E60" s="340" t="b">
        <f>'Sensitivity Labels'!F109</f>
        <v>0</v>
      </c>
      <c r="F60" s="341" t="str">
        <f>'Sensitivity Labels'!G109</f>
        <v>Emails</v>
      </c>
      <c r="G60" s="763"/>
      <c r="H60" s="743"/>
      <c r="I60" s="719"/>
      <c r="J60" s="346" t="str">
        <f>IF(OR('Emails, Files, &amp; Other Data'!X156=TRUE,'Emails, Files, &amp; Other Data'!X157=TRUE,'Emails, Files, &amp; Other Data'!X158=TRUE),"Yes","No")</f>
        <v>No</v>
      </c>
      <c r="K60" s="347"/>
      <c r="L60" s="347"/>
      <c r="M60" s="348" t="b">
        <f>'Emails, Files, &amp; Other Data'!J157</f>
        <v>0</v>
      </c>
      <c r="N60" s="347" t="str">
        <f>N56</f>
        <v>Let users assign permissions when they apply the label</v>
      </c>
      <c r="O60" s="349" t="str">
        <f>O$12</f>
        <v>Content Marking</v>
      </c>
      <c r="P60" s="691"/>
      <c r="Q60" s="716"/>
      <c r="R60" s="718"/>
      <c r="S60" s="720"/>
      <c r="T60" s="718"/>
      <c r="U60" s="720"/>
      <c r="V60" s="730"/>
    </row>
    <row r="61" spans="1:22" ht="14.5" customHeight="1" x14ac:dyDescent="0.35">
      <c r="A61" s="732"/>
      <c r="B61" s="743"/>
      <c r="C61" s="745"/>
      <c r="D61" s="738"/>
      <c r="E61" s="340" t="b">
        <f>'Sensitivity Labels'!F111</f>
        <v>0</v>
      </c>
      <c r="F61" s="341" t="str">
        <f>'Sensitivity Labels'!G111</f>
        <v>Meetings</v>
      </c>
      <c r="G61" s="763"/>
      <c r="H61" s="743"/>
      <c r="I61" s="719"/>
      <c r="J61" s="693" t="str">
        <f>IF('Emails, Files, &amp; Other Data'!AB156=TRUE,"Yes","No")</f>
        <v>No</v>
      </c>
      <c r="K61" s="347"/>
      <c r="L61" s="347"/>
      <c r="M61" s="347"/>
      <c r="N61" s="347"/>
      <c r="O61" s="699" t="str">
        <f>O$13</f>
        <v>Auto-labeling for files and emails: "Client-side Auto-Labeling"</v>
      </c>
      <c r="P61" s="691"/>
      <c r="Q61" s="721" t="str">
        <f>IF('Groups &amp; Sites'!H123=TRUE,"Yes","No")</f>
        <v>No</v>
      </c>
      <c r="R61" s="722" t="str">
        <f>R$13</f>
        <v>Let Microsoft 365 Group owners add people outside your organization to the group as guests.</v>
      </c>
      <c r="S61" s="719" t="str">
        <f>IF('Groups &amp; Sites'!K122=TRUE,"Yes","No")</f>
        <v>No</v>
      </c>
      <c r="T61" s="723" t="str">
        <f>T$13</f>
        <v>Use Microsoft Entra Conditional Access to protect labeled SharePoint sites</v>
      </c>
      <c r="U61" s="724" t="str">
        <f>IF(OR('Groups &amp; Sites'!S124=TRUE,'Groups &amp; Sites'!S125=TRUE,'Groups &amp; Sites'!S126=TRUE),"Yes","No")</f>
        <v>No</v>
      </c>
      <c r="V61" s="725" t="str">
        <f>V$13</f>
        <v>Teams shared channels</v>
      </c>
    </row>
    <row r="62" spans="1:22" ht="15" thickBot="1" x14ac:dyDescent="0.4">
      <c r="A62" s="733"/>
      <c r="B62" s="744"/>
      <c r="C62" s="746"/>
      <c r="D62" s="739"/>
      <c r="E62" s="350" t="b">
        <f>'Sensitivity Labels'!F113</f>
        <v>0</v>
      </c>
      <c r="F62" s="351" t="str">
        <f>'Sensitivity Labels'!G113</f>
        <v>Groups &amp; Sites</v>
      </c>
      <c r="G62" s="764"/>
      <c r="H62" s="744"/>
      <c r="I62" s="765"/>
      <c r="J62" s="694"/>
      <c r="K62" s="352"/>
      <c r="L62" s="352"/>
      <c r="M62" s="352"/>
      <c r="N62" s="352"/>
      <c r="O62" s="700"/>
      <c r="P62" s="692"/>
      <c r="Q62" s="715"/>
      <c r="R62" s="723"/>
      <c r="S62" s="719"/>
      <c r="T62" s="723"/>
      <c r="U62" s="719"/>
      <c r="V62" s="726"/>
    </row>
    <row r="63" spans="1:22" ht="14.5" customHeight="1" x14ac:dyDescent="0.35">
      <c r="A63" s="735">
        <f>A59+1</f>
        <v>14</v>
      </c>
      <c r="B63" s="740">
        <f>'Sensitivity Labels'!C115</f>
        <v>0</v>
      </c>
      <c r="C63" s="747">
        <f>'Sensitivity Labels'!D115</f>
        <v>0</v>
      </c>
      <c r="D63" s="541">
        <f>'Sensitivity Labels'!E115</f>
        <v>0</v>
      </c>
      <c r="E63" s="60" t="b">
        <f>'Sensitivity Labels'!F115</f>
        <v>0</v>
      </c>
      <c r="F63" s="62" t="str">
        <f>'Sensitivity Labels'!G115</f>
        <v>Files &amp; Other Data assets</v>
      </c>
      <c r="G63" s="766">
        <f>'Sensitivity Labels'!I115</f>
        <v>0</v>
      </c>
      <c r="H63" s="740">
        <f>'Sensitivity Labels'!J115</f>
        <v>0</v>
      </c>
      <c r="I63" s="769">
        <f>'Sensitivity Labels'!K115</f>
        <v>0</v>
      </c>
      <c r="J63" s="311" t="str">
        <f>IF(OR(M63=TRUE,M64=TRUE),"Encryption",(IF(K63=TRUE,"Remove Encryption","No Encryption")))</f>
        <v>No Encryption</v>
      </c>
      <c r="K63" s="306" t="b">
        <f>'Emails, Files, &amp; Other Data'!H168</f>
        <v>0</v>
      </c>
      <c r="L63" s="307" t="str">
        <f>L59</f>
        <v>Remove access control settings if already applied to items</v>
      </c>
      <c r="M63" s="306" t="b">
        <f>'Emails, Files, &amp; Other Data'!J168</f>
        <v>0</v>
      </c>
      <c r="N63" s="307" t="str">
        <f>N59</f>
        <v>Assign Permissions now</v>
      </c>
      <c r="O63" s="312" t="str">
        <f>O$11</f>
        <v>Access Control</v>
      </c>
      <c r="P63" s="688" t="str">
        <f>IF(E65=TRUE,"Yes","No")</f>
        <v>No</v>
      </c>
      <c r="Q63" s="701" t="str">
        <f>IF(OR('Groups &amp; Sites'!H130=INputs!AN$3,'Groups &amp; Sites'!H130=INputs!AN$4),"Yes","No")</f>
        <v>No</v>
      </c>
      <c r="R63" s="703" t="str">
        <f>R$11</f>
        <v>Privacy and external user access</v>
      </c>
      <c r="S63" s="705" t="str">
        <f>IF('Groups &amp; Sites'!K130=TRUE,"Yes","No")</f>
        <v>No</v>
      </c>
      <c r="T63" s="703" t="str">
        <f>T$11</f>
        <v>Content can be shared with</v>
      </c>
      <c r="U63" s="705" t="str">
        <f>IF('Groups &amp; Sites'!S131=TRUE,"Yes","No")</f>
        <v>No</v>
      </c>
      <c r="V63" s="727" t="str">
        <f>V$11</f>
        <v>Allow users to discover private teams that have this label applied.</v>
      </c>
    </row>
    <row r="64" spans="1:22" ht="14.5" x14ac:dyDescent="0.35">
      <c r="A64" s="735"/>
      <c r="B64" s="741"/>
      <c r="C64" s="748"/>
      <c r="D64" s="542"/>
      <c r="E64" s="64" t="b">
        <f>'Sensitivity Labels'!F117</f>
        <v>0</v>
      </c>
      <c r="F64" t="str">
        <f>'Sensitivity Labels'!G117</f>
        <v>Emails</v>
      </c>
      <c r="G64" s="767"/>
      <c r="H64" s="741"/>
      <c r="I64" s="770"/>
      <c r="J64" s="313" t="str">
        <f>IF(OR('Emails, Files, &amp; Other Data'!X168=TRUE,'Emails, Files, &amp; Other Data'!X169=TRUE,'Emails, Files, &amp; Other Data'!X170=TRUE),"Yes","No")</f>
        <v>No</v>
      </c>
      <c r="K64" s="308"/>
      <c r="L64" s="308"/>
      <c r="M64" s="309" t="b">
        <f>'Emails, Files, &amp; Other Data'!J169</f>
        <v>0</v>
      </c>
      <c r="N64" s="308" t="str">
        <f>N60</f>
        <v>Let users assign permissions when they apply the label</v>
      </c>
      <c r="O64" s="314" t="str">
        <f>O$12</f>
        <v>Content Marking</v>
      </c>
      <c r="P64" s="689"/>
      <c r="Q64" s="702"/>
      <c r="R64" s="704"/>
      <c r="S64" s="706"/>
      <c r="T64" s="704"/>
      <c r="U64" s="706"/>
      <c r="V64" s="728"/>
    </row>
    <row r="65" spans="1:22" ht="14.5" customHeight="1" x14ac:dyDescent="0.35">
      <c r="A65" s="735"/>
      <c r="B65" s="741"/>
      <c r="C65" s="748"/>
      <c r="D65" s="542"/>
      <c r="E65" s="64" t="b">
        <f>'Sensitivity Labels'!F119</f>
        <v>0</v>
      </c>
      <c r="F65" t="str">
        <f>'Sensitivity Labels'!G119</f>
        <v>Meetings</v>
      </c>
      <c r="G65" s="767"/>
      <c r="H65" s="741"/>
      <c r="I65" s="770"/>
      <c r="J65" s="686" t="str">
        <f>IF('Emails, Files, &amp; Other Data'!AB168=TRUE,"Yes","No")</f>
        <v>No</v>
      </c>
      <c r="K65" s="308"/>
      <c r="L65" s="308"/>
      <c r="M65" s="308"/>
      <c r="N65" s="308"/>
      <c r="O65" s="697" t="str">
        <f>O$13</f>
        <v>Auto-labeling for files and emails: "Client-side Auto-Labeling"</v>
      </c>
      <c r="P65" s="689"/>
      <c r="Q65" s="707" t="str">
        <f>IF('Groups &amp; Sites'!H132=TRUE,"Yes","No")</f>
        <v>No</v>
      </c>
      <c r="R65" s="709" t="str">
        <f>R$13</f>
        <v>Let Microsoft 365 Group owners add people outside your organization to the group as guests.</v>
      </c>
      <c r="S65" s="711" t="str">
        <f>IF('Groups &amp; Sites'!K131=TRUE,"Yes","No")</f>
        <v>No</v>
      </c>
      <c r="T65" s="713" t="str">
        <f>T$13</f>
        <v>Use Microsoft Entra Conditional Access to protect labeled SharePoint sites</v>
      </c>
      <c r="U65" s="714" t="str">
        <f>IF(OR('Groups &amp; Sites'!S133=TRUE,'Groups &amp; Sites'!S134=TRUE,'Groups &amp; Sites'!S135=TRUE),"Yes","No")</f>
        <v>No</v>
      </c>
      <c r="V65" s="695" t="str">
        <f>V$13</f>
        <v>Teams shared channels</v>
      </c>
    </row>
    <row r="66" spans="1:22" ht="15" thickBot="1" x14ac:dyDescent="0.4">
      <c r="A66" s="735"/>
      <c r="B66" s="742"/>
      <c r="C66" s="749"/>
      <c r="D66" s="543"/>
      <c r="E66" s="69" t="b">
        <f>'Sensitivity Labels'!F121</f>
        <v>0</v>
      </c>
      <c r="F66" s="67" t="str">
        <f>'Sensitivity Labels'!G121</f>
        <v>Groups &amp; Sites</v>
      </c>
      <c r="G66" s="768"/>
      <c r="H66" s="742"/>
      <c r="I66" s="771"/>
      <c r="J66" s="687"/>
      <c r="K66" s="310"/>
      <c r="L66" s="310"/>
      <c r="M66" s="310"/>
      <c r="N66" s="310"/>
      <c r="O66" s="698"/>
      <c r="P66" s="690"/>
      <c r="Q66" s="708"/>
      <c r="R66" s="710"/>
      <c r="S66" s="712"/>
      <c r="T66" s="710"/>
      <c r="U66" s="712"/>
      <c r="V66" s="696"/>
    </row>
    <row r="67" spans="1:22" ht="14.5" customHeight="1" x14ac:dyDescent="0.35">
      <c r="A67" s="731">
        <f>A63+1</f>
        <v>15</v>
      </c>
      <c r="B67" s="743">
        <f>'Sensitivity Labels'!C123</f>
        <v>0</v>
      </c>
      <c r="C67" s="745">
        <f>'Sensitivity Labels'!D123</f>
        <v>0</v>
      </c>
      <c r="D67" s="737">
        <f>'Sensitivity Labels'!E123</f>
        <v>0</v>
      </c>
      <c r="E67" s="340" t="b">
        <f>'Sensitivity Labels'!F123</f>
        <v>0</v>
      </c>
      <c r="F67" s="341" t="str">
        <f>'Sensitivity Labels'!G123</f>
        <v>Files &amp; Other Data assets</v>
      </c>
      <c r="G67" s="763">
        <f>'Sensitivity Labels'!I123</f>
        <v>0</v>
      </c>
      <c r="H67" s="743">
        <f>'Sensitivity Labels'!J123</f>
        <v>0</v>
      </c>
      <c r="I67" s="719">
        <f>'Sensitivity Labels'!K123</f>
        <v>0</v>
      </c>
      <c r="J67" s="342" t="str">
        <f>IF(OR(M67=TRUE,M68=TRUE),"Encryption",(IF(K67=TRUE,"Remove Encryption","No Encryption")))</f>
        <v>No Encryption</v>
      </c>
      <c r="K67" s="343" t="b">
        <f>'Emails, Files, &amp; Other Data'!H180</f>
        <v>0</v>
      </c>
      <c r="L67" s="344" t="str">
        <f>L63</f>
        <v>Remove access control settings if already applied to items</v>
      </c>
      <c r="M67" s="343" t="b">
        <f>'Emails, Files, &amp; Other Data'!J180</f>
        <v>0</v>
      </c>
      <c r="N67" s="344" t="str">
        <f>N63</f>
        <v>Assign Permissions now</v>
      </c>
      <c r="O67" s="345" t="str">
        <f>O$11</f>
        <v>Access Control</v>
      </c>
      <c r="P67" s="691" t="str">
        <f>IF(E69=TRUE,"Yes","No")</f>
        <v>No</v>
      </c>
      <c r="Q67" s="715" t="str">
        <f>IF(OR('Groups &amp; Sites'!H139=INputs!AN$3,'Groups &amp; Sites'!H139=INputs!AN$4),"Yes","No")</f>
        <v>No</v>
      </c>
      <c r="R67" s="717" t="str">
        <f>R$11</f>
        <v>Privacy and external user access</v>
      </c>
      <c r="S67" s="719" t="str">
        <f>IF('Groups &amp; Sites'!K139=TRUE,"Yes","No")</f>
        <v>No</v>
      </c>
      <c r="T67" s="717" t="str">
        <f>T$11</f>
        <v>Content can be shared with</v>
      </c>
      <c r="U67" s="719" t="str">
        <f>IF('Groups &amp; Sites'!S140=TRUE,"Yes","No")</f>
        <v>No</v>
      </c>
      <c r="V67" s="729" t="str">
        <f>V$11</f>
        <v>Allow users to discover private teams that have this label applied.</v>
      </c>
    </row>
    <row r="68" spans="1:22" ht="14.5" x14ac:dyDescent="0.35">
      <c r="A68" s="732"/>
      <c r="B68" s="743"/>
      <c r="C68" s="745"/>
      <c r="D68" s="738"/>
      <c r="E68" s="340" t="b">
        <f>'Sensitivity Labels'!F125</f>
        <v>0</v>
      </c>
      <c r="F68" s="341" t="str">
        <f>'Sensitivity Labels'!G125</f>
        <v>Emails</v>
      </c>
      <c r="G68" s="763"/>
      <c r="H68" s="743"/>
      <c r="I68" s="719"/>
      <c r="J68" s="346" t="str">
        <f>IF(OR('Emails, Files, &amp; Other Data'!X180=TRUE,'Emails, Files, &amp; Other Data'!X181=TRUE,'Emails, Files, &amp; Other Data'!X182=TRUE),"Yes","No")</f>
        <v>No</v>
      </c>
      <c r="K68" s="347"/>
      <c r="L68" s="347"/>
      <c r="M68" s="348" t="b">
        <f>'Emails, Files, &amp; Other Data'!J181</f>
        <v>0</v>
      </c>
      <c r="N68" s="347" t="str">
        <f>N64</f>
        <v>Let users assign permissions when they apply the label</v>
      </c>
      <c r="O68" s="349" t="str">
        <f>O$12</f>
        <v>Content Marking</v>
      </c>
      <c r="P68" s="691"/>
      <c r="Q68" s="716"/>
      <c r="R68" s="718"/>
      <c r="S68" s="720"/>
      <c r="T68" s="718"/>
      <c r="U68" s="720"/>
      <c r="V68" s="730"/>
    </row>
    <row r="69" spans="1:22" ht="14.5" customHeight="1" x14ac:dyDescent="0.35">
      <c r="A69" s="732"/>
      <c r="B69" s="743"/>
      <c r="C69" s="745"/>
      <c r="D69" s="738"/>
      <c r="E69" s="340" t="b">
        <f>'Sensitivity Labels'!F127</f>
        <v>0</v>
      </c>
      <c r="F69" s="341" t="str">
        <f>'Sensitivity Labels'!G127</f>
        <v>Meetings</v>
      </c>
      <c r="G69" s="763"/>
      <c r="H69" s="743"/>
      <c r="I69" s="719"/>
      <c r="J69" s="693" t="str">
        <f>IF('Emails, Files, &amp; Other Data'!AB180=TRUE,"Yes","No")</f>
        <v>No</v>
      </c>
      <c r="K69" s="347"/>
      <c r="L69" s="347"/>
      <c r="M69" s="347"/>
      <c r="N69" s="347"/>
      <c r="O69" s="699" t="str">
        <f>O$13</f>
        <v>Auto-labeling for files and emails: "Client-side Auto-Labeling"</v>
      </c>
      <c r="P69" s="691"/>
      <c r="Q69" s="721" t="str">
        <f>IF('Groups &amp; Sites'!H141=TRUE,"Yes","No")</f>
        <v>No</v>
      </c>
      <c r="R69" s="722" t="str">
        <f>R$13</f>
        <v>Let Microsoft 365 Group owners add people outside your organization to the group as guests.</v>
      </c>
      <c r="S69" s="719" t="str">
        <f>IF('Groups &amp; Sites'!K140=TRUE,"Yes","No")</f>
        <v>No</v>
      </c>
      <c r="T69" s="723" t="str">
        <f>T$13</f>
        <v>Use Microsoft Entra Conditional Access to protect labeled SharePoint sites</v>
      </c>
      <c r="U69" s="724" t="str">
        <f>IF(OR('Groups &amp; Sites'!S142=TRUE,'Groups &amp; Sites'!S143=TRUE,'Groups &amp; Sites'!S144=TRUE),"Yes","No")</f>
        <v>No</v>
      </c>
      <c r="V69" s="725" t="str">
        <f>V$13</f>
        <v>Teams shared channels</v>
      </c>
    </row>
    <row r="70" spans="1:22" ht="15" thickBot="1" x14ac:dyDescent="0.4">
      <c r="A70" s="733"/>
      <c r="B70" s="744"/>
      <c r="C70" s="746"/>
      <c r="D70" s="739"/>
      <c r="E70" s="350" t="b">
        <f>'Sensitivity Labels'!F129</f>
        <v>0</v>
      </c>
      <c r="F70" s="351" t="str">
        <f>'Sensitivity Labels'!G129</f>
        <v>Groups &amp; Sites</v>
      </c>
      <c r="G70" s="764"/>
      <c r="H70" s="744"/>
      <c r="I70" s="765"/>
      <c r="J70" s="694"/>
      <c r="K70" s="352"/>
      <c r="L70" s="352"/>
      <c r="M70" s="352"/>
      <c r="N70" s="352"/>
      <c r="O70" s="700"/>
      <c r="P70" s="692"/>
      <c r="Q70" s="715"/>
      <c r="R70" s="723"/>
      <c r="S70" s="719"/>
      <c r="T70" s="723"/>
      <c r="U70" s="719"/>
      <c r="V70" s="726"/>
    </row>
    <row r="71" spans="1:22" ht="14.5" customHeight="1" x14ac:dyDescent="0.35">
      <c r="A71" s="735">
        <f>A67+1</f>
        <v>16</v>
      </c>
      <c r="B71" s="740">
        <f>'Sensitivity Labels'!C131</f>
        <v>0</v>
      </c>
      <c r="C71" s="747">
        <f>'Sensitivity Labels'!D131</f>
        <v>0</v>
      </c>
      <c r="D71" s="541">
        <f>'Sensitivity Labels'!E131</f>
        <v>0</v>
      </c>
      <c r="E71" s="60" t="b">
        <f>'Sensitivity Labels'!F131</f>
        <v>0</v>
      </c>
      <c r="F71" s="62" t="str">
        <f>'Sensitivity Labels'!G131</f>
        <v>Files &amp; Other Data assets</v>
      </c>
      <c r="G71" s="766">
        <f>'Sensitivity Labels'!I131</f>
        <v>0</v>
      </c>
      <c r="H71" s="740">
        <f>'Sensitivity Labels'!J131</f>
        <v>0</v>
      </c>
      <c r="I71" s="769">
        <f>'Sensitivity Labels'!K131</f>
        <v>0</v>
      </c>
      <c r="J71" s="311" t="str">
        <f>IF(OR(M71=TRUE,M72=TRUE),"Encryption",(IF(K71=TRUE,"Remove Encryption","No Encryption")))</f>
        <v>No Encryption</v>
      </c>
      <c r="K71" s="306" t="b">
        <f>'Emails, Files, &amp; Other Data'!H192</f>
        <v>0</v>
      </c>
      <c r="L71" s="307" t="str">
        <f>L67</f>
        <v>Remove access control settings if already applied to items</v>
      </c>
      <c r="M71" s="306" t="b">
        <f>'Emails, Files, &amp; Other Data'!J192</f>
        <v>0</v>
      </c>
      <c r="N71" s="307" t="str">
        <f>N67</f>
        <v>Assign Permissions now</v>
      </c>
      <c r="O71" s="312" t="str">
        <f>O$11</f>
        <v>Access Control</v>
      </c>
      <c r="P71" s="688" t="str">
        <f>IF(E73=TRUE,"Yes","No")</f>
        <v>No</v>
      </c>
      <c r="Q71" s="701" t="str">
        <f>IF(OR('Groups &amp; Sites'!H148=INputs!AN$3,'Groups &amp; Sites'!H148=INputs!AN$4),"Yes","No")</f>
        <v>No</v>
      </c>
      <c r="R71" s="703" t="str">
        <f>R$11</f>
        <v>Privacy and external user access</v>
      </c>
      <c r="S71" s="705" t="str">
        <f>IF('Groups &amp; Sites'!K148=TRUE,"Yes","No")</f>
        <v>No</v>
      </c>
      <c r="T71" s="703" t="str">
        <f>T$11</f>
        <v>Content can be shared with</v>
      </c>
      <c r="U71" s="705" t="str">
        <f>IF('Groups &amp; Sites'!S149=TRUE,"Yes","No")</f>
        <v>No</v>
      </c>
      <c r="V71" s="727" t="str">
        <f>V$11</f>
        <v>Allow users to discover private teams that have this label applied.</v>
      </c>
    </row>
    <row r="72" spans="1:22" ht="14.5" x14ac:dyDescent="0.35">
      <c r="A72" s="735"/>
      <c r="B72" s="741"/>
      <c r="C72" s="748"/>
      <c r="D72" s="542"/>
      <c r="E72" s="64" t="b">
        <f>'Sensitivity Labels'!F133</f>
        <v>0</v>
      </c>
      <c r="F72" t="str">
        <f>'Sensitivity Labels'!G133</f>
        <v>Emails</v>
      </c>
      <c r="G72" s="767"/>
      <c r="H72" s="741"/>
      <c r="I72" s="770"/>
      <c r="J72" s="313" t="str">
        <f>IF(OR('Emails, Files, &amp; Other Data'!X192=TRUE,'Emails, Files, &amp; Other Data'!X193=TRUE,'Emails, Files, &amp; Other Data'!X194=TRUE),"Yes","No")</f>
        <v>No</v>
      </c>
      <c r="K72" s="308"/>
      <c r="L72" s="308"/>
      <c r="M72" s="309" t="b">
        <f>'Emails, Files, &amp; Other Data'!J193</f>
        <v>0</v>
      </c>
      <c r="N72" s="308" t="str">
        <f>N68</f>
        <v>Let users assign permissions when they apply the label</v>
      </c>
      <c r="O72" s="314" t="str">
        <f>O$12</f>
        <v>Content Marking</v>
      </c>
      <c r="P72" s="689"/>
      <c r="Q72" s="702"/>
      <c r="R72" s="704"/>
      <c r="S72" s="706"/>
      <c r="T72" s="704"/>
      <c r="U72" s="706"/>
      <c r="V72" s="728"/>
    </row>
    <row r="73" spans="1:22" ht="14.5" customHeight="1" x14ac:dyDescent="0.35">
      <c r="A73" s="735"/>
      <c r="B73" s="741"/>
      <c r="C73" s="748"/>
      <c r="D73" s="542"/>
      <c r="E73" s="64" t="b">
        <f>'Sensitivity Labels'!F135</f>
        <v>0</v>
      </c>
      <c r="F73" t="str">
        <f>'Sensitivity Labels'!G135</f>
        <v>Meetings</v>
      </c>
      <c r="G73" s="767"/>
      <c r="H73" s="741"/>
      <c r="I73" s="770"/>
      <c r="J73" s="686" t="str">
        <f>IF('Emails, Files, &amp; Other Data'!AB192=TRUE,"Yes","No")</f>
        <v>No</v>
      </c>
      <c r="K73" s="308"/>
      <c r="L73" s="308"/>
      <c r="M73" s="308"/>
      <c r="N73" s="308"/>
      <c r="O73" s="697" t="str">
        <f>O$13</f>
        <v>Auto-labeling for files and emails: "Client-side Auto-Labeling"</v>
      </c>
      <c r="P73" s="689"/>
      <c r="Q73" s="707" t="str">
        <f>IF('Groups &amp; Sites'!H150=TRUE,"Yes","No")</f>
        <v>No</v>
      </c>
      <c r="R73" s="709" t="str">
        <f>R$13</f>
        <v>Let Microsoft 365 Group owners add people outside your organization to the group as guests.</v>
      </c>
      <c r="S73" s="711" t="str">
        <f>IF('Groups &amp; Sites'!K149=TRUE,"Yes","No")</f>
        <v>No</v>
      </c>
      <c r="T73" s="713" t="str">
        <f>T$13</f>
        <v>Use Microsoft Entra Conditional Access to protect labeled SharePoint sites</v>
      </c>
      <c r="U73" s="714" t="str">
        <f>IF(OR('Groups &amp; Sites'!S151=TRUE,'Groups &amp; Sites'!S152=TRUE,'Groups &amp; Sites'!S153=TRUE),"Yes","No")</f>
        <v>No</v>
      </c>
      <c r="V73" s="695" t="str">
        <f>V$13</f>
        <v>Teams shared channels</v>
      </c>
    </row>
    <row r="74" spans="1:22" ht="15" thickBot="1" x14ac:dyDescent="0.4">
      <c r="A74" s="735"/>
      <c r="B74" s="742"/>
      <c r="C74" s="749"/>
      <c r="D74" s="543"/>
      <c r="E74" s="69" t="b">
        <f>'Sensitivity Labels'!F137</f>
        <v>0</v>
      </c>
      <c r="F74" s="67" t="str">
        <f>'Sensitivity Labels'!G137</f>
        <v>Groups &amp; Sites</v>
      </c>
      <c r="G74" s="768"/>
      <c r="H74" s="742"/>
      <c r="I74" s="771"/>
      <c r="J74" s="687"/>
      <c r="K74" s="310"/>
      <c r="L74" s="310"/>
      <c r="M74" s="310"/>
      <c r="N74" s="310"/>
      <c r="O74" s="698"/>
      <c r="P74" s="690"/>
      <c r="Q74" s="708"/>
      <c r="R74" s="710"/>
      <c r="S74" s="712"/>
      <c r="T74" s="710"/>
      <c r="U74" s="712"/>
      <c r="V74" s="696"/>
    </row>
    <row r="75" spans="1:22" ht="14.5" x14ac:dyDescent="0.35">
      <c r="A75" s="731">
        <f>A71+1</f>
        <v>17</v>
      </c>
      <c r="B75" s="743">
        <f>'Sensitivity Labels'!C139</f>
        <v>0</v>
      </c>
      <c r="C75" s="745">
        <f>'Sensitivity Labels'!D139</f>
        <v>0</v>
      </c>
      <c r="D75" s="737">
        <f>'Sensitivity Labels'!E139</f>
        <v>0</v>
      </c>
      <c r="E75" s="340" t="b">
        <f>'Sensitivity Labels'!F139</f>
        <v>0</v>
      </c>
      <c r="F75" s="341" t="str">
        <f>'Sensitivity Labels'!G139</f>
        <v>Files &amp; Other Data assets</v>
      </c>
      <c r="G75" s="763">
        <f>'Sensitivity Labels'!I139</f>
        <v>0</v>
      </c>
      <c r="H75" s="743">
        <f>'Sensitivity Labels'!J139</f>
        <v>0</v>
      </c>
      <c r="I75" s="719">
        <f>'Sensitivity Labels'!K139</f>
        <v>0</v>
      </c>
      <c r="J75" s="342" t="str">
        <f>IF(OR(M75=TRUE,M76=TRUE),"Encryption",(IF(K75=TRUE,"Remove Encryption","No Encryption")))</f>
        <v>No Encryption</v>
      </c>
      <c r="K75" s="343" t="b">
        <f>'Emails, Files, &amp; Other Data'!H204</f>
        <v>0</v>
      </c>
      <c r="L75" s="344" t="str">
        <f>L71</f>
        <v>Remove access control settings if already applied to items</v>
      </c>
      <c r="M75" s="343" t="b">
        <f>'Emails, Files, &amp; Other Data'!J204</f>
        <v>0</v>
      </c>
      <c r="N75" s="344" t="str">
        <f>N71</f>
        <v>Assign Permissions now</v>
      </c>
      <c r="O75" s="345" t="str">
        <f>O$11</f>
        <v>Access Control</v>
      </c>
      <c r="P75" s="691" t="str">
        <f>IF(E77=TRUE,"Yes","No")</f>
        <v>No</v>
      </c>
      <c r="Q75" s="715" t="str">
        <f>IF(OR('Groups &amp; Sites'!H157=INputs!AN$3,'Groups &amp; Sites'!H157=INputs!AN$4),"Yes","No")</f>
        <v>No</v>
      </c>
      <c r="R75" s="717" t="str">
        <f>R$11</f>
        <v>Privacy and external user access</v>
      </c>
      <c r="S75" s="719" t="str">
        <f>IF('Groups &amp; Sites'!K157=TRUE,"Yes","No")</f>
        <v>No</v>
      </c>
      <c r="T75" s="717" t="str">
        <f>T$11</f>
        <v>Content can be shared with</v>
      </c>
      <c r="U75" s="719" t="str">
        <f>IF('Groups &amp; Sites'!S158=TRUE,"Yes","No")</f>
        <v>No</v>
      </c>
      <c r="V75" s="729" t="str">
        <f>V$11</f>
        <v>Allow users to discover private teams that have this label applied.</v>
      </c>
    </row>
    <row r="76" spans="1:22" ht="14.5" x14ac:dyDescent="0.35">
      <c r="A76" s="732"/>
      <c r="B76" s="743"/>
      <c r="C76" s="745"/>
      <c r="D76" s="738"/>
      <c r="E76" s="340" t="b">
        <f>'Sensitivity Labels'!F141</f>
        <v>0</v>
      </c>
      <c r="F76" s="341" t="str">
        <f>'Sensitivity Labels'!G141</f>
        <v>Emails</v>
      </c>
      <c r="G76" s="763"/>
      <c r="H76" s="743"/>
      <c r="I76" s="719"/>
      <c r="J76" s="346" t="str">
        <f>IF(OR('Emails, Files, &amp; Other Data'!X204=TRUE,'Emails, Files, &amp; Other Data'!X205=TRUE,'Emails, Files, &amp; Other Data'!X206=TRUE),"Yes","No")</f>
        <v>No</v>
      </c>
      <c r="K76" s="347"/>
      <c r="L76" s="347"/>
      <c r="M76" s="348" t="b">
        <f>'Emails, Files, &amp; Other Data'!J205</f>
        <v>0</v>
      </c>
      <c r="N76" s="347" t="str">
        <f>N72</f>
        <v>Let users assign permissions when they apply the label</v>
      </c>
      <c r="O76" s="349" t="str">
        <f>O$12</f>
        <v>Content Marking</v>
      </c>
      <c r="P76" s="691"/>
      <c r="Q76" s="716"/>
      <c r="R76" s="718"/>
      <c r="S76" s="720"/>
      <c r="T76" s="718"/>
      <c r="U76" s="720"/>
      <c r="V76" s="730"/>
    </row>
    <row r="77" spans="1:22" ht="14.5" customHeight="1" x14ac:dyDescent="0.35">
      <c r="A77" s="732"/>
      <c r="B77" s="743"/>
      <c r="C77" s="745"/>
      <c r="D77" s="738"/>
      <c r="E77" s="340" t="b">
        <f>'Sensitivity Labels'!F143</f>
        <v>0</v>
      </c>
      <c r="F77" s="341" t="str">
        <f>'Sensitivity Labels'!G143</f>
        <v>Meetings</v>
      </c>
      <c r="G77" s="763"/>
      <c r="H77" s="743"/>
      <c r="I77" s="719"/>
      <c r="J77" s="693" t="str">
        <f>IF('Emails, Files, &amp; Other Data'!AB204=TRUE,"Yes","No")</f>
        <v>No</v>
      </c>
      <c r="K77" s="347"/>
      <c r="L77" s="347"/>
      <c r="M77" s="347"/>
      <c r="N77" s="347"/>
      <c r="O77" s="699" t="str">
        <f>O$13</f>
        <v>Auto-labeling for files and emails: "Client-side Auto-Labeling"</v>
      </c>
      <c r="P77" s="691"/>
      <c r="Q77" s="721" t="str">
        <f>IF('Groups &amp; Sites'!H159=TRUE,"Yes","No")</f>
        <v>No</v>
      </c>
      <c r="R77" s="722" t="str">
        <f>R$13</f>
        <v>Let Microsoft 365 Group owners add people outside your organization to the group as guests.</v>
      </c>
      <c r="S77" s="719" t="str">
        <f>IF('Groups &amp; Sites'!K158=TRUE,"Yes","No")</f>
        <v>No</v>
      </c>
      <c r="T77" s="723" t="str">
        <f>T$13</f>
        <v>Use Microsoft Entra Conditional Access to protect labeled SharePoint sites</v>
      </c>
      <c r="U77" s="724" t="str">
        <f>IF(OR('Groups &amp; Sites'!S160=TRUE,'Groups &amp; Sites'!S161=TRUE,'Groups &amp; Sites'!S162=TRUE),"Yes","No")</f>
        <v>No</v>
      </c>
      <c r="V77" s="725" t="str">
        <f>V$13</f>
        <v>Teams shared channels</v>
      </c>
    </row>
    <row r="78" spans="1:22" ht="15" thickBot="1" x14ac:dyDescent="0.4">
      <c r="A78" s="733"/>
      <c r="B78" s="744"/>
      <c r="C78" s="746"/>
      <c r="D78" s="739"/>
      <c r="E78" s="350" t="b">
        <f>'Sensitivity Labels'!F145</f>
        <v>0</v>
      </c>
      <c r="F78" s="351" t="str">
        <f>'Sensitivity Labels'!G145</f>
        <v>Groups &amp; Sites</v>
      </c>
      <c r="G78" s="764"/>
      <c r="H78" s="744"/>
      <c r="I78" s="765"/>
      <c r="J78" s="694"/>
      <c r="K78" s="352"/>
      <c r="L78" s="352"/>
      <c r="M78" s="352"/>
      <c r="N78" s="352"/>
      <c r="O78" s="700"/>
      <c r="P78" s="692"/>
      <c r="Q78" s="715"/>
      <c r="R78" s="723"/>
      <c r="S78" s="719"/>
      <c r="T78" s="723"/>
      <c r="U78" s="719"/>
      <c r="V78" s="726"/>
    </row>
    <row r="79" spans="1:22" ht="14.5" x14ac:dyDescent="0.35">
      <c r="A79" s="735">
        <f>A75+1</f>
        <v>18</v>
      </c>
      <c r="B79" s="740">
        <f>'Sensitivity Labels'!C147</f>
        <v>0</v>
      </c>
      <c r="C79" s="747">
        <f>'Sensitivity Labels'!D147</f>
        <v>0</v>
      </c>
      <c r="D79" s="541">
        <f>'Sensitivity Labels'!E147</f>
        <v>0</v>
      </c>
      <c r="E79" s="60" t="b">
        <f>'Sensitivity Labels'!F147</f>
        <v>0</v>
      </c>
      <c r="F79" s="62" t="str">
        <f>'Sensitivity Labels'!G147</f>
        <v>Files &amp; Other Data assets</v>
      </c>
      <c r="G79" s="766">
        <f>'Sensitivity Labels'!I147</f>
        <v>0</v>
      </c>
      <c r="H79" s="740">
        <f>'Sensitivity Labels'!J147</f>
        <v>0</v>
      </c>
      <c r="I79" s="769">
        <f>'Sensitivity Labels'!K147</f>
        <v>0</v>
      </c>
      <c r="J79" s="311" t="str">
        <f>IF(OR(M79=TRUE,M80=TRUE),"Encryption",(IF(K79=TRUE,"Remove Encryption","No Encryption")))</f>
        <v>No Encryption</v>
      </c>
      <c r="K79" s="306" t="b">
        <f>'Emails, Files, &amp; Other Data'!H216</f>
        <v>0</v>
      </c>
      <c r="L79" s="307" t="str">
        <f>L75</f>
        <v>Remove access control settings if already applied to items</v>
      </c>
      <c r="M79" s="306" t="b">
        <f>'Emails, Files, &amp; Other Data'!J216</f>
        <v>0</v>
      </c>
      <c r="N79" s="307" t="str">
        <f>N75</f>
        <v>Assign Permissions now</v>
      </c>
      <c r="O79" s="312" t="str">
        <f>O$11</f>
        <v>Access Control</v>
      </c>
      <c r="P79" s="688" t="str">
        <f>IF(E81=TRUE,"Yes","No")</f>
        <v>No</v>
      </c>
      <c r="Q79" s="701" t="str">
        <f>IF(OR('Groups &amp; Sites'!H166=INputs!AN$3,'Groups &amp; Sites'!H166=INputs!AN$4),"Yes","No")</f>
        <v>No</v>
      </c>
      <c r="R79" s="703" t="str">
        <f>R$11</f>
        <v>Privacy and external user access</v>
      </c>
      <c r="S79" s="705" t="str">
        <f>IF('Groups &amp; Sites'!K166=TRUE,"Yes","No")</f>
        <v>No</v>
      </c>
      <c r="T79" s="703" t="str">
        <f>T$11</f>
        <v>Content can be shared with</v>
      </c>
      <c r="U79" s="705" t="str">
        <f>IF('Groups &amp; Sites'!S167=TRUE,"Yes","No")</f>
        <v>No</v>
      </c>
      <c r="V79" s="727" t="str">
        <f>V$11</f>
        <v>Allow users to discover private teams that have this label applied.</v>
      </c>
    </row>
    <row r="80" spans="1:22" ht="14.5" x14ac:dyDescent="0.35">
      <c r="A80" s="735"/>
      <c r="B80" s="741"/>
      <c r="C80" s="748"/>
      <c r="D80" s="542"/>
      <c r="E80" s="64" t="b">
        <f>'Sensitivity Labels'!F149</f>
        <v>0</v>
      </c>
      <c r="F80" t="str">
        <f>'Sensitivity Labels'!G149</f>
        <v>Emails</v>
      </c>
      <c r="G80" s="767"/>
      <c r="H80" s="741"/>
      <c r="I80" s="770"/>
      <c r="J80" s="313" t="str">
        <f>IF(OR('Emails, Files, &amp; Other Data'!X216=TRUE,'Emails, Files, &amp; Other Data'!X217=TRUE,'Emails, Files, &amp; Other Data'!X218=TRUE),"Yes","No")</f>
        <v>No</v>
      </c>
      <c r="K80" s="308"/>
      <c r="L80" s="308"/>
      <c r="M80" s="309" t="b">
        <f>'Emails, Files, &amp; Other Data'!J217</f>
        <v>0</v>
      </c>
      <c r="N80" s="308" t="str">
        <f>N76</f>
        <v>Let users assign permissions when they apply the label</v>
      </c>
      <c r="O80" s="314" t="str">
        <f>O$12</f>
        <v>Content Marking</v>
      </c>
      <c r="P80" s="689"/>
      <c r="Q80" s="702"/>
      <c r="R80" s="704"/>
      <c r="S80" s="706"/>
      <c r="T80" s="704"/>
      <c r="U80" s="706"/>
      <c r="V80" s="728"/>
    </row>
    <row r="81" spans="1:22" ht="14.5" x14ac:dyDescent="0.35">
      <c r="A81" s="735"/>
      <c r="B81" s="741"/>
      <c r="C81" s="748"/>
      <c r="D81" s="542"/>
      <c r="E81" s="64" t="b">
        <f>'Sensitivity Labels'!F151</f>
        <v>0</v>
      </c>
      <c r="F81" t="str">
        <f>'Sensitivity Labels'!G151</f>
        <v>Meetings</v>
      </c>
      <c r="G81" s="767"/>
      <c r="H81" s="741"/>
      <c r="I81" s="770"/>
      <c r="J81" s="686" t="str">
        <f>IF('Emails, Files, &amp; Other Data'!AB216=TRUE,"Yes","No")</f>
        <v>No</v>
      </c>
      <c r="K81" s="308"/>
      <c r="L81" s="308"/>
      <c r="M81" s="308"/>
      <c r="N81" s="308"/>
      <c r="O81" s="697" t="str">
        <f>O$13</f>
        <v>Auto-labeling for files and emails: "Client-side Auto-Labeling"</v>
      </c>
      <c r="P81" s="689"/>
      <c r="Q81" s="707" t="str">
        <f>IF('Groups &amp; Sites'!H168=TRUE,"Yes","No")</f>
        <v>No</v>
      </c>
      <c r="R81" s="709" t="str">
        <f>R$13</f>
        <v>Let Microsoft 365 Group owners add people outside your organization to the group as guests.</v>
      </c>
      <c r="S81" s="711" t="str">
        <f>IF('Groups &amp; Sites'!K167=TRUE,"Yes","No")</f>
        <v>No</v>
      </c>
      <c r="T81" s="713" t="str">
        <f>T$13</f>
        <v>Use Microsoft Entra Conditional Access to protect labeled SharePoint sites</v>
      </c>
      <c r="U81" s="714" t="str">
        <f>IF(OR('Groups &amp; Sites'!S169=TRUE,'Groups &amp; Sites'!S170=TRUE,'Groups &amp; Sites'!S171=TRUE),"Yes","No")</f>
        <v>No</v>
      </c>
      <c r="V81" s="695" t="str">
        <f>V$13</f>
        <v>Teams shared channels</v>
      </c>
    </row>
    <row r="82" spans="1:22" ht="15" thickBot="1" x14ac:dyDescent="0.4">
      <c r="A82" s="735"/>
      <c r="B82" s="742"/>
      <c r="C82" s="749"/>
      <c r="D82" s="543"/>
      <c r="E82" s="69" t="b">
        <f>'Sensitivity Labels'!F153</f>
        <v>0</v>
      </c>
      <c r="F82" s="67" t="str">
        <f>'Sensitivity Labels'!G153</f>
        <v>Groups &amp; Sites</v>
      </c>
      <c r="G82" s="768"/>
      <c r="H82" s="742"/>
      <c r="I82" s="771"/>
      <c r="J82" s="687"/>
      <c r="K82" s="310"/>
      <c r="L82" s="310"/>
      <c r="M82" s="310"/>
      <c r="N82" s="310"/>
      <c r="O82" s="698"/>
      <c r="P82" s="690"/>
      <c r="Q82" s="708"/>
      <c r="R82" s="710"/>
      <c r="S82" s="712"/>
      <c r="T82" s="710"/>
      <c r="U82" s="712"/>
      <c r="V82" s="696"/>
    </row>
    <row r="83" spans="1:22" ht="14.5" customHeight="1" x14ac:dyDescent="0.35">
      <c r="A83" s="731">
        <f>A79+1</f>
        <v>19</v>
      </c>
      <c r="B83" s="743">
        <f>'Sensitivity Labels'!C155</f>
        <v>0</v>
      </c>
      <c r="C83" s="745">
        <f>'Sensitivity Labels'!D155</f>
        <v>0</v>
      </c>
      <c r="D83" s="737">
        <f>'Sensitivity Labels'!E155</f>
        <v>0</v>
      </c>
      <c r="E83" s="340" t="b">
        <f>'Sensitivity Labels'!F155</f>
        <v>0</v>
      </c>
      <c r="F83" s="341" t="str">
        <f>'Sensitivity Labels'!G155</f>
        <v>Files &amp; Other Data assets</v>
      </c>
      <c r="G83" s="763">
        <f>'Sensitivity Labels'!I155</f>
        <v>0</v>
      </c>
      <c r="H83" s="743">
        <f>'Sensitivity Labels'!J155</f>
        <v>0</v>
      </c>
      <c r="I83" s="719">
        <f>'Sensitivity Labels'!K155</f>
        <v>0</v>
      </c>
      <c r="J83" s="342" t="str">
        <f>IF(OR(M83=TRUE,M84=TRUE),"Encryption",(IF(K83=TRUE,"Remove Encryption","No Encryption")))</f>
        <v>No Encryption</v>
      </c>
      <c r="K83" s="343" t="b">
        <f>'Emails, Files, &amp; Other Data'!H228</f>
        <v>0</v>
      </c>
      <c r="L83" s="344" t="str">
        <f>L79</f>
        <v>Remove access control settings if already applied to items</v>
      </c>
      <c r="M83" s="343" t="b">
        <f>'Emails, Files, &amp; Other Data'!J228</f>
        <v>0</v>
      </c>
      <c r="N83" s="344" t="str">
        <f>N79</f>
        <v>Assign Permissions now</v>
      </c>
      <c r="O83" s="345" t="str">
        <f>O$11</f>
        <v>Access Control</v>
      </c>
      <c r="P83" s="691" t="str">
        <f>IF(E85=TRUE,"Yes","No")</f>
        <v>No</v>
      </c>
      <c r="Q83" s="715" t="str">
        <f>IF(OR('Groups &amp; Sites'!H175=INputs!AN$3,'Groups &amp; Sites'!H175=INputs!AN$4),"Yes","No")</f>
        <v>No</v>
      </c>
      <c r="R83" s="717" t="str">
        <f>R$11</f>
        <v>Privacy and external user access</v>
      </c>
      <c r="S83" s="719" t="str">
        <f>IF('Groups &amp; Sites'!K175=TRUE,"Yes","No")</f>
        <v>No</v>
      </c>
      <c r="T83" s="717" t="str">
        <f>T$11</f>
        <v>Content can be shared with</v>
      </c>
      <c r="U83" s="719" t="str">
        <f>IF('Groups &amp; Sites'!S176=TRUE,"Yes","No")</f>
        <v>No</v>
      </c>
      <c r="V83" s="729" t="str">
        <f>V$11</f>
        <v>Allow users to discover private teams that have this label applied.</v>
      </c>
    </row>
    <row r="84" spans="1:22" ht="14.5" x14ac:dyDescent="0.35">
      <c r="A84" s="732"/>
      <c r="B84" s="743"/>
      <c r="C84" s="745"/>
      <c r="D84" s="738"/>
      <c r="E84" s="340" t="b">
        <f>'Sensitivity Labels'!F157</f>
        <v>0</v>
      </c>
      <c r="F84" s="341" t="str">
        <f>'Sensitivity Labels'!G157</f>
        <v>Emails</v>
      </c>
      <c r="G84" s="763"/>
      <c r="H84" s="743"/>
      <c r="I84" s="719"/>
      <c r="J84" s="346" t="str">
        <f>IF(OR('Emails, Files, &amp; Other Data'!X228=TRUE,'Emails, Files, &amp; Other Data'!X229=TRUE,'Emails, Files, &amp; Other Data'!X230=TRUE),"Yes","No")</f>
        <v>No</v>
      </c>
      <c r="K84" s="347"/>
      <c r="L84" s="347"/>
      <c r="M84" s="348" t="b">
        <f>'Emails, Files, &amp; Other Data'!J229</f>
        <v>0</v>
      </c>
      <c r="N84" s="347" t="str">
        <f>N80</f>
        <v>Let users assign permissions when they apply the label</v>
      </c>
      <c r="O84" s="349" t="str">
        <f>O$12</f>
        <v>Content Marking</v>
      </c>
      <c r="P84" s="691"/>
      <c r="Q84" s="716"/>
      <c r="R84" s="718"/>
      <c r="S84" s="720"/>
      <c r="T84" s="718"/>
      <c r="U84" s="720"/>
      <c r="V84" s="730"/>
    </row>
    <row r="85" spans="1:22" ht="14.5" customHeight="1" x14ac:dyDescent="0.35">
      <c r="A85" s="732"/>
      <c r="B85" s="743"/>
      <c r="C85" s="745"/>
      <c r="D85" s="738"/>
      <c r="E85" s="340" t="b">
        <f>'Sensitivity Labels'!F159</f>
        <v>0</v>
      </c>
      <c r="F85" s="341" t="str">
        <f>'Sensitivity Labels'!G159</f>
        <v>Meetings</v>
      </c>
      <c r="G85" s="763"/>
      <c r="H85" s="743"/>
      <c r="I85" s="719"/>
      <c r="J85" s="693" t="str">
        <f>IF('Emails, Files, &amp; Other Data'!AB228=TRUE,"Yes","No")</f>
        <v>No</v>
      </c>
      <c r="K85" s="347"/>
      <c r="L85" s="347"/>
      <c r="M85" s="347"/>
      <c r="N85" s="347"/>
      <c r="O85" s="699" t="str">
        <f>O$13</f>
        <v>Auto-labeling for files and emails: "Client-side Auto-Labeling"</v>
      </c>
      <c r="P85" s="691"/>
      <c r="Q85" s="721" t="str">
        <f>IF('Groups &amp; Sites'!H177=TRUE,"Yes","No")</f>
        <v>No</v>
      </c>
      <c r="R85" s="722" t="str">
        <f>R$13</f>
        <v>Let Microsoft 365 Group owners add people outside your organization to the group as guests.</v>
      </c>
      <c r="S85" s="719" t="str">
        <f>IF('Groups &amp; Sites'!K176=TRUE,"Yes","No")</f>
        <v>No</v>
      </c>
      <c r="T85" s="723" t="str">
        <f>T$13</f>
        <v>Use Microsoft Entra Conditional Access to protect labeled SharePoint sites</v>
      </c>
      <c r="U85" s="724" t="str">
        <f>IF(OR('Groups &amp; Sites'!S178=TRUE,'Groups &amp; Sites'!S179=TRUE,'Groups &amp; Sites'!S180=TRUE),"Yes","No")</f>
        <v>No</v>
      </c>
      <c r="V85" s="725" t="str">
        <f>V$13</f>
        <v>Teams shared channels</v>
      </c>
    </row>
    <row r="86" spans="1:22" ht="15" thickBot="1" x14ac:dyDescent="0.4">
      <c r="A86" s="733"/>
      <c r="B86" s="744"/>
      <c r="C86" s="746"/>
      <c r="D86" s="739"/>
      <c r="E86" s="350" t="b">
        <f>'Sensitivity Labels'!F161</f>
        <v>0</v>
      </c>
      <c r="F86" s="351" t="str">
        <f>'Sensitivity Labels'!G161</f>
        <v>Groups &amp; Sites</v>
      </c>
      <c r="G86" s="764"/>
      <c r="H86" s="744"/>
      <c r="I86" s="765"/>
      <c r="J86" s="694"/>
      <c r="K86" s="352"/>
      <c r="L86" s="352"/>
      <c r="M86" s="352"/>
      <c r="N86" s="352"/>
      <c r="O86" s="700"/>
      <c r="P86" s="692"/>
      <c r="Q86" s="715"/>
      <c r="R86" s="723"/>
      <c r="S86" s="719"/>
      <c r="T86" s="723"/>
      <c r="U86" s="719"/>
      <c r="V86" s="726"/>
    </row>
    <row r="87" spans="1:22" ht="14.5" customHeight="1" x14ac:dyDescent="0.35">
      <c r="A87" s="735">
        <f>A83+1</f>
        <v>20</v>
      </c>
      <c r="B87" s="740">
        <f>'Sensitivity Labels'!C163</f>
        <v>0</v>
      </c>
      <c r="C87" s="747">
        <f>'Sensitivity Labels'!D163</f>
        <v>0</v>
      </c>
      <c r="D87" s="541">
        <f>'Sensitivity Labels'!E163</f>
        <v>0</v>
      </c>
      <c r="E87" s="60" t="b">
        <f>'Sensitivity Labels'!F163</f>
        <v>0</v>
      </c>
      <c r="F87" s="62" t="str">
        <f>'Sensitivity Labels'!G163</f>
        <v>Files &amp; Other Data assets</v>
      </c>
      <c r="G87" s="766">
        <f>'Sensitivity Labels'!I163</f>
        <v>0</v>
      </c>
      <c r="H87" s="740">
        <f>'Sensitivity Labels'!J163</f>
        <v>0</v>
      </c>
      <c r="I87" s="769">
        <f>'Sensitivity Labels'!K163</f>
        <v>0</v>
      </c>
      <c r="J87" s="311" t="str">
        <f>IF(OR(M87=TRUE,M88=TRUE),"Encryption",(IF(K87=TRUE,"Remove Encryption","No Encryption")))</f>
        <v>No Encryption</v>
      </c>
      <c r="K87" s="306" t="b">
        <f>'Emails, Files, &amp; Other Data'!H240</f>
        <v>0</v>
      </c>
      <c r="L87" s="307" t="str">
        <f>L83</f>
        <v>Remove access control settings if already applied to items</v>
      </c>
      <c r="M87" s="306" t="b">
        <f>'Emails, Files, &amp; Other Data'!J240</f>
        <v>0</v>
      </c>
      <c r="N87" s="307" t="str">
        <f>N83</f>
        <v>Assign Permissions now</v>
      </c>
      <c r="O87" s="312" t="str">
        <f>O$11</f>
        <v>Access Control</v>
      </c>
      <c r="P87" s="688" t="str">
        <f>IF(E89=TRUE,"Yes","No")</f>
        <v>No</v>
      </c>
      <c r="Q87" s="701" t="str">
        <f>IF(OR('Groups &amp; Sites'!H184=INputs!AN$3,'Groups &amp; Sites'!H184=INputs!AN$4),"Yes","No")</f>
        <v>No</v>
      </c>
      <c r="R87" s="703" t="str">
        <f>R$11</f>
        <v>Privacy and external user access</v>
      </c>
      <c r="S87" s="705" t="str">
        <f>IF('Groups &amp; Sites'!K184=TRUE,"Yes","No")</f>
        <v>No</v>
      </c>
      <c r="T87" s="703" t="str">
        <f>T$11</f>
        <v>Content can be shared with</v>
      </c>
      <c r="U87" s="705" t="str">
        <f>IF('Groups &amp; Sites'!S185=TRUE,"Yes","No")</f>
        <v>No</v>
      </c>
      <c r="V87" s="727" t="str">
        <f>V$11</f>
        <v>Allow users to discover private teams that have this label applied.</v>
      </c>
    </row>
    <row r="88" spans="1:22" ht="14.5" x14ac:dyDescent="0.35">
      <c r="A88" s="735"/>
      <c r="B88" s="741"/>
      <c r="C88" s="748"/>
      <c r="D88" s="542"/>
      <c r="E88" s="64" t="b">
        <f>'Sensitivity Labels'!F165</f>
        <v>0</v>
      </c>
      <c r="F88" t="str">
        <f>'Sensitivity Labels'!G165</f>
        <v>Emails</v>
      </c>
      <c r="G88" s="767"/>
      <c r="H88" s="741"/>
      <c r="I88" s="770"/>
      <c r="J88" s="313" t="str">
        <f>IF(OR('Emails, Files, &amp; Other Data'!X240=TRUE,'Emails, Files, &amp; Other Data'!X241=TRUE,'Emails, Files, &amp; Other Data'!X242=TRUE),"Yes","No")</f>
        <v>No</v>
      </c>
      <c r="K88" s="308"/>
      <c r="L88" s="308"/>
      <c r="M88" s="309" t="b">
        <f>'Emails, Files, &amp; Other Data'!J241</f>
        <v>0</v>
      </c>
      <c r="N88" s="308" t="str">
        <f>N84</f>
        <v>Let users assign permissions when they apply the label</v>
      </c>
      <c r="O88" s="314" t="str">
        <f>O$12</f>
        <v>Content Marking</v>
      </c>
      <c r="P88" s="689"/>
      <c r="Q88" s="702"/>
      <c r="R88" s="704"/>
      <c r="S88" s="706"/>
      <c r="T88" s="704"/>
      <c r="U88" s="706"/>
      <c r="V88" s="728"/>
    </row>
    <row r="89" spans="1:22" ht="14.5" customHeight="1" x14ac:dyDescent="0.35">
      <c r="A89" s="735"/>
      <c r="B89" s="741"/>
      <c r="C89" s="748"/>
      <c r="D89" s="542"/>
      <c r="E89" s="64" t="b">
        <f>'Sensitivity Labels'!F167</f>
        <v>0</v>
      </c>
      <c r="F89" t="str">
        <f>'Sensitivity Labels'!G167</f>
        <v>Meetings</v>
      </c>
      <c r="G89" s="767"/>
      <c r="H89" s="741"/>
      <c r="I89" s="770"/>
      <c r="J89" s="686" t="str">
        <f>IF('Emails, Files, &amp; Other Data'!AB240=TRUE,"Yes","No")</f>
        <v>No</v>
      </c>
      <c r="K89" s="308"/>
      <c r="L89" s="308"/>
      <c r="M89" s="308"/>
      <c r="N89" s="308"/>
      <c r="O89" s="697" t="str">
        <f>O$13</f>
        <v>Auto-labeling for files and emails: "Client-side Auto-Labeling"</v>
      </c>
      <c r="P89" s="689"/>
      <c r="Q89" s="707" t="str">
        <f>IF('Groups &amp; Sites'!H186=TRUE,"Yes","No")</f>
        <v>No</v>
      </c>
      <c r="R89" s="709" t="str">
        <f>R$13</f>
        <v>Let Microsoft 365 Group owners add people outside your organization to the group as guests.</v>
      </c>
      <c r="S89" s="711" t="str">
        <f>IF('Groups &amp; Sites'!K185=TRUE,"Yes","No")</f>
        <v>No</v>
      </c>
      <c r="T89" s="713" t="str">
        <f>T$13</f>
        <v>Use Microsoft Entra Conditional Access to protect labeled SharePoint sites</v>
      </c>
      <c r="U89" s="714" t="str">
        <f>IF(OR('Groups &amp; Sites'!S187=TRUE,'Groups &amp; Sites'!S188=TRUE,'Groups &amp; Sites'!S189=TRUE),"Yes","No")</f>
        <v>No</v>
      </c>
      <c r="V89" s="695" t="str">
        <f>V$13</f>
        <v>Teams shared channels</v>
      </c>
    </row>
    <row r="90" spans="1:22" ht="15" thickBot="1" x14ac:dyDescent="0.4">
      <c r="A90" s="735"/>
      <c r="B90" s="742"/>
      <c r="C90" s="749"/>
      <c r="D90" s="543"/>
      <c r="E90" s="69" t="b">
        <f>'Sensitivity Labels'!F169</f>
        <v>0</v>
      </c>
      <c r="F90" s="67" t="str">
        <f>'Sensitivity Labels'!G169</f>
        <v>Groups &amp; Sites</v>
      </c>
      <c r="G90" s="768"/>
      <c r="H90" s="742"/>
      <c r="I90" s="771"/>
      <c r="J90" s="687"/>
      <c r="K90" s="310"/>
      <c r="L90" s="310"/>
      <c r="M90" s="310"/>
      <c r="N90" s="310"/>
      <c r="O90" s="698"/>
      <c r="P90" s="690"/>
      <c r="Q90" s="708"/>
      <c r="R90" s="710"/>
      <c r="S90" s="712"/>
      <c r="T90" s="710"/>
      <c r="U90" s="712"/>
      <c r="V90" s="696"/>
    </row>
  </sheetData>
  <autoFilter ref="B10:V90" xr:uid="{C1B4CC15-27BB-42A9-961C-60A3DF17B5EB}"/>
  <mergeCells count="467">
    <mergeCell ref="S4:T7"/>
    <mergeCell ref="U4:V7"/>
    <mergeCell ref="Q8:R8"/>
    <mergeCell ref="Q9:R9"/>
    <mergeCell ref="S8:T8"/>
    <mergeCell ref="S9:T9"/>
    <mergeCell ref="U8:V8"/>
    <mergeCell ref="U9:V9"/>
    <mergeCell ref="B4:B7"/>
    <mergeCell ref="D4:D7"/>
    <mergeCell ref="E4:F7"/>
    <mergeCell ref="G4:G7"/>
    <mergeCell ref="I4:I7"/>
    <mergeCell ref="J4:O7"/>
    <mergeCell ref="P4:P7"/>
    <mergeCell ref="Q4:R7"/>
    <mergeCell ref="A8:A9"/>
    <mergeCell ref="A4:A7"/>
    <mergeCell ref="E8:F8"/>
    <mergeCell ref="E9:F9"/>
    <mergeCell ref="V15:V16"/>
    <mergeCell ref="U15:U16"/>
    <mergeCell ref="V79:V80"/>
    <mergeCell ref="V83:V84"/>
    <mergeCell ref="V87:V88"/>
    <mergeCell ref="V43:V44"/>
    <mergeCell ref="V47:V48"/>
    <mergeCell ref="V51:V52"/>
    <mergeCell ref="V55:V56"/>
    <mergeCell ref="V59:V60"/>
    <mergeCell ref="V63:V64"/>
    <mergeCell ref="V67:V68"/>
    <mergeCell ref="V71:V72"/>
    <mergeCell ref="V75:V76"/>
    <mergeCell ref="V57:V58"/>
    <mergeCell ref="V61:V62"/>
    <mergeCell ref="V65:V66"/>
    <mergeCell ref="V69:V70"/>
    <mergeCell ref="V73:V74"/>
    <mergeCell ref="V77:V78"/>
    <mergeCell ref="V81:V82"/>
    <mergeCell ref="V85:V86"/>
    <mergeCell ref="V17:V18"/>
    <mergeCell ref="G87:G90"/>
    <mergeCell ref="H87:H90"/>
    <mergeCell ref="I87:I90"/>
    <mergeCell ref="H63:H66"/>
    <mergeCell ref="I63:I66"/>
    <mergeCell ref="G67:G70"/>
    <mergeCell ref="H67:H70"/>
    <mergeCell ref="I67:I70"/>
    <mergeCell ref="G71:G74"/>
    <mergeCell ref="H71:H74"/>
    <mergeCell ref="I71:I74"/>
    <mergeCell ref="G83:G86"/>
    <mergeCell ref="G75:G78"/>
    <mergeCell ref="H75:H78"/>
    <mergeCell ref="I75:I78"/>
    <mergeCell ref="G43:G46"/>
    <mergeCell ref="H43:H46"/>
    <mergeCell ref="I43:I46"/>
    <mergeCell ref="G47:G50"/>
    <mergeCell ref="H47:H50"/>
    <mergeCell ref="I47:I50"/>
    <mergeCell ref="H83:H86"/>
    <mergeCell ref="I83:I86"/>
    <mergeCell ref="I15:I18"/>
    <mergeCell ref="G19:G22"/>
    <mergeCell ref="H19:H22"/>
    <mergeCell ref="I19:I22"/>
    <mergeCell ref="G23:G26"/>
    <mergeCell ref="H23:H26"/>
    <mergeCell ref="I23:I26"/>
    <mergeCell ref="G27:G30"/>
    <mergeCell ref="H27:H30"/>
    <mergeCell ref="I27:I30"/>
    <mergeCell ref="G15:G18"/>
    <mergeCell ref="H15:H18"/>
    <mergeCell ref="I11:I14"/>
    <mergeCell ref="G79:G82"/>
    <mergeCell ref="H79:H82"/>
    <mergeCell ref="I79:I82"/>
    <mergeCell ref="G55:G58"/>
    <mergeCell ref="H55:H58"/>
    <mergeCell ref="I55:I58"/>
    <mergeCell ref="G51:G54"/>
    <mergeCell ref="H51:H54"/>
    <mergeCell ref="I51:I54"/>
    <mergeCell ref="G35:G38"/>
    <mergeCell ref="H35:H38"/>
    <mergeCell ref="I35:I38"/>
    <mergeCell ref="G39:G42"/>
    <mergeCell ref="G31:G34"/>
    <mergeCell ref="H31:H34"/>
    <mergeCell ref="I31:I34"/>
    <mergeCell ref="H39:H42"/>
    <mergeCell ref="I39:I42"/>
    <mergeCell ref="B67:B70"/>
    <mergeCell ref="C67:C70"/>
    <mergeCell ref="D67:D70"/>
    <mergeCell ref="B71:B74"/>
    <mergeCell ref="C71:C74"/>
    <mergeCell ref="D71:D74"/>
    <mergeCell ref="G59:G62"/>
    <mergeCell ref="H59:H62"/>
    <mergeCell ref="I59:I62"/>
    <mergeCell ref="G63:G66"/>
    <mergeCell ref="B59:B62"/>
    <mergeCell ref="C59:C62"/>
    <mergeCell ref="D59:D62"/>
    <mergeCell ref="B63:B66"/>
    <mergeCell ref="C63:C66"/>
    <mergeCell ref="D63:D66"/>
    <mergeCell ref="B51:B54"/>
    <mergeCell ref="B31:B34"/>
    <mergeCell ref="C31:C34"/>
    <mergeCell ref="D31:D34"/>
    <mergeCell ref="C51:C54"/>
    <mergeCell ref="D51:D54"/>
    <mergeCell ref="B55:B58"/>
    <mergeCell ref="C55:C58"/>
    <mergeCell ref="D55:D58"/>
    <mergeCell ref="B43:B46"/>
    <mergeCell ref="C43:C46"/>
    <mergeCell ref="D43:D46"/>
    <mergeCell ref="B47:B50"/>
    <mergeCell ref="C47:C50"/>
    <mergeCell ref="D47:D50"/>
    <mergeCell ref="B39:B42"/>
    <mergeCell ref="C39:C42"/>
    <mergeCell ref="D39:D42"/>
    <mergeCell ref="B87:B90"/>
    <mergeCell ref="C87:C90"/>
    <mergeCell ref="D87:D90"/>
    <mergeCell ref="B75:B78"/>
    <mergeCell ref="C75:C78"/>
    <mergeCell ref="D75:D78"/>
    <mergeCell ref="B79:B82"/>
    <mergeCell ref="C79:C82"/>
    <mergeCell ref="D79:D82"/>
    <mergeCell ref="B83:B86"/>
    <mergeCell ref="C83:C86"/>
    <mergeCell ref="D83:D86"/>
    <mergeCell ref="A75:A78"/>
    <mergeCell ref="A79:A82"/>
    <mergeCell ref="A83:A86"/>
    <mergeCell ref="A87:A90"/>
    <mergeCell ref="B11:B14"/>
    <mergeCell ref="C11:C14"/>
    <mergeCell ref="B15:B18"/>
    <mergeCell ref="C15:C18"/>
    <mergeCell ref="B19:B22"/>
    <mergeCell ref="C19:C22"/>
    <mergeCell ref="A51:A54"/>
    <mergeCell ref="A55:A58"/>
    <mergeCell ref="A59:A62"/>
    <mergeCell ref="A63:A66"/>
    <mergeCell ref="A67:A70"/>
    <mergeCell ref="A71:A74"/>
    <mergeCell ref="A27:A30"/>
    <mergeCell ref="A31:A34"/>
    <mergeCell ref="A35:A38"/>
    <mergeCell ref="A39:A42"/>
    <mergeCell ref="A43:A46"/>
    <mergeCell ref="A47:A50"/>
    <mergeCell ref="A11:A14"/>
    <mergeCell ref="A15:A18"/>
    <mergeCell ref="B2:I2"/>
    <mergeCell ref="Q2:V2"/>
    <mergeCell ref="E3:F3"/>
    <mergeCell ref="U3:V3"/>
    <mergeCell ref="S3:T3"/>
    <mergeCell ref="Q3:R3"/>
    <mergeCell ref="V11:V12"/>
    <mergeCell ref="U11:U12"/>
    <mergeCell ref="R13:R14"/>
    <mergeCell ref="Q13:Q14"/>
    <mergeCell ref="R11:R12"/>
    <mergeCell ref="Q11:Q12"/>
    <mergeCell ref="O13:O14"/>
    <mergeCell ref="J13:J14"/>
    <mergeCell ref="J2:O3"/>
    <mergeCell ref="V13:V14"/>
    <mergeCell ref="U13:U14"/>
    <mergeCell ref="T13:T14"/>
    <mergeCell ref="S13:S14"/>
    <mergeCell ref="T11:T12"/>
    <mergeCell ref="S11:S12"/>
    <mergeCell ref="P11:P14"/>
    <mergeCell ref="G11:G14"/>
    <mergeCell ref="H11:H14"/>
    <mergeCell ref="A19:A22"/>
    <mergeCell ref="A23:A26"/>
    <mergeCell ref="D11:D14"/>
    <mergeCell ref="D15:D18"/>
    <mergeCell ref="D19:D22"/>
    <mergeCell ref="B23:B26"/>
    <mergeCell ref="B35:B38"/>
    <mergeCell ref="C35:C38"/>
    <mergeCell ref="D35:D38"/>
    <mergeCell ref="C23:C26"/>
    <mergeCell ref="D23:D26"/>
    <mergeCell ref="B27:B30"/>
    <mergeCell ref="C27:C30"/>
    <mergeCell ref="D27:D30"/>
    <mergeCell ref="Q15:Q16"/>
    <mergeCell ref="R15:R16"/>
    <mergeCell ref="T15:T16"/>
    <mergeCell ref="S15:S16"/>
    <mergeCell ref="S17:S18"/>
    <mergeCell ref="T17:T18"/>
    <mergeCell ref="U17:U18"/>
    <mergeCell ref="U51:U52"/>
    <mergeCell ref="U47:U48"/>
    <mergeCell ref="U43:U44"/>
    <mergeCell ref="U39:U40"/>
    <mergeCell ref="U35:U36"/>
    <mergeCell ref="U31:U32"/>
    <mergeCell ref="U27:U28"/>
    <mergeCell ref="U23:U24"/>
    <mergeCell ref="U19:U20"/>
    <mergeCell ref="R43:R44"/>
    <mergeCell ref="R49:R50"/>
    <mergeCell ref="Q23:Q24"/>
    <mergeCell ref="Q27:Q28"/>
    <mergeCell ref="Q31:Q32"/>
    <mergeCell ref="Q35:Q36"/>
    <mergeCell ref="Q39:Q40"/>
    <mergeCell ref="Q43:Q44"/>
    <mergeCell ref="R17:R18"/>
    <mergeCell ref="Q17:Q18"/>
    <mergeCell ref="R23:R24"/>
    <mergeCell ref="S23:S24"/>
    <mergeCell ref="T23:T24"/>
    <mergeCell ref="V23:V24"/>
    <mergeCell ref="Q25:Q26"/>
    <mergeCell ref="R25:R26"/>
    <mergeCell ref="S25:S26"/>
    <mergeCell ref="T25:T26"/>
    <mergeCell ref="U25:U26"/>
    <mergeCell ref="V25:V26"/>
    <mergeCell ref="Q19:Q20"/>
    <mergeCell ref="R19:R20"/>
    <mergeCell ref="S19:S20"/>
    <mergeCell ref="T19:T20"/>
    <mergeCell ref="V19:V20"/>
    <mergeCell ref="Q21:Q22"/>
    <mergeCell ref="R21:R22"/>
    <mergeCell ref="S21:S22"/>
    <mergeCell ref="T21:T22"/>
    <mergeCell ref="U21:U22"/>
    <mergeCell ref="V21:V22"/>
    <mergeCell ref="R27:R28"/>
    <mergeCell ref="S27:S28"/>
    <mergeCell ref="T27:T28"/>
    <mergeCell ref="V27:V28"/>
    <mergeCell ref="Q29:Q30"/>
    <mergeCell ref="R29:R30"/>
    <mergeCell ref="S29:S30"/>
    <mergeCell ref="T29:T30"/>
    <mergeCell ref="U29:U30"/>
    <mergeCell ref="V29:V30"/>
    <mergeCell ref="R31:R32"/>
    <mergeCell ref="S31:S32"/>
    <mergeCell ref="T31:T32"/>
    <mergeCell ref="V31:V32"/>
    <mergeCell ref="Q33:Q34"/>
    <mergeCell ref="R33:R34"/>
    <mergeCell ref="S33:S34"/>
    <mergeCell ref="T33:T34"/>
    <mergeCell ref="U33:U34"/>
    <mergeCell ref="V33:V34"/>
    <mergeCell ref="R35:R36"/>
    <mergeCell ref="S35:S36"/>
    <mergeCell ref="T35:T36"/>
    <mergeCell ref="V35:V36"/>
    <mergeCell ref="Q37:Q38"/>
    <mergeCell ref="R37:R38"/>
    <mergeCell ref="S37:S38"/>
    <mergeCell ref="T37:T38"/>
    <mergeCell ref="U37:U38"/>
    <mergeCell ref="V37:V38"/>
    <mergeCell ref="R39:R40"/>
    <mergeCell ref="S39:S40"/>
    <mergeCell ref="T39:T40"/>
    <mergeCell ref="V39:V40"/>
    <mergeCell ref="Q41:Q42"/>
    <mergeCell ref="R41:R42"/>
    <mergeCell ref="S41:S42"/>
    <mergeCell ref="T41:T42"/>
    <mergeCell ref="U41:U42"/>
    <mergeCell ref="V41:V42"/>
    <mergeCell ref="S43:S44"/>
    <mergeCell ref="T43:T44"/>
    <mergeCell ref="Q45:Q46"/>
    <mergeCell ref="R45:R46"/>
    <mergeCell ref="S45:S46"/>
    <mergeCell ref="T45:T46"/>
    <mergeCell ref="U45:U46"/>
    <mergeCell ref="V45:V46"/>
    <mergeCell ref="Q47:Q48"/>
    <mergeCell ref="R47:R48"/>
    <mergeCell ref="S47:S48"/>
    <mergeCell ref="T47:T48"/>
    <mergeCell ref="S49:S50"/>
    <mergeCell ref="T49:T50"/>
    <mergeCell ref="U49:U50"/>
    <mergeCell ref="V49:V50"/>
    <mergeCell ref="Q51:Q52"/>
    <mergeCell ref="R51:R52"/>
    <mergeCell ref="S51:S52"/>
    <mergeCell ref="T51:T52"/>
    <mergeCell ref="Q53:Q54"/>
    <mergeCell ref="R53:R54"/>
    <mergeCell ref="S53:S54"/>
    <mergeCell ref="T53:T54"/>
    <mergeCell ref="U53:U54"/>
    <mergeCell ref="V53:V54"/>
    <mergeCell ref="Q49:Q50"/>
    <mergeCell ref="Q55:Q56"/>
    <mergeCell ref="R55:R56"/>
    <mergeCell ref="S55:S56"/>
    <mergeCell ref="T55:T56"/>
    <mergeCell ref="Q57:Q58"/>
    <mergeCell ref="R57:R58"/>
    <mergeCell ref="S57:S58"/>
    <mergeCell ref="T57:T58"/>
    <mergeCell ref="U57:U58"/>
    <mergeCell ref="U55:U56"/>
    <mergeCell ref="Q59:Q60"/>
    <mergeCell ref="R59:R60"/>
    <mergeCell ref="S59:S60"/>
    <mergeCell ref="T59:T60"/>
    <mergeCell ref="Q61:Q62"/>
    <mergeCell ref="R61:R62"/>
    <mergeCell ref="S61:S62"/>
    <mergeCell ref="T61:T62"/>
    <mergeCell ref="U61:U62"/>
    <mergeCell ref="U59:U60"/>
    <mergeCell ref="Q63:Q64"/>
    <mergeCell ref="R63:R64"/>
    <mergeCell ref="S63:S64"/>
    <mergeCell ref="T63:T64"/>
    <mergeCell ref="Q65:Q66"/>
    <mergeCell ref="R65:R66"/>
    <mergeCell ref="S65:S66"/>
    <mergeCell ref="T65:T66"/>
    <mergeCell ref="U65:U66"/>
    <mergeCell ref="U63:U64"/>
    <mergeCell ref="Q67:Q68"/>
    <mergeCell ref="R67:R68"/>
    <mergeCell ref="S67:S68"/>
    <mergeCell ref="T67:T68"/>
    <mergeCell ref="Q69:Q70"/>
    <mergeCell ref="R69:R70"/>
    <mergeCell ref="S69:S70"/>
    <mergeCell ref="T69:T70"/>
    <mergeCell ref="U69:U70"/>
    <mergeCell ref="U67:U68"/>
    <mergeCell ref="Q71:Q72"/>
    <mergeCell ref="R71:R72"/>
    <mergeCell ref="S71:S72"/>
    <mergeCell ref="T71:T72"/>
    <mergeCell ref="Q73:Q74"/>
    <mergeCell ref="R73:R74"/>
    <mergeCell ref="S73:S74"/>
    <mergeCell ref="T73:T74"/>
    <mergeCell ref="U73:U74"/>
    <mergeCell ref="U71:U72"/>
    <mergeCell ref="Q75:Q76"/>
    <mergeCell ref="R75:R76"/>
    <mergeCell ref="S75:S76"/>
    <mergeCell ref="T75:T76"/>
    <mergeCell ref="Q77:Q78"/>
    <mergeCell ref="R77:R78"/>
    <mergeCell ref="S77:S78"/>
    <mergeCell ref="T77:T78"/>
    <mergeCell ref="U77:U78"/>
    <mergeCell ref="U75:U76"/>
    <mergeCell ref="Q79:Q80"/>
    <mergeCell ref="R79:R80"/>
    <mergeCell ref="S79:S80"/>
    <mergeCell ref="T79:T80"/>
    <mergeCell ref="Q81:Q82"/>
    <mergeCell ref="R81:R82"/>
    <mergeCell ref="S81:S82"/>
    <mergeCell ref="T81:T82"/>
    <mergeCell ref="U81:U82"/>
    <mergeCell ref="U79:U80"/>
    <mergeCell ref="Q89:Q90"/>
    <mergeCell ref="R89:R90"/>
    <mergeCell ref="S89:S90"/>
    <mergeCell ref="T89:T90"/>
    <mergeCell ref="U89:U90"/>
    <mergeCell ref="Q83:Q84"/>
    <mergeCell ref="R83:R84"/>
    <mergeCell ref="S83:S84"/>
    <mergeCell ref="T83:T84"/>
    <mergeCell ref="Q85:Q86"/>
    <mergeCell ref="R85:R86"/>
    <mergeCell ref="S85:S86"/>
    <mergeCell ref="T85:T86"/>
    <mergeCell ref="U85:U86"/>
    <mergeCell ref="U83:U84"/>
    <mergeCell ref="U87:U88"/>
    <mergeCell ref="V89:V90"/>
    <mergeCell ref="O17:O18"/>
    <mergeCell ref="O21:O22"/>
    <mergeCell ref="O25:O26"/>
    <mergeCell ref="O29:O30"/>
    <mergeCell ref="O33:O34"/>
    <mergeCell ref="O37:O38"/>
    <mergeCell ref="O41:O42"/>
    <mergeCell ref="O45:O46"/>
    <mergeCell ref="O49:O50"/>
    <mergeCell ref="O53:O54"/>
    <mergeCell ref="O57:O58"/>
    <mergeCell ref="O61:O62"/>
    <mergeCell ref="O65:O66"/>
    <mergeCell ref="O69:O70"/>
    <mergeCell ref="O73:O74"/>
    <mergeCell ref="O77:O78"/>
    <mergeCell ref="O81:O82"/>
    <mergeCell ref="O85:O86"/>
    <mergeCell ref="O89:O90"/>
    <mergeCell ref="Q87:Q88"/>
    <mergeCell ref="R87:R88"/>
    <mergeCell ref="S87:S88"/>
    <mergeCell ref="T87:T88"/>
    <mergeCell ref="J69:J70"/>
    <mergeCell ref="J73:J74"/>
    <mergeCell ref="J77:J78"/>
    <mergeCell ref="J81:J82"/>
    <mergeCell ref="J85:J86"/>
    <mergeCell ref="J17:J18"/>
    <mergeCell ref="J21:J22"/>
    <mergeCell ref="J25:J26"/>
    <mergeCell ref="J29:J30"/>
    <mergeCell ref="J33:J34"/>
    <mergeCell ref="J37:J38"/>
    <mergeCell ref="J41:J42"/>
    <mergeCell ref="J45:J46"/>
    <mergeCell ref="J49:J50"/>
    <mergeCell ref="J89:J90"/>
    <mergeCell ref="P15:P18"/>
    <mergeCell ref="P19:P22"/>
    <mergeCell ref="P23:P26"/>
    <mergeCell ref="P27:P30"/>
    <mergeCell ref="P31:P34"/>
    <mergeCell ref="P35:P38"/>
    <mergeCell ref="P39:P42"/>
    <mergeCell ref="P43:P46"/>
    <mergeCell ref="P47:P50"/>
    <mergeCell ref="P51:P54"/>
    <mergeCell ref="P55:P58"/>
    <mergeCell ref="P59:P62"/>
    <mergeCell ref="P63:P66"/>
    <mergeCell ref="P67:P70"/>
    <mergeCell ref="P71:P74"/>
    <mergeCell ref="P75:P78"/>
    <mergeCell ref="P79:P82"/>
    <mergeCell ref="P83:P86"/>
    <mergeCell ref="P87:P90"/>
    <mergeCell ref="J53:J54"/>
    <mergeCell ref="J57:J58"/>
    <mergeCell ref="J61:J62"/>
    <mergeCell ref="J65:J66"/>
  </mergeCells>
  <conditionalFormatting sqref="B11:D14">
    <cfRule type="cellIs" dxfId="818" priority="160" operator="equal">
      <formula>0</formula>
    </cfRule>
  </conditionalFormatting>
  <conditionalFormatting sqref="B11:D90">
    <cfRule type="cellIs" dxfId="817" priority="162" operator="equal">
      <formula>0</formula>
    </cfRule>
  </conditionalFormatting>
  <conditionalFormatting sqref="B19:D22">
    <cfRule type="cellIs" dxfId="816" priority="159" operator="equal">
      <formula>0</formula>
    </cfRule>
  </conditionalFormatting>
  <conditionalFormatting sqref="B27:D30">
    <cfRule type="cellIs" dxfId="815" priority="158" operator="equal">
      <formula>0</formula>
    </cfRule>
  </conditionalFormatting>
  <conditionalFormatting sqref="B35:D38">
    <cfRule type="cellIs" dxfId="814" priority="157" operator="equal">
      <formula>0</formula>
    </cfRule>
  </conditionalFormatting>
  <conditionalFormatting sqref="B43:D46">
    <cfRule type="cellIs" dxfId="813" priority="156" operator="equal">
      <formula>0</formula>
    </cfRule>
  </conditionalFormatting>
  <conditionalFormatting sqref="B51:D54">
    <cfRule type="cellIs" dxfId="812" priority="155" operator="equal">
      <formula>0</formula>
    </cfRule>
  </conditionalFormatting>
  <conditionalFormatting sqref="B59:D62">
    <cfRule type="cellIs" dxfId="811" priority="154" operator="equal">
      <formula>0</formula>
    </cfRule>
  </conditionalFormatting>
  <conditionalFormatting sqref="B67:D70">
    <cfRule type="cellIs" dxfId="810" priority="153" operator="equal">
      <formula>0</formula>
    </cfRule>
  </conditionalFormatting>
  <conditionalFormatting sqref="B75:D78">
    <cfRule type="cellIs" dxfId="809" priority="152" operator="equal">
      <formula>0</formula>
    </cfRule>
  </conditionalFormatting>
  <conditionalFormatting sqref="B83:D86">
    <cfRule type="cellIs" dxfId="808" priority="151" operator="equal">
      <formula>0</formula>
    </cfRule>
  </conditionalFormatting>
  <conditionalFormatting sqref="G11:I14">
    <cfRule type="cellIs" dxfId="767" priority="23" operator="equal">
      <formula>0</formula>
    </cfRule>
  </conditionalFormatting>
  <conditionalFormatting sqref="G11:I90">
    <cfRule type="cellIs" dxfId="766" priority="161" operator="equal">
      <formula>0</formula>
    </cfRule>
  </conditionalFormatting>
  <conditionalFormatting sqref="G19:I22">
    <cfRule type="cellIs" dxfId="765" priority="26" operator="equal">
      <formula>0</formula>
    </cfRule>
  </conditionalFormatting>
  <conditionalFormatting sqref="G27:I30">
    <cfRule type="cellIs" dxfId="764" priority="29" operator="equal">
      <formula>0</formula>
    </cfRule>
  </conditionalFormatting>
  <conditionalFormatting sqref="G35:I38">
    <cfRule type="cellIs" dxfId="763" priority="32" operator="equal">
      <formula>0</formula>
    </cfRule>
  </conditionalFormatting>
  <conditionalFormatting sqref="G43:I46">
    <cfRule type="cellIs" dxfId="762" priority="35" operator="equal">
      <formula>0</formula>
    </cfRule>
  </conditionalFormatting>
  <conditionalFormatting sqref="G51:I54">
    <cfRule type="cellIs" dxfId="761" priority="38" operator="equal">
      <formula>0</formula>
    </cfRule>
  </conditionalFormatting>
  <conditionalFormatting sqref="G59:I62">
    <cfRule type="cellIs" dxfId="760" priority="41" operator="equal">
      <formula>0</formula>
    </cfRule>
  </conditionalFormatting>
  <conditionalFormatting sqref="G67:I70">
    <cfRule type="cellIs" dxfId="759" priority="44" operator="equal">
      <formula>0</formula>
    </cfRule>
  </conditionalFormatting>
  <conditionalFormatting sqref="G75:I78">
    <cfRule type="cellIs" dxfId="758" priority="53" operator="equal">
      <formula>0</formula>
    </cfRule>
  </conditionalFormatting>
  <conditionalFormatting sqref="G83:I86">
    <cfRule type="cellIs" dxfId="757" priority="47" operator="equal">
      <formula>0</formula>
    </cfRule>
  </conditionalFormatting>
  <conditionalFormatting sqref="I11 I15 I19 I23 I27 I31 I35 I39 I43 I47 I51 I55 I59 I63 I67 I71 I75 I79 I83 I87">
    <cfRule type="cellIs" dxfId="756" priority="164" operator="equal">
      <formula>"Brown"</formula>
    </cfRule>
    <cfRule type="cellIs" dxfId="755" priority="165" operator="equal">
      <formula>"Amber"</formula>
    </cfRule>
    <cfRule type="cellIs" dxfId="754" priority="166" operator="equal">
      <formula>"orange"</formula>
    </cfRule>
    <cfRule type="cellIs" dxfId="753" priority="167" operator="equal">
      <formula>"Green"</formula>
    </cfRule>
    <cfRule type="cellIs" dxfId="752" priority="168" operator="equal">
      <formula>"Blue"</formula>
    </cfRule>
    <cfRule type="cellIs" dxfId="751" priority="169" operator="equal">
      <formula>"Purple"</formula>
    </cfRule>
    <cfRule type="cellIs" dxfId="750" priority="170" operator="equal">
      <formula>"Dark Gray"</formula>
    </cfRule>
    <cfRule type="cellIs" dxfId="749" priority="171" operator="equal">
      <formula>"Magenta"</formula>
    </cfRule>
    <cfRule type="cellIs" dxfId="748" priority="172" operator="equal">
      <formula>"Gray"</formula>
    </cfRule>
    <cfRule type="cellIs" dxfId="747" priority="173" operator="equal">
      <formula>"Black"</formula>
    </cfRule>
  </conditionalFormatting>
  <pageMargins left="0.7" right="0.7" top="0.75" bottom="0.75" header="0.3" footer="0.3"/>
  <ignoredErrors>
    <ignoredError sqref="S15 M19 S19 M23 S23 M27 S27:S28 M31 S31 M35 S35 M39 S39 M43 S43 M47 S47 M51 S51 M55 S55 M59 S59 M63 S63 M67 S67 M71 S71 M75 S75 M79 S79 M83 S83 M87 S87 M15" formula="1"/>
  </ignoredErrors>
  <extLst>
    <ext xmlns:x14="http://schemas.microsoft.com/office/spreadsheetml/2009/9/main" uri="{78C0D931-6437-407d-A8EE-F0AAD7539E65}">
      <x14:conditionalFormattings>
        <x14:conditionalFormatting xmlns:xm="http://schemas.microsoft.com/office/excel/2006/main">
          <x14:cfRule type="expression" priority="21" id="{E7EDEA9A-7822-4BD5-9EB1-CA52A81D5886}">
            <xm:f>$B$11=INputs!$A$4</xm:f>
            <x14:dxf>
              <font>
                <color theme="2" tint="-0.499984740745262"/>
              </font>
              <fill>
                <patternFill>
                  <bgColor theme="2" tint="-0.499984740745262"/>
                </patternFill>
              </fill>
              <border>
                <left/>
                <right/>
                <top/>
                <bottom/>
                <vertical/>
                <horizontal/>
              </border>
            </x14:dxf>
          </x14:cfRule>
          <x14:cfRule type="expression" priority="22" id="{1306D6A3-211E-4D00-AF7A-4404A2DF590F}">
            <xm:f>$B$11=INputs!$A$3</xm:f>
            <x14:dxf>
              <font>
                <color theme="2" tint="-0.499984740745262"/>
              </font>
              <fill>
                <patternFill>
                  <bgColor theme="2" tint="-0.499984740745262"/>
                </patternFill>
              </fill>
              <border>
                <left/>
                <right/>
                <top/>
                <bottom/>
                <vertical/>
                <horizontal/>
              </border>
            </x14:dxf>
          </x14:cfRule>
          <xm:sqref>E11:F14 J11:V14</xm:sqref>
        </x14:conditionalFormatting>
        <x14:conditionalFormatting xmlns:xm="http://schemas.microsoft.com/office/excel/2006/main">
          <x14:cfRule type="expression" priority="3" id="{51D87640-230D-4783-BEF9-ADAC4D773F1B}">
            <xm:f>$B$15=INputs!$A$4</xm:f>
            <x14:dxf>
              <font>
                <color theme="2" tint="-0.499984740745262"/>
              </font>
              <fill>
                <patternFill>
                  <bgColor theme="2" tint="-0.499984740745262"/>
                </patternFill>
              </fill>
              <border>
                <left/>
                <right/>
                <top/>
                <bottom/>
                <vertical/>
                <horizontal/>
              </border>
            </x14:dxf>
          </x14:cfRule>
          <x14:cfRule type="expression" priority="4" id="{052762A0-2596-46FD-A36B-95C8FAA5E096}">
            <xm:f>$B$15=INputs!$A$3</xm:f>
            <x14:dxf>
              <font>
                <color theme="2" tint="-0.499984740745262"/>
              </font>
              <fill>
                <patternFill>
                  <bgColor theme="2" tint="-0.499984740745262"/>
                </patternFill>
              </fill>
              <border>
                <left/>
                <right/>
                <top/>
                <bottom/>
                <vertical/>
                <horizontal/>
              </border>
            </x14:dxf>
          </x14:cfRule>
          <xm:sqref>E15:F18 J15:V18</xm:sqref>
        </x14:conditionalFormatting>
        <x14:conditionalFormatting xmlns:xm="http://schemas.microsoft.com/office/excel/2006/main">
          <x14:cfRule type="expression" priority="24" id="{1C1DD07B-3E16-4056-AE68-984A78D5DDF3}">
            <xm:f>$B$19=INputs!$A$4</xm:f>
            <x14:dxf>
              <font>
                <color theme="2" tint="-0.499984740745262"/>
              </font>
              <fill>
                <patternFill>
                  <bgColor theme="2" tint="-0.499984740745262"/>
                </patternFill>
              </fill>
              <border>
                <left/>
                <right/>
                <top/>
                <bottom/>
                <vertical/>
                <horizontal/>
              </border>
            </x14:dxf>
          </x14:cfRule>
          <x14:cfRule type="expression" priority="25" id="{15EAB80D-46B4-41BF-8AA2-9724319984D4}">
            <xm:f>$B$19=INputs!$A$3</xm:f>
            <x14:dxf>
              <font>
                <color theme="2" tint="-0.499984740745262"/>
              </font>
              <fill>
                <patternFill>
                  <bgColor theme="2" tint="-0.499984740745262"/>
                </patternFill>
              </fill>
              <border>
                <left/>
                <right/>
                <top/>
                <bottom/>
                <vertical/>
                <horizontal/>
              </border>
            </x14:dxf>
          </x14:cfRule>
          <xm:sqref>E19:F22 J19:V22</xm:sqref>
        </x14:conditionalFormatting>
        <x14:conditionalFormatting xmlns:xm="http://schemas.microsoft.com/office/excel/2006/main">
          <x14:cfRule type="expression" priority="1" id="{EC283E6A-346A-420F-B9C3-02B1A4CC0C1C}">
            <xm:f>$B$23=INputs!$A$4</xm:f>
            <x14:dxf>
              <font>
                <color theme="2" tint="-0.499984740745262"/>
              </font>
              <fill>
                <patternFill>
                  <bgColor theme="2" tint="-0.499984740745262"/>
                </patternFill>
              </fill>
              <border>
                <left/>
                <right/>
                <top/>
                <bottom/>
                <vertical/>
                <horizontal/>
              </border>
            </x14:dxf>
          </x14:cfRule>
          <x14:cfRule type="expression" priority="2" id="{3951C722-56DF-457F-82D7-E911DCFFBDF0}">
            <xm:f>$B$23=INputs!$A$3</xm:f>
            <x14:dxf>
              <font>
                <color theme="2" tint="-0.499984740745262"/>
              </font>
              <fill>
                <patternFill>
                  <bgColor theme="2" tint="-0.499984740745262"/>
                </patternFill>
              </fill>
              <border>
                <left/>
                <right/>
                <top/>
                <bottom/>
                <vertical/>
                <horizontal/>
              </border>
            </x14:dxf>
          </x14:cfRule>
          <xm:sqref>E23:F26 J23:V26</xm:sqref>
        </x14:conditionalFormatting>
        <x14:conditionalFormatting xmlns:xm="http://schemas.microsoft.com/office/excel/2006/main">
          <x14:cfRule type="expression" priority="27" id="{24E7594D-8C09-453F-8CDB-DE1F71710E52}">
            <xm:f>$B$27=INputs!$A$4</xm:f>
            <x14:dxf>
              <font>
                <color theme="2" tint="-0.499984740745262"/>
              </font>
              <fill>
                <patternFill>
                  <bgColor theme="2" tint="-0.499984740745262"/>
                </patternFill>
              </fill>
              <border>
                <left/>
                <right/>
                <top/>
                <bottom/>
                <vertical/>
                <horizontal/>
              </border>
            </x14:dxf>
          </x14:cfRule>
          <x14:cfRule type="expression" priority="28" id="{4D3FCBF6-E87B-47CC-8BD8-E5E78B661AA1}">
            <xm:f>$B$27=INputs!$A$3</xm:f>
            <x14:dxf>
              <font>
                <color theme="2" tint="-0.499984740745262"/>
              </font>
              <fill>
                <patternFill>
                  <bgColor theme="2" tint="-0.499984740745262"/>
                </patternFill>
              </fill>
              <border>
                <left/>
                <right/>
                <top/>
                <bottom/>
                <vertical/>
                <horizontal/>
              </border>
            </x14:dxf>
          </x14:cfRule>
          <xm:sqref>E27:F30 J27:V30</xm:sqref>
        </x14:conditionalFormatting>
        <x14:conditionalFormatting xmlns:xm="http://schemas.microsoft.com/office/excel/2006/main">
          <x14:cfRule type="expression" priority="5" id="{515A4752-9CBA-4CD8-9C11-77810C99C4E8}">
            <xm:f>$B$31=INputs!$A$4</xm:f>
            <x14:dxf>
              <font>
                <color theme="2" tint="-0.499984740745262"/>
              </font>
              <fill>
                <patternFill>
                  <bgColor theme="2" tint="-0.499984740745262"/>
                </patternFill>
              </fill>
              <border>
                <left/>
                <right/>
                <top/>
                <bottom/>
                <vertical/>
                <horizontal/>
              </border>
            </x14:dxf>
          </x14:cfRule>
          <x14:cfRule type="expression" priority="6" id="{527712EF-BDB2-4A2D-9FC6-A59EA1D4574A}">
            <xm:f>$B$31=INputs!$A$3</xm:f>
            <x14:dxf>
              <font>
                <color theme="2" tint="-0.499984740745262"/>
              </font>
              <fill>
                <patternFill>
                  <bgColor theme="2" tint="-0.499984740745262"/>
                </patternFill>
              </fill>
              <border>
                <left/>
                <right/>
                <top/>
                <bottom/>
                <vertical/>
                <horizontal/>
              </border>
            </x14:dxf>
          </x14:cfRule>
          <xm:sqref>E31:F34 J31:V34</xm:sqref>
        </x14:conditionalFormatting>
        <x14:conditionalFormatting xmlns:xm="http://schemas.microsoft.com/office/excel/2006/main">
          <x14:cfRule type="expression" priority="30" id="{0F900884-80BE-4B48-B575-110542BFF32C}">
            <xm:f>$B$35=INputs!$A$4</xm:f>
            <x14:dxf>
              <font>
                <color theme="2" tint="-0.499984740745262"/>
              </font>
              <fill>
                <patternFill>
                  <bgColor theme="2" tint="-0.499984740745262"/>
                </patternFill>
              </fill>
              <border>
                <left/>
                <right/>
                <top/>
                <bottom/>
                <vertical/>
                <horizontal/>
              </border>
            </x14:dxf>
          </x14:cfRule>
          <x14:cfRule type="expression" priority="31" id="{913732E5-5BBA-416C-BBAB-76F04043102F}">
            <xm:f>$B$35=INputs!$A$3</xm:f>
            <x14:dxf>
              <font>
                <color theme="2" tint="-0.499984740745262"/>
              </font>
              <fill>
                <patternFill>
                  <bgColor theme="2" tint="-0.499984740745262"/>
                </patternFill>
              </fill>
              <border>
                <left/>
                <right/>
                <top/>
                <bottom/>
                <vertical/>
                <horizontal/>
              </border>
            </x14:dxf>
          </x14:cfRule>
          <xm:sqref>E35:F38 J35:V38</xm:sqref>
        </x14:conditionalFormatting>
        <x14:conditionalFormatting xmlns:xm="http://schemas.microsoft.com/office/excel/2006/main">
          <x14:cfRule type="expression" priority="7" id="{87DCA9A8-2DDF-4A55-8126-A17C1EE87777}">
            <xm:f>$B$39=INputs!$A$4</xm:f>
            <x14:dxf>
              <font>
                <color theme="2" tint="-0.499984740745262"/>
              </font>
              <fill>
                <patternFill>
                  <bgColor theme="2" tint="-0.499984740745262"/>
                </patternFill>
              </fill>
              <border>
                <left/>
                <right/>
                <top/>
                <bottom/>
                <vertical/>
                <horizontal/>
              </border>
            </x14:dxf>
          </x14:cfRule>
          <x14:cfRule type="expression" priority="8" id="{BAF3362F-F77B-462B-8F26-215D9AD7E935}">
            <xm:f>$B$39=INputs!$A$3</xm:f>
            <x14:dxf>
              <font>
                <color theme="2" tint="-0.499984740745262"/>
              </font>
              <fill>
                <patternFill>
                  <bgColor theme="2" tint="-0.499984740745262"/>
                </patternFill>
              </fill>
              <border>
                <left/>
                <right/>
                <top/>
                <bottom/>
                <vertical/>
                <horizontal/>
              </border>
            </x14:dxf>
          </x14:cfRule>
          <xm:sqref>E39:F42 J39:V42</xm:sqref>
        </x14:conditionalFormatting>
        <x14:conditionalFormatting xmlns:xm="http://schemas.microsoft.com/office/excel/2006/main">
          <x14:cfRule type="expression" priority="33" id="{6153292A-A992-409B-95D3-2ADDB09C8DA7}">
            <xm:f>$B$43=INputs!$A$4</xm:f>
            <x14:dxf>
              <font>
                <color theme="2" tint="-0.499984740745262"/>
              </font>
              <fill>
                <patternFill>
                  <bgColor theme="2" tint="-0.499984740745262"/>
                </patternFill>
              </fill>
              <border>
                <left/>
                <right/>
                <top/>
                <bottom/>
                <vertical/>
                <horizontal/>
              </border>
            </x14:dxf>
          </x14:cfRule>
          <x14:cfRule type="expression" priority="34" id="{ACDA85E1-4D4F-4B7F-A651-4456A9174BCA}">
            <xm:f>$B$43=INputs!$A$3</xm:f>
            <x14:dxf>
              <font>
                <color theme="2" tint="-0.499984740745262"/>
              </font>
              <fill>
                <patternFill>
                  <bgColor theme="2" tint="-0.499984740745262"/>
                </patternFill>
              </fill>
              <border>
                <left/>
                <right/>
                <top/>
                <bottom/>
                <vertical/>
                <horizontal/>
              </border>
            </x14:dxf>
          </x14:cfRule>
          <xm:sqref>E43:F46 J43:V46</xm:sqref>
        </x14:conditionalFormatting>
        <x14:conditionalFormatting xmlns:xm="http://schemas.microsoft.com/office/excel/2006/main">
          <x14:cfRule type="expression" priority="9" id="{7EE0C1FD-D8EF-4CF1-B990-A6CEC92EA641}">
            <xm:f>$B$47=INputs!$A$4</xm:f>
            <x14:dxf>
              <font>
                <color theme="2" tint="-0.499984740745262"/>
              </font>
              <fill>
                <patternFill>
                  <bgColor theme="2" tint="-0.499984740745262"/>
                </patternFill>
              </fill>
              <border>
                <left/>
                <right/>
                <top/>
                <bottom/>
                <vertical/>
                <horizontal/>
              </border>
            </x14:dxf>
          </x14:cfRule>
          <x14:cfRule type="expression" priority="10" id="{874C0ACD-5BB1-454E-AFE1-249A02972D6F}">
            <xm:f>$B$47=INputs!$A$3</xm:f>
            <x14:dxf>
              <font>
                <color theme="2" tint="-0.499984740745262"/>
              </font>
              <fill>
                <patternFill>
                  <bgColor theme="2" tint="-0.499984740745262"/>
                </patternFill>
              </fill>
              <border>
                <left/>
                <right/>
                <top/>
                <bottom/>
                <vertical/>
                <horizontal/>
              </border>
            </x14:dxf>
          </x14:cfRule>
          <xm:sqref>E47:F50 J47:V50</xm:sqref>
        </x14:conditionalFormatting>
        <x14:conditionalFormatting xmlns:xm="http://schemas.microsoft.com/office/excel/2006/main">
          <x14:cfRule type="expression" priority="36" id="{DA6F5D85-BA2C-482A-97E4-7C0C3F7FFA0F}">
            <xm:f>$B$51=INputs!$A$4</xm:f>
            <x14:dxf>
              <font>
                <color theme="2" tint="-0.499984740745262"/>
              </font>
              <fill>
                <patternFill>
                  <bgColor theme="2" tint="-0.499984740745262"/>
                </patternFill>
              </fill>
              <border>
                <left/>
                <right/>
                <top/>
                <bottom/>
                <vertical/>
                <horizontal/>
              </border>
            </x14:dxf>
          </x14:cfRule>
          <x14:cfRule type="expression" priority="37" id="{A86D737E-4B46-4CAE-AE42-DD55E3D2652B}">
            <xm:f>$B$51=INputs!$A$3</xm:f>
            <x14:dxf>
              <font>
                <color theme="2" tint="-0.499984740745262"/>
              </font>
              <fill>
                <patternFill>
                  <bgColor theme="2" tint="-0.499984740745262"/>
                </patternFill>
              </fill>
              <border>
                <left/>
                <right/>
                <top/>
                <bottom/>
                <vertical/>
                <horizontal/>
              </border>
            </x14:dxf>
          </x14:cfRule>
          <xm:sqref>E51:F54 J51:V54</xm:sqref>
        </x14:conditionalFormatting>
        <x14:conditionalFormatting xmlns:xm="http://schemas.microsoft.com/office/excel/2006/main">
          <x14:cfRule type="expression" priority="11" id="{411D154D-3F64-4AC7-8964-8FCB3B3C72AE}">
            <xm:f>$B$55=INputs!$A$4</xm:f>
            <x14:dxf>
              <font>
                <color theme="2" tint="-0.499984740745262"/>
              </font>
              <fill>
                <patternFill>
                  <bgColor theme="2" tint="-0.499984740745262"/>
                </patternFill>
              </fill>
              <border>
                <left/>
                <right/>
                <top/>
                <bottom/>
                <vertical/>
                <horizontal/>
              </border>
            </x14:dxf>
          </x14:cfRule>
          <x14:cfRule type="expression" priority="12" id="{5FDBA935-0C76-47B6-94E9-54DA5EC4CCEC}">
            <xm:f>$B$55=INputs!$A$3</xm:f>
            <x14:dxf>
              <font>
                <color theme="2" tint="-0.499984740745262"/>
              </font>
              <fill>
                <patternFill>
                  <bgColor theme="2" tint="-0.499984740745262"/>
                </patternFill>
              </fill>
              <border>
                <left/>
                <right/>
                <top/>
                <bottom/>
                <vertical/>
                <horizontal/>
              </border>
            </x14:dxf>
          </x14:cfRule>
          <xm:sqref>E55:F58 J55:V58</xm:sqref>
        </x14:conditionalFormatting>
        <x14:conditionalFormatting xmlns:xm="http://schemas.microsoft.com/office/excel/2006/main">
          <x14:cfRule type="expression" priority="39" id="{778CB195-08AF-4698-A634-0F100D0C8443}">
            <xm:f>$B$59=INputs!$A$4</xm:f>
            <x14:dxf>
              <font>
                <color theme="2" tint="-0.499984740745262"/>
              </font>
              <fill>
                <patternFill>
                  <bgColor theme="2" tint="-0.499984740745262"/>
                </patternFill>
              </fill>
              <border>
                <left/>
                <right/>
                <top/>
                <bottom/>
                <vertical/>
                <horizontal/>
              </border>
            </x14:dxf>
          </x14:cfRule>
          <x14:cfRule type="expression" priority="40" id="{9B59D937-BC58-4311-8F7F-03A972B8016D}">
            <xm:f>$B$59=INputs!$A$3</xm:f>
            <x14:dxf>
              <font>
                <color theme="2" tint="-0.499984740745262"/>
              </font>
              <fill>
                <patternFill>
                  <bgColor theme="2" tint="-0.499984740745262"/>
                </patternFill>
              </fill>
              <border>
                <left/>
                <right/>
                <top/>
                <bottom/>
                <vertical/>
                <horizontal/>
              </border>
            </x14:dxf>
          </x14:cfRule>
          <xm:sqref>E59:F62 J59:V62</xm:sqref>
        </x14:conditionalFormatting>
        <x14:conditionalFormatting xmlns:xm="http://schemas.microsoft.com/office/excel/2006/main">
          <x14:cfRule type="expression" priority="13" id="{41EC5B86-08CB-4369-B679-B7811651289A}">
            <xm:f>$B$63=INputs!$A$4</xm:f>
            <x14:dxf>
              <font>
                <color theme="2" tint="-0.499984740745262"/>
              </font>
              <fill>
                <patternFill>
                  <bgColor theme="2" tint="-0.499984740745262"/>
                </patternFill>
              </fill>
              <border>
                <left/>
                <right/>
                <top/>
                <bottom/>
                <vertical/>
                <horizontal/>
              </border>
            </x14:dxf>
          </x14:cfRule>
          <x14:cfRule type="expression" priority="14" id="{9C8006B1-009C-473B-9F11-B1C5AB281571}">
            <xm:f>$B$63=INputs!$A$3</xm:f>
            <x14:dxf>
              <font>
                <color theme="2" tint="-0.499984740745262"/>
              </font>
              <fill>
                <patternFill>
                  <bgColor theme="2" tint="-0.499984740745262"/>
                </patternFill>
              </fill>
              <border>
                <left/>
                <right/>
                <top/>
                <bottom/>
                <vertical/>
                <horizontal/>
              </border>
            </x14:dxf>
          </x14:cfRule>
          <xm:sqref>E63:F66 J63:V66</xm:sqref>
        </x14:conditionalFormatting>
        <x14:conditionalFormatting xmlns:xm="http://schemas.microsoft.com/office/excel/2006/main">
          <x14:cfRule type="expression" priority="42" id="{51A172DD-DD34-4A23-9A12-8CBAD282C419}">
            <xm:f>$B$67=INputs!$A$4</xm:f>
            <x14:dxf>
              <font>
                <color theme="2" tint="-0.499984740745262"/>
              </font>
              <fill>
                <patternFill>
                  <bgColor theme="2" tint="-0.499984740745262"/>
                </patternFill>
              </fill>
              <border>
                <left/>
                <right/>
                <top/>
                <bottom/>
                <vertical/>
                <horizontal/>
              </border>
            </x14:dxf>
          </x14:cfRule>
          <x14:cfRule type="expression" priority="43" id="{C894F2ED-A6B5-4C1A-AFC1-DCBEEA6F3B76}">
            <xm:f>$B$67=INputs!$A$3</xm:f>
            <x14:dxf>
              <font>
                <color theme="2" tint="-0.499984740745262"/>
              </font>
              <fill>
                <patternFill>
                  <bgColor theme="2" tint="-0.499984740745262"/>
                </patternFill>
              </fill>
              <border>
                <left/>
                <right/>
                <top/>
                <bottom/>
                <vertical/>
                <horizontal/>
              </border>
            </x14:dxf>
          </x14:cfRule>
          <xm:sqref>E67:F70 J67:V70</xm:sqref>
        </x14:conditionalFormatting>
        <x14:conditionalFormatting xmlns:xm="http://schemas.microsoft.com/office/excel/2006/main">
          <x14:cfRule type="expression" priority="16" id="{EC72C449-B681-4942-B934-E3E704D8AF91}">
            <xm:f>$B$71=INputs!$A$3</xm:f>
            <x14:dxf>
              <font>
                <color theme="2" tint="-0.499984740745262"/>
              </font>
              <fill>
                <patternFill>
                  <bgColor theme="2" tint="-0.499984740745262"/>
                </patternFill>
              </fill>
              <border>
                <left/>
                <right/>
                <top/>
                <bottom/>
                <vertical/>
                <horizontal/>
              </border>
            </x14:dxf>
          </x14:cfRule>
          <x14:cfRule type="expression" priority="15" id="{43157D73-8FCB-4AD0-8426-452B4FA6E09F}">
            <xm:f>$B$71=INputs!$A$4</xm:f>
            <x14:dxf>
              <font>
                <color theme="2" tint="-0.499984740745262"/>
              </font>
              <fill>
                <patternFill>
                  <bgColor theme="2" tint="-0.499984740745262"/>
                </patternFill>
              </fill>
              <border>
                <left/>
                <right/>
                <top/>
                <bottom/>
                <vertical/>
                <horizontal/>
              </border>
            </x14:dxf>
          </x14:cfRule>
          <xm:sqref>E71:F74 J71:V74</xm:sqref>
        </x14:conditionalFormatting>
        <x14:conditionalFormatting xmlns:xm="http://schemas.microsoft.com/office/excel/2006/main">
          <x14:cfRule type="expression" priority="51" id="{BD49B104-81D3-4D11-A966-F722DBE58D0A}">
            <xm:f>$B$75=INputs!$A$4</xm:f>
            <x14:dxf>
              <font>
                <color theme="2" tint="-0.499984740745262"/>
              </font>
              <fill>
                <patternFill>
                  <bgColor theme="2" tint="-0.499984740745262"/>
                </patternFill>
              </fill>
              <border>
                <left/>
                <right/>
                <top/>
                <bottom/>
                <vertical/>
                <horizontal/>
              </border>
            </x14:dxf>
          </x14:cfRule>
          <x14:cfRule type="expression" priority="52" id="{F97F096B-EC95-46D5-AE5B-8458BF2ADF81}">
            <xm:f>$B$75=INputs!$A$3</xm:f>
            <x14:dxf>
              <font>
                <color theme="2" tint="-0.499984740745262"/>
              </font>
              <fill>
                <patternFill>
                  <bgColor theme="2" tint="-0.499984740745262"/>
                </patternFill>
              </fill>
              <border>
                <left/>
                <right/>
                <top/>
                <bottom/>
                <vertical/>
                <horizontal/>
              </border>
            </x14:dxf>
          </x14:cfRule>
          <xm:sqref>E75:F78 J75:V78</xm:sqref>
        </x14:conditionalFormatting>
        <x14:conditionalFormatting xmlns:xm="http://schemas.microsoft.com/office/excel/2006/main">
          <x14:cfRule type="expression" priority="19" id="{CD8CD3CA-486D-4FC0-8146-A5150DFB1670}">
            <xm:f>$B$79=INputs!$A$4</xm:f>
            <x14:dxf>
              <font>
                <color theme="2" tint="-0.499984740745262"/>
              </font>
              <fill>
                <patternFill>
                  <bgColor theme="2" tint="-0.499984740745262"/>
                </patternFill>
              </fill>
              <border>
                <left/>
                <right/>
                <top/>
                <bottom/>
                <vertical/>
                <horizontal/>
              </border>
            </x14:dxf>
          </x14:cfRule>
          <x14:cfRule type="expression" priority="20" id="{8BEED7A0-8F79-45AD-95F9-178467936311}">
            <xm:f>$B$79=INputs!$A$3</xm:f>
            <x14:dxf>
              <font>
                <color theme="2" tint="-0.499984740745262"/>
              </font>
              <fill>
                <patternFill>
                  <bgColor theme="2" tint="-0.499984740745262"/>
                </patternFill>
              </fill>
              <border>
                <left/>
                <right/>
                <top/>
                <bottom/>
                <vertical/>
                <horizontal/>
              </border>
            </x14:dxf>
          </x14:cfRule>
          <xm:sqref>E79:F82 J79:V82</xm:sqref>
        </x14:conditionalFormatting>
        <x14:conditionalFormatting xmlns:xm="http://schemas.microsoft.com/office/excel/2006/main">
          <x14:cfRule type="expression" priority="45" id="{568614C6-4DD4-495D-B94C-2B48CC3B6277}">
            <xm:f>$B$83=INputs!$A$4</xm:f>
            <x14:dxf>
              <font>
                <color theme="2" tint="-0.499984740745262"/>
              </font>
              <fill>
                <patternFill>
                  <bgColor theme="2" tint="-0.499984740745262"/>
                </patternFill>
              </fill>
              <border>
                <left/>
                <right/>
                <top/>
                <bottom/>
                <vertical/>
                <horizontal/>
              </border>
            </x14:dxf>
          </x14:cfRule>
          <x14:cfRule type="expression" priority="46" id="{0F0906A1-0778-464D-AA04-36D3ACEE27F3}">
            <xm:f>$B$83=INputs!$A$3</xm:f>
            <x14:dxf>
              <font>
                <color theme="2" tint="-0.499984740745262"/>
              </font>
              <fill>
                <patternFill>
                  <bgColor theme="2" tint="-0.499984740745262"/>
                </patternFill>
              </fill>
              <border>
                <left/>
                <right/>
                <top/>
                <bottom/>
                <vertical/>
                <horizontal/>
              </border>
            </x14:dxf>
          </x14:cfRule>
          <xm:sqref>E83:F86 J83:V86</xm:sqref>
        </x14:conditionalFormatting>
        <x14:conditionalFormatting xmlns:xm="http://schemas.microsoft.com/office/excel/2006/main">
          <x14:cfRule type="expression" priority="17" id="{D89A1E49-9F34-4C04-A431-25F7A7C9FD0C}">
            <xm:f>$B$87=INputs!$A$4</xm:f>
            <x14:dxf>
              <font>
                <color theme="2" tint="-0.499984740745262"/>
              </font>
              <fill>
                <patternFill>
                  <bgColor theme="2" tint="-0.499984740745262"/>
                </patternFill>
              </fill>
              <border>
                <left/>
                <right/>
                <top/>
                <bottom/>
                <vertical/>
                <horizontal/>
              </border>
            </x14:dxf>
          </x14:cfRule>
          <x14:cfRule type="expression" priority="18" id="{5D44BB4F-08CB-4258-A89F-A38D1998EDDC}">
            <xm:f>$B$87=INputs!$A$3</xm:f>
            <x14:dxf>
              <font>
                <color theme="2" tint="-0.499984740745262"/>
              </font>
              <fill>
                <patternFill>
                  <bgColor theme="2" tint="-0.499984740745262"/>
                </patternFill>
              </fill>
              <border>
                <left/>
                <right/>
                <top/>
                <bottom/>
                <vertical/>
                <horizontal/>
              </border>
            </x14:dxf>
          </x14:cfRule>
          <xm:sqref>E87:F90 J87:V90</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B42B2-F7EB-42FE-BC1F-AF50AE03212B}">
  <sheetPr>
    <tabColor theme="5"/>
  </sheetPr>
  <dimension ref="A1:AD252"/>
  <sheetViews>
    <sheetView showGridLines="0" zoomScaleNormal="100" workbookViewId="0">
      <pane xSplit="1" ySplit="11" topLeftCell="C12" activePane="bottomRight" state="frozen"/>
      <selection pane="topRight" activeCell="B1" sqref="B1"/>
      <selection pane="bottomLeft" activeCell="A5" sqref="A5"/>
      <selection pane="bottomRight" activeCell="C13" sqref="C13:C23"/>
    </sheetView>
  </sheetViews>
  <sheetFormatPr defaultRowHeight="14.5" outlineLevelRow="1" x14ac:dyDescent="0.35"/>
  <cols>
    <col min="1" max="1" width="3.7265625" style="87" customWidth="1"/>
    <col min="2" max="2" width="5.1796875" style="87" hidden="1" customWidth="1"/>
    <col min="3" max="3" width="40.81640625" bestFit="1" customWidth="1"/>
    <col min="4" max="4" width="1.54296875" customWidth="1"/>
    <col min="5" max="5" width="41.7265625" customWidth="1"/>
    <col min="6" max="6" width="1.54296875" customWidth="1"/>
    <col min="7" max="7" width="48.81640625" customWidth="1"/>
    <col min="8" max="8" width="1.54296875" customWidth="1"/>
    <col min="9" max="9" width="48.54296875" customWidth="1"/>
    <col min="10" max="10" width="1.54296875" customWidth="1"/>
    <col min="11" max="11" width="34.1796875" customWidth="1"/>
    <col min="12" max="12" width="2.1796875" customWidth="1"/>
    <col min="13" max="13" width="3.54296875" customWidth="1"/>
    <col min="14" max="14" width="70.453125" customWidth="1"/>
    <col min="15" max="15" width="2.1796875" customWidth="1"/>
    <col min="16" max="16" width="3.54296875" customWidth="1"/>
    <col min="17" max="17" width="34.1796875" customWidth="1"/>
    <col min="18" max="18" width="2.1796875" customWidth="1"/>
    <col min="19" max="19" width="3.54296875" customWidth="1"/>
    <col min="20" max="20" width="48.54296875" customWidth="1"/>
    <col min="21" max="21" width="2.1796875" customWidth="1"/>
    <col min="22" max="22" width="2.81640625" style="114" customWidth="1"/>
    <col min="23" max="23" width="60.54296875" customWidth="1"/>
    <col min="24" max="24" width="2.1796875" customWidth="1"/>
    <col min="25" max="25" width="3" customWidth="1"/>
    <col min="26" max="26" width="60.54296875" customWidth="1"/>
    <col min="27" max="27" width="2.1796875" customWidth="1"/>
    <col min="28" max="28" width="2.7265625" customWidth="1"/>
    <col min="29" max="29" width="53.81640625" customWidth="1"/>
    <col min="30" max="30" width="0.7265625" customWidth="1"/>
  </cols>
  <sheetData>
    <row r="1" spans="1:30" ht="23.5" x14ac:dyDescent="0.55000000000000004">
      <c r="C1" s="43" t="s">
        <v>99</v>
      </c>
      <c r="T1" s="486"/>
    </row>
    <row r="2" spans="1:30" ht="10.5" customHeight="1" thickBot="1" x14ac:dyDescent="0.4"/>
    <row r="3" spans="1:30" ht="27.75" customHeight="1" thickBot="1" x14ac:dyDescent="0.4">
      <c r="C3" s="96" t="s">
        <v>113</v>
      </c>
      <c r="D3" s="17"/>
      <c r="E3" s="96" t="s">
        <v>266</v>
      </c>
      <c r="F3" s="17"/>
      <c r="G3" s="96" t="s">
        <v>267</v>
      </c>
      <c r="H3" s="17"/>
      <c r="I3" s="96" t="s">
        <v>268</v>
      </c>
      <c r="J3" s="17"/>
      <c r="K3" s="96" t="s">
        <v>269</v>
      </c>
      <c r="L3" s="17"/>
      <c r="M3" s="678" t="s">
        <v>270</v>
      </c>
      <c r="N3" s="679"/>
      <c r="O3" s="17"/>
      <c r="P3" s="618" t="s">
        <v>271</v>
      </c>
      <c r="Q3" s="619"/>
      <c r="R3" s="17"/>
      <c r="S3" s="678" t="s">
        <v>272</v>
      </c>
      <c r="T3" s="679"/>
      <c r="U3" s="18"/>
      <c r="V3" s="678" t="s">
        <v>273</v>
      </c>
      <c r="W3" s="679"/>
      <c r="X3" s="137"/>
      <c r="Y3" s="678" t="s">
        <v>274</v>
      </c>
      <c r="Z3" s="679"/>
      <c r="AA3" s="17"/>
      <c r="AB3" s="678" t="s">
        <v>275</v>
      </c>
      <c r="AC3" s="679"/>
    </row>
    <row r="4" spans="1:30" ht="7" hidden="1" customHeight="1" x14ac:dyDescent="0.35">
      <c r="C4" s="144"/>
      <c r="D4" s="17"/>
      <c r="E4" s="145"/>
      <c r="F4" s="17"/>
      <c r="G4" s="144"/>
      <c r="H4" s="17"/>
      <c r="I4" s="145"/>
      <c r="J4" s="17"/>
      <c r="K4" s="145"/>
      <c r="L4" s="17"/>
      <c r="M4" s="145"/>
      <c r="N4" s="145"/>
      <c r="O4" s="17"/>
      <c r="P4" s="142"/>
      <c r="Q4" s="142"/>
      <c r="R4" s="17"/>
      <c r="S4" s="144"/>
      <c r="T4" s="144"/>
      <c r="U4" s="18"/>
      <c r="V4" s="145"/>
      <c r="W4" s="145"/>
      <c r="X4" s="137"/>
      <c r="Y4" s="145"/>
      <c r="Z4" s="145"/>
      <c r="AA4" s="17"/>
      <c r="AB4" s="145"/>
      <c r="AC4" s="145"/>
    </row>
    <row r="5" spans="1:30" s="3" customFormat="1" ht="192.65" hidden="1" customHeight="1" outlineLevel="1" x14ac:dyDescent="0.35">
      <c r="A5" s="225" t="s">
        <v>119</v>
      </c>
      <c r="B5" s="147"/>
      <c r="C5" s="168" t="s">
        <v>276</v>
      </c>
      <c r="D5" s="154"/>
      <c r="E5" s="169" t="s">
        <v>277</v>
      </c>
      <c r="F5" s="154"/>
      <c r="G5" s="169" t="s">
        <v>278</v>
      </c>
      <c r="H5" s="154"/>
      <c r="I5" s="169" t="s">
        <v>279</v>
      </c>
      <c r="J5" s="154"/>
      <c r="K5" s="169" t="s">
        <v>280</v>
      </c>
      <c r="L5" s="154"/>
      <c r="M5" s="805" t="s">
        <v>281</v>
      </c>
      <c r="N5" s="806"/>
      <c r="O5" s="154"/>
      <c r="P5" s="805" t="s">
        <v>282</v>
      </c>
      <c r="Q5" s="806"/>
      <c r="R5" s="154"/>
      <c r="S5" s="805" t="s">
        <v>283</v>
      </c>
      <c r="T5" s="640"/>
      <c r="U5" s="170"/>
      <c r="V5" s="640" t="s">
        <v>284</v>
      </c>
      <c r="W5" s="640"/>
      <c r="X5" s="170"/>
      <c r="Y5" s="640" t="s">
        <v>285</v>
      </c>
      <c r="Z5" s="640"/>
      <c r="AA5" s="170"/>
      <c r="AB5" s="640" t="s">
        <v>286</v>
      </c>
      <c r="AC5" s="640"/>
    </row>
    <row r="6" spans="1:30" s="3" customFormat="1" ht="14.5" hidden="1" customHeight="1" outlineLevel="1" x14ac:dyDescent="0.35">
      <c r="A6" s="683" t="s">
        <v>127</v>
      </c>
      <c r="B6" s="225"/>
      <c r="C6" s="160" t="s">
        <v>287</v>
      </c>
      <c r="D6" s="124"/>
      <c r="E6" s="163"/>
      <c r="F6" s="124"/>
      <c r="G6" s="163"/>
      <c r="H6" s="124"/>
      <c r="I6" s="160" t="s">
        <v>288</v>
      </c>
      <c r="J6" s="124"/>
      <c r="K6" s="160" t="s">
        <v>289</v>
      </c>
      <c r="L6" s="124"/>
      <c r="M6" s="596" t="s">
        <v>287</v>
      </c>
      <c r="N6" s="596"/>
      <c r="O6" s="124"/>
      <c r="P6" s="596" t="s">
        <v>290</v>
      </c>
      <c r="Q6" s="596"/>
      <c r="R6" s="124"/>
      <c r="S6" s="596" t="s">
        <v>290</v>
      </c>
      <c r="T6" s="596"/>
      <c r="U6" s="124"/>
      <c r="V6" s="596" t="s">
        <v>221</v>
      </c>
      <c r="W6" s="596"/>
      <c r="X6" s="124"/>
      <c r="Y6" s="596" t="s">
        <v>291</v>
      </c>
      <c r="Z6" s="596"/>
      <c r="AA6" s="124"/>
      <c r="AB6" s="596" t="s">
        <v>292</v>
      </c>
      <c r="AC6" s="596"/>
    </row>
    <row r="7" spans="1:30" s="3" customFormat="1" ht="14.5" hidden="1" customHeight="1" outlineLevel="1" x14ac:dyDescent="0.35">
      <c r="A7" s="683"/>
      <c r="B7" s="225"/>
      <c r="C7" s="163"/>
      <c r="D7" s="124"/>
      <c r="E7" s="163"/>
      <c r="F7" s="124"/>
      <c r="G7" s="163"/>
      <c r="H7" s="124"/>
      <c r="I7" s="163"/>
      <c r="J7" s="124"/>
      <c r="K7" s="163"/>
      <c r="L7" s="124"/>
      <c r="M7" s="596" t="s">
        <v>293</v>
      </c>
      <c r="N7" s="596"/>
      <c r="O7" s="124"/>
      <c r="P7" s="606"/>
      <c r="Q7" s="606"/>
      <c r="R7" s="124"/>
      <c r="S7" s="596" t="s">
        <v>294</v>
      </c>
      <c r="T7" s="596"/>
      <c r="U7" s="124"/>
      <c r="V7" s="606"/>
      <c r="W7" s="606"/>
      <c r="X7" s="124"/>
      <c r="Y7" s="606"/>
      <c r="Z7" s="606"/>
      <c r="AA7" s="124"/>
      <c r="AB7" s="606"/>
      <c r="AC7" s="606"/>
    </row>
    <row r="8" spans="1:30" s="3" customFormat="1" hidden="1" outlineLevel="1" x14ac:dyDescent="0.35">
      <c r="A8" s="683"/>
      <c r="B8" s="225"/>
      <c r="C8" s="163"/>
      <c r="D8" s="124"/>
      <c r="E8" s="163"/>
      <c r="F8" s="124"/>
      <c r="G8" s="163"/>
      <c r="H8" s="124"/>
      <c r="I8" s="163"/>
      <c r="J8" s="124"/>
      <c r="K8" s="163"/>
      <c r="L8" s="124"/>
      <c r="M8" s="596" t="s">
        <v>295</v>
      </c>
      <c r="N8" s="596"/>
      <c r="O8" s="124"/>
      <c r="P8" s="606"/>
      <c r="Q8" s="606"/>
      <c r="R8" s="124"/>
      <c r="S8" s="606"/>
      <c r="T8" s="606"/>
      <c r="U8" s="124"/>
      <c r="V8" s="606"/>
      <c r="W8" s="606"/>
      <c r="X8" s="124"/>
      <c r="Y8" s="606"/>
      <c r="Z8" s="606"/>
      <c r="AA8" s="124"/>
      <c r="AB8" s="606"/>
      <c r="AC8" s="606"/>
    </row>
    <row r="9" spans="1:30" s="3" customFormat="1" hidden="1" outlineLevel="1" x14ac:dyDescent="0.35">
      <c r="A9" s="683"/>
      <c r="B9" s="225"/>
      <c r="C9" s="163"/>
      <c r="D9" s="124"/>
      <c r="E9" s="163"/>
      <c r="F9" s="124"/>
      <c r="G9" s="163"/>
      <c r="H9" s="124"/>
      <c r="I9" s="163"/>
      <c r="J9" s="124"/>
      <c r="K9" s="163"/>
      <c r="L9" s="124"/>
      <c r="M9" s="596" t="s">
        <v>296</v>
      </c>
      <c r="N9" s="596"/>
      <c r="O9" s="124"/>
      <c r="P9" s="606"/>
      <c r="Q9" s="606"/>
      <c r="R9" s="124"/>
      <c r="S9" s="606"/>
      <c r="T9" s="606"/>
      <c r="U9" s="124"/>
      <c r="V9" s="606"/>
      <c r="W9" s="606"/>
      <c r="X9" s="124"/>
      <c r="Y9" s="606"/>
      <c r="Z9" s="606"/>
      <c r="AA9" s="124"/>
      <c r="AB9" s="606"/>
      <c r="AC9" s="606"/>
    </row>
    <row r="10" spans="1:30" s="3" customFormat="1" hidden="1" outlineLevel="1" x14ac:dyDescent="0.35">
      <c r="A10" s="683"/>
      <c r="B10" s="225"/>
      <c r="C10" s="163"/>
      <c r="D10" s="124"/>
      <c r="E10" s="163"/>
      <c r="F10" s="124"/>
      <c r="G10" s="163"/>
      <c r="H10" s="124"/>
      <c r="I10" s="163"/>
      <c r="J10" s="124"/>
      <c r="K10" s="163"/>
      <c r="L10" s="124"/>
      <c r="M10" s="596" t="s">
        <v>293</v>
      </c>
      <c r="N10" s="596"/>
      <c r="O10" s="124"/>
      <c r="P10" s="606"/>
      <c r="Q10" s="606"/>
      <c r="R10" s="124"/>
      <c r="S10" s="606"/>
      <c r="T10" s="606"/>
      <c r="U10" s="124"/>
      <c r="V10" s="606"/>
      <c r="W10" s="606"/>
      <c r="X10" s="124"/>
      <c r="Y10" s="606"/>
      <c r="Z10" s="606"/>
      <c r="AA10" s="124"/>
      <c r="AB10" s="606"/>
      <c r="AC10" s="606"/>
    </row>
    <row r="11" spans="1:30" collapsed="1" x14ac:dyDescent="0.35">
      <c r="C11" s="7" t="s">
        <v>135</v>
      </c>
      <c r="D11" s="17"/>
      <c r="E11" s="7" t="s">
        <v>135</v>
      </c>
      <c r="F11" s="17"/>
      <c r="G11" s="7" t="s">
        <v>135</v>
      </c>
      <c r="H11" s="17"/>
      <c r="I11" s="7" t="s">
        <v>135</v>
      </c>
      <c r="J11" s="17"/>
      <c r="K11" s="7" t="s">
        <v>135</v>
      </c>
      <c r="L11" s="17"/>
      <c r="M11" s="18"/>
      <c r="N11" s="29" t="s">
        <v>136</v>
      </c>
      <c r="O11" s="29"/>
      <c r="P11" s="651" t="s">
        <v>136</v>
      </c>
      <c r="Q11" s="651"/>
      <c r="R11" s="29"/>
      <c r="S11" s="651" t="s">
        <v>136</v>
      </c>
      <c r="T11" s="651"/>
      <c r="U11" s="29"/>
      <c r="V11" s="651" t="s">
        <v>136</v>
      </c>
      <c r="W11" s="651"/>
      <c r="X11" s="8"/>
      <c r="Y11" s="651" t="s">
        <v>136</v>
      </c>
      <c r="Z11" s="651"/>
      <c r="AA11" s="29"/>
      <c r="AB11" s="807" t="s">
        <v>136</v>
      </c>
      <c r="AC11" s="807"/>
      <c r="AD11" s="29"/>
    </row>
    <row r="12" spans="1:30" ht="6" customHeight="1" thickBot="1" x14ac:dyDescent="0.4">
      <c r="C12" s="30"/>
      <c r="D12" s="30"/>
      <c r="E12" s="30"/>
      <c r="F12" s="30"/>
      <c r="G12" s="30"/>
      <c r="H12" s="30"/>
      <c r="I12" s="30"/>
      <c r="J12" s="30"/>
      <c r="K12" s="30"/>
      <c r="L12" s="30"/>
      <c r="M12" s="30"/>
      <c r="N12" s="30"/>
      <c r="O12" s="30"/>
      <c r="P12" s="30"/>
      <c r="Q12" s="30"/>
      <c r="R12" s="30"/>
      <c r="S12" s="30"/>
      <c r="T12" s="30"/>
      <c r="U12" s="30"/>
      <c r="V12" s="103"/>
      <c r="W12" s="30"/>
      <c r="X12" s="30"/>
      <c r="Y12" s="30"/>
      <c r="Z12" s="30"/>
      <c r="AA12" s="30"/>
      <c r="AB12" s="30"/>
      <c r="AC12" s="30"/>
      <c r="AD12" s="30"/>
    </row>
    <row r="13" spans="1:30" x14ac:dyDescent="0.35">
      <c r="A13" s="553">
        <v>1</v>
      </c>
      <c r="B13" s="13">
        <f>A13+10</f>
        <v>11</v>
      </c>
      <c r="C13" s="798"/>
      <c r="D13" s="78"/>
      <c r="E13" s="802"/>
      <c r="F13" s="78"/>
      <c r="G13" s="547"/>
      <c r="H13" s="78"/>
      <c r="I13" s="802"/>
      <c r="J13" s="78"/>
      <c r="K13" s="802"/>
      <c r="L13" s="62"/>
      <c r="M13" s="60" t="b">
        <v>0</v>
      </c>
      <c r="N13" s="62" t="s">
        <v>297</v>
      </c>
      <c r="O13" s="62"/>
      <c r="P13" s="62"/>
      <c r="Q13" s="62" t="s">
        <v>298</v>
      </c>
      <c r="R13" s="62"/>
      <c r="S13" s="747"/>
      <c r="T13" s="62" t="s">
        <v>299</v>
      </c>
      <c r="U13" s="62"/>
      <c r="V13" s="747"/>
      <c r="W13" s="62" t="s">
        <v>300</v>
      </c>
      <c r="X13" s="62"/>
      <c r="Y13" s="747"/>
      <c r="Z13" s="62" t="s">
        <v>301</v>
      </c>
      <c r="AA13" s="62"/>
      <c r="AB13" s="747"/>
      <c r="AC13" s="62" t="s">
        <v>302</v>
      </c>
      <c r="AD13" s="71"/>
    </row>
    <row r="14" spans="1:30" x14ac:dyDescent="0.35">
      <c r="A14" s="554"/>
      <c r="B14" s="233">
        <f t="shared" ref="B14:B22" si="0">B13+1</f>
        <v>12</v>
      </c>
      <c r="C14" s="799"/>
      <c r="D14" s="25"/>
      <c r="E14" s="538"/>
      <c r="F14" s="25"/>
      <c r="G14" s="548"/>
      <c r="H14" s="25"/>
      <c r="I14" s="538"/>
      <c r="J14" s="25"/>
      <c r="K14" s="538"/>
      <c r="M14" s="64" t="b">
        <v>0</v>
      </c>
      <c r="N14" t="s">
        <v>303</v>
      </c>
      <c r="Q14" s="485" t="s">
        <v>135</v>
      </c>
      <c r="S14" s="748"/>
      <c r="T14" s="485" t="s">
        <v>135</v>
      </c>
      <c r="V14" s="748"/>
      <c r="W14" s="485" t="s">
        <v>135</v>
      </c>
      <c r="Y14" s="748"/>
      <c r="Z14" s="485" t="s">
        <v>135</v>
      </c>
      <c r="AB14" s="748"/>
      <c r="AC14" s="485" t="s">
        <v>135</v>
      </c>
      <c r="AD14" s="66"/>
    </row>
    <row r="15" spans="1:30" x14ac:dyDescent="0.35">
      <c r="A15" s="554"/>
      <c r="B15" s="233">
        <f t="shared" si="0"/>
        <v>13</v>
      </c>
      <c r="C15" s="799"/>
      <c r="D15" s="25"/>
      <c r="E15" s="538"/>
      <c r="F15" s="25"/>
      <c r="G15" s="548"/>
      <c r="H15" s="25"/>
      <c r="I15" s="538"/>
      <c r="J15" s="25"/>
      <c r="K15" s="538"/>
      <c r="M15" s="64" t="b">
        <v>0</v>
      </c>
      <c r="N15" t="s">
        <v>304</v>
      </c>
      <c r="Q15" s="5"/>
      <c r="T15" s="10"/>
      <c r="W15" s="10"/>
      <c r="Z15" s="10"/>
      <c r="AC15" s="10"/>
      <c r="AD15" s="66"/>
    </row>
    <row r="16" spans="1:30" ht="1.5" customHeight="1" x14ac:dyDescent="0.35">
      <c r="A16" s="554"/>
      <c r="B16" s="233">
        <f t="shared" si="0"/>
        <v>14</v>
      </c>
      <c r="C16" s="799"/>
      <c r="D16" s="25"/>
      <c r="E16" s="538"/>
      <c r="F16" s="25"/>
      <c r="G16" s="548"/>
      <c r="H16" s="25"/>
      <c r="I16" s="538"/>
      <c r="J16" s="25"/>
      <c r="K16" s="538"/>
      <c r="Q16" s="3"/>
      <c r="AD16" s="66"/>
    </row>
    <row r="17" spans="1:30" x14ac:dyDescent="0.35">
      <c r="A17" s="554"/>
      <c r="B17" s="233">
        <f t="shared" si="0"/>
        <v>15</v>
      </c>
      <c r="C17" s="799"/>
      <c r="D17" s="25"/>
      <c r="E17" s="538"/>
      <c r="F17" s="25"/>
      <c r="G17" s="548"/>
      <c r="H17" s="25"/>
      <c r="I17" s="538"/>
      <c r="J17" s="25"/>
      <c r="K17" s="538"/>
      <c r="M17" s="64" t="b">
        <v>0</v>
      </c>
      <c r="N17" t="s">
        <v>305</v>
      </c>
      <c r="Q17" s="9"/>
      <c r="S17" s="45" t="b">
        <v>0</v>
      </c>
      <c r="T17" s="44" t="s">
        <v>306</v>
      </c>
      <c r="V17" s="115" t="b">
        <v>0</v>
      </c>
      <c r="W17" t="s">
        <v>307</v>
      </c>
      <c r="Y17" s="796" t="b">
        <v>0</v>
      </c>
      <c r="Z17" t="s">
        <v>308</v>
      </c>
      <c r="AD17" s="66"/>
    </row>
    <row r="18" spans="1:30" ht="3.65" customHeight="1" x14ac:dyDescent="0.35">
      <c r="A18" s="554"/>
      <c r="B18" s="233">
        <f t="shared" si="0"/>
        <v>16</v>
      </c>
      <c r="C18" s="799"/>
      <c r="D18" s="25"/>
      <c r="E18" s="538"/>
      <c r="F18" s="25"/>
      <c r="G18" s="548"/>
      <c r="H18" s="25"/>
      <c r="I18" s="538"/>
      <c r="J18" s="25"/>
      <c r="K18" s="538"/>
      <c r="Q18" s="9"/>
      <c r="S18" s="44"/>
      <c r="T18" s="44"/>
      <c r="Y18" s="796"/>
      <c r="AD18" s="66"/>
    </row>
    <row r="19" spans="1:30" x14ac:dyDescent="0.35">
      <c r="A19" s="554"/>
      <c r="B19" s="233">
        <f t="shared" si="0"/>
        <v>17</v>
      </c>
      <c r="C19" s="799"/>
      <c r="D19" s="25"/>
      <c r="E19" s="538"/>
      <c r="F19" s="25"/>
      <c r="G19" s="548"/>
      <c r="H19" s="25"/>
      <c r="I19" s="538"/>
      <c r="J19" s="25"/>
      <c r="K19" s="538"/>
      <c r="N19" s="73" t="s">
        <v>135</v>
      </c>
      <c r="S19" s="797" t="s">
        <v>309</v>
      </c>
      <c r="T19" s="797"/>
      <c r="V19" s="797" t="s">
        <v>310</v>
      </c>
      <c r="W19" s="797"/>
      <c r="Y19" s="796"/>
      <c r="AD19" s="66"/>
    </row>
    <row r="20" spans="1:30" x14ac:dyDescent="0.35">
      <c r="A20" s="554"/>
      <c r="B20" s="233">
        <f t="shared" si="0"/>
        <v>18</v>
      </c>
      <c r="C20" s="799"/>
      <c r="D20" s="25"/>
      <c r="E20" s="538"/>
      <c r="F20" s="25"/>
      <c r="G20" s="548"/>
      <c r="H20" s="25"/>
      <c r="I20" s="538"/>
      <c r="J20" s="25"/>
      <c r="K20" s="538"/>
      <c r="N20" s="666"/>
      <c r="S20" s="64" t="b">
        <v>0</v>
      </c>
      <c r="T20" t="s">
        <v>311</v>
      </c>
      <c r="W20" t="s">
        <v>312</v>
      </c>
      <c r="AD20" s="66"/>
    </row>
    <row r="21" spans="1:30" x14ac:dyDescent="0.35">
      <c r="A21" s="554"/>
      <c r="B21" s="233">
        <f t="shared" si="0"/>
        <v>19</v>
      </c>
      <c r="C21" s="799"/>
      <c r="D21" s="25"/>
      <c r="E21" s="538"/>
      <c r="F21" s="25"/>
      <c r="G21" s="548"/>
      <c r="H21" s="25"/>
      <c r="I21" s="538"/>
      <c r="J21" s="25"/>
      <c r="K21" s="538"/>
      <c r="N21" s="666"/>
      <c r="T21" s="73" t="s">
        <v>137</v>
      </c>
      <c r="W21" s="488" t="s">
        <v>137</v>
      </c>
      <c r="X21" s="73"/>
      <c r="Y21" s="73"/>
      <c r="Z21" s="73"/>
      <c r="AD21" s="66"/>
    </row>
    <row r="22" spans="1:30" x14ac:dyDescent="0.35">
      <c r="A22" s="554"/>
      <c r="B22" s="233">
        <f t="shared" si="0"/>
        <v>20</v>
      </c>
      <c r="C22" s="800"/>
      <c r="D22" s="25"/>
      <c r="E22" s="803"/>
      <c r="F22" s="25"/>
      <c r="G22" s="548"/>
      <c r="H22" s="25"/>
      <c r="I22" s="803"/>
      <c r="J22" s="25"/>
      <c r="K22" s="803"/>
      <c r="N22" s="482"/>
      <c r="T22" s="44"/>
      <c r="W22" s="10"/>
      <c r="X22" s="73"/>
      <c r="Y22" s="73"/>
      <c r="Z22" s="73"/>
      <c r="AD22" s="66"/>
    </row>
    <row r="23" spans="1:30" ht="9.65" customHeight="1" thickBot="1" x14ac:dyDescent="0.4">
      <c r="A23" s="555"/>
      <c r="B23" s="233"/>
      <c r="C23" s="801"/>
      <c r="D23" s="120"/>
      <c r="E23" s="804"/>
      <c r="F23" s="120"/>
      <c r="G23" s="549"/>
      <c r="H23" s="120"/>
      <c r="I23" s="804"/>
      <c r="J23" s="120"/>
      <c r="K23" s="804"/>
      <c r="L23" s="67"/>
      <c r="M23" s="67"/>
      <c r="N23" s="67"/>
      <c r="O23" s="67"/>
      <c r="P23" s="67"/>
      <c r="Q23" s="67"/>
      <c r="R23" s="67"/>
      <c r="S23" s="67"/>
      <c r="T23" s="67"/>
      <c r="U23" s="67"/>
      <c r="V23" s="99"/>
      <c r="W23" s="67"/>
      <c r="X23" s="74"/>
      <c r="Y23" s="74"/>
      <c r="Z23" s="74"/>
      <c r="AA23" s="67"/>
      <c r="AB23" s="67"/>
      <c r="AC23" s="67"/>
      <c r="AD23" s="70"/>
    </row>
    <row r="24" spans="1:30" ht="7" customHeight="1" thickBot="1" x14ac:dyDescent="0.4">
      <c r="C24" s="31"/>
      <c r="D24" s="31"/>
      <c r="E24" s="31"/>
      <c r="F24" s="31"/>
      <c r="G24" s="31"/>
      <c r="H24" s="31"/>
      <c r="I24" s="31"/>
      <c r="J24" s="31"/>
      <c r="K24" s="31"/>
      <c r="L24" s="30"/>
      <c r="M24" s="30"/>
      <c r="N24" s="30"/>
      <c r="O24" s="30"/>
      <c r="P24" s="30"/>
      <c r="Q24" s="30"/>
      <c r="R24" s="30"/>
      <c r="S24" s="30"/>
      <c r="T24" s="30"/>
      <c r="U24" s="30"/>
      <c r="V24" s="103"/>
      <c r="W24" s="30"/>
      <c r="X24" s="30"/>
      <c r="Y24" s="30"/>
      <c r="Z24" s="30"/>
      <c r="AA24" s="30"/>
      <c r="AB24" s="30"/>
      <c r="AC24" s="30"/>
      <c r="AD24" s="30"/>
    </row>
    <row r="25" spans="1:30" ht="15" customHeight="1" x14ac:dyDescent="0.35">
      <c r="A25" s="553">
        <f>A13+1</f>
        <v>2</v>
      </c>
      <c r="B25" s="13">
        <f>(A25*10)+1</f>
        <v>21</v>
      </c>
      <c r="C25" s="798"/>
      <c r="D25" s="78"/>
      <c r="E25" s="802"/>
      <c r="F25" s="78"/>
      <c r="G25" s="547"/>
      <c r="H25" s="78"/>
      <c r="I25" s="802"/>
      <c r="J25" s="78"/>
      <c r="K25" s="802"/>
      <c r="L25" s="62"/>
      <c r="M25" s="60" t="b">
        <v>0</v>
      </c>
      <c r="N25" s="62" t="s">
        <v>297</v>
      </c>
      <c r="O25" s="62"/>
      <c r="P25" s="62"/>
      <c r="Q25" s="62" t="s">
        <v>298</v>
      </c>
      <c r="R25" s="62"/>
      <c r="S25" s="747"/>
      <c r="T25" s="62" t="s">
        <v>299</v>
      </c>
      <c r="U25" s="62"/>
      <c r="V25" s="747"/>
      <c r="W25" s="62" t="s">
        <v>300</v>
      </c>
      <c r="X25" s="62"/>
      <c r="Y25" s="747"/>
      <c r="Z25" s="62" t="s">
        <v>301</v>
      </c>
      <c r="AA25" s="62"/>
      <c r="AB25" s="747"/>
      <c r="AC25" s="62" t="s">
        <v>302</v>
      </c>
      <c r="AD25" s="71"/>
    </row>
    <row r="26" spans="1:30" ht="15" customHeight="1" x14ac:dyDescent="0.35">
      <c r="A26" s="554"/>
      <c r="B26" s="233">
        <f t="shared" ref="B26:B34" si="1">B25+1</f>
        <v>22</v>
      </c>
      <c r="C26" s="799"/>
      <c r="D26" s="25"/>
      <c r="E26" s="538"/>
      <c r="F26" s="25"/>
      <c r="G26" s="548"/>
      <c r="H26" s="25"/>
      <c r="I26" s="538"/>
      <c r="J26" s="25"/>
      <c r="K26" s="538"/>
      <c r="M26" s="64" t="b">
        <v>0</v>
      </c>
      <c r="N26" t="s">
        <v>303</v>
      </c>
      <c r="Q26" s="485" t="s">
        <v>135</v>
      </c>
      <c r="S26" s="748"/>
      <c r="T26" s="485" t="s">
        <v>135</v>
      </c>
      <c r="V26" s="748"/>
      <c r="W26" s="485" t="s">
        <v>135</v>
      </c>
      <c r="Y26" s="748"/>
      <c r="Z26" s="485" t="s">
        <v>135</v>
      </c>
      <c r="AB26" s="748"/>
      <c r="AC26" s="485" t="s">
        <v>135</v>
      </c>
      <c r="AD26" s="66"/>
    </row>
    <row r="27" spans="1:30" ht="15" customHeight="1" x14ac:dyDescent="0.35">
      <c r="A27" s="554"/>
      <c r="B27" s="233">
        <f t="shared" si="1"/>
        <v>23</v>
      </c>
      <c r="C27" s="799"/>
      <c r="D27" s="25"/>
      <c r="E27" s="538"/>
      <c r="F27" s="25"/>
      <c r="G27" s="548"/>
      <c r="H27" s="25"/>
      <c r="I27" s="538"/>
      <c r="J27" s="25"/>
      <c r="K27" s="538"/>
      <c r="M27" s="64" t="b">
        <v>0</v>
      </c>
      <c r="N27" t="s">
        <v>304</v>
      </c>
      <c r="Q27" s="5"/>
      <c r="T27" s="10"/>
      <c r="W27" s="10"/>
      <c r="Z27" s="10"/>
      <c r="AC27" s="10"/>
      <c r="AD27" s="66"/>
    </row>
    <row r="28" spans="1:30" ht="4" customHeight="1" x14ac:dyDescent="0.35">
      <c r="A28" s="554"/>
      <c r="B28" s="233">
        <f t="shared" si="1"/>
        <v>24</v>
      </c>
      <c r="C28" s="799"/>
      <c r="D28" s="25"/>
      <c r="E28" s="538"/>
      <c r="F28" s="25"/>
      <c r="G28" s="548"/>
      <c r="H28" s="25"/>
      <c r="I28" s="538"/>
      <c r="J28" s="25"/>
      <c r="K28" s="538"/>
      <c r="Q28" s="3"/>
      <c r="AD28" s="66"/>
    </row>
    <row r="29" spans="1:30" ht="15" customHeight="1" x14ac:dyDescent="0.35">
      <c r="A29" s="554"/>
      <c r="B29" s="233">
        <f t="shared" si="1"/>
        <v>25</v>
      </c>
      <c r="C29" s="799"/>
      <c r="D29" s="25"/>
      <c r="E29" s="538"/>
      <c r="F29" s="25"/>
      <c r="G29" s="548"/>
      <c r="H29" s="25"/>
      <c r="I29" s="538"/>
      <c r="J29" s="25"/>
      <c r="K29" s="538"/>
      <c r="M29" s="64" t="b">
        <v>0</v>
      </c>
      <c r="N29" t="s">
        <v>305</v>
      </c>
      <c r="Q29" s="9"/>
      <c r="S29" s="45" t="b">
        <v>0</v>
      </c>
      <c r="T29" s="44" t="s">
        <v>306</v>
      </c>
      <c r="V29" s="115" t="b">
        <v>0</v>
      </c>
      <c r="W29" t="s">
        <v>307</v>
      </c>
      <c r="Y29" s="796" t="b">
        <v>0</v>
      </c>
      <c r="Z29" t="s">
        <v>308</v>
      </c>
      <c r="AD29" s="66"/>
    </row>
    <row r="30" spans="1:30" ht="4" customHeight="1" x14ac:dyDescent="0.35">
      <c r="A30" s="554"/>
      <c r="B30" s="233">
        <f t="shared" si="1"/>
        <v>26</v>
      </c>
      <c r="C30" s="799"/>
      <c r="D30" s="25"/>
      <c r="E30" s="538"/>
      <c r="F30" s="25"/>
      <c r="G30" s="548"/>
      <c r="H30" s="25"/>
      <c r="I30" s="538"/>
      <c r="J30" s="25"/>
      <c r="K30" s="538"/>
      <c r="Q30" s="9"/>
      <c r="T30" s="44"/>
      <c r="Y30" s="796"/>
      <c r="AD30" s="66"/>
    </row>
    <row r="31" spans="1:30" ht="15" customHeight="1" x14ac:dyDescent="0.35">
      <c r="A31" s="554"/>
      <c r="B31" s="233">
        <f t="shared" si="1"/>
        <v>27</v>
      </c>
      <c r="C31" s="799"/>
      <c r="D31" s="25"/>
      <c r="E31" s="538"/>
      <c r="F31" s="25"/>
      <c r="G31" s="548"/>
      <c r="H31" s="25"/>
      <c r="I31" s="538"/>
      <c r="J31" s="25"/>
      <c r="K31" s="538"/>
      <c r="N31" s="73" t="s">
        <v>135</v>
      </c>
      <c r="S31" s="797" t="s">
        <v>309</v>
      </c>
      <c r="T31" s="797"/>
      <c r="V31" s="797" t="s">
        <v>310</v>
      </c>
      <c r="W31" s="797"/>
      <c r="Y31" s="796"/>
      <c r="AD31" s="66"/>
    </row>
    <row r="32" spans="1:30" ht="15" customHeight="1" x14ac:dyDescent="0.35">
      <c r="A32" s="554"/>
      <c r="B32" s="233">
        <f t="shared" si="1"/>
        <v>28</v>
      </c>
      <c r="C32" s="799"/>
      <c r="D32" s="25"/>
      <c r="E32" s="538"/>
      <c r="F32" s="25"/>
      <c r="G32" s="548"/>
      <c r="H32" s="25"/>
      <c r="I32" s="538"/>
      <c r="J32" s="25"/>
      <c r="K32" s="538"/>
      <c r="N32" s="666"/>
      <c r="S32" s="64" t="b">
        <v>0</v>
      </c>
      <c r="T32" t="s">
        <v>311</v>
      </c>
      <c r="W32" t="s">
        <v>312</v>
      </c>
      <c r="AD32" s="66"/>
    </row>
    <row r="33" spans="1:30" ht="15" customHeight="1" x14ac:dyDescent="0.35">
      <c r="A33" s="554"/>
      <c r="B33" s="233">
        <f t="shared" si="1"/>
        <v>29</v>
      </c>
      <c r="C33" s="799"/>
      <c r="D33" s="25"/>
      <c r="E33" s="538"/>
      <c r="F33" s="25"/>
      <c r="G33" s="548"/>
      <c r="H33" s="25"/>
      <c r="I33" s="538"/>
      <c r="J33" s="25"/>
      <c r="K33" s="538"/>
      <c r="N33" s="666"/>
      <c r="T33" s="73" t="s">
        <v>137</v>
      </c>
      <c r="W33" s="488" t="s">
        <v>137</v>
      </c>
      <c r="X33" s="73"/>
      <c r="Y33" s="73"/>
      <c r="Z33" s="73"/>
      <c r="AD33" s="66"/>
    </row>
    <row r="34" spans="1:30" ht="15" customHeight="1" x14ac:dyDescent="0.35">
      <c r="A34" s="554"/>
      <c r="B34" s="233">
        <f t="shared" si="1"/>
        <v>30</v>
      </c>
      <c r="C34" s="800"/>
      <c r="D34" s="25"/>
      <c r="E34" s="803"/>
      <c r="F34" s="25"/>
      <c r="G34" s="548"/>
      <c r="H34" s="25"/>
      <c r="I34" s="803"/>
      <c r="J34" s="25"/>
      <c r="K34" s="803"/>
      <c r="N34" s="482"/>
      <c r="T34" s="44"/>
      <c r="W34" s="10"/>
      <c r="X34" s="73"/>
      <c r="Y34" s="73"/>
      <c r="Z34" s="73"/>
      <c r="AD34" s="66"/>
    </row>
    <row r="35" spans="1:30" ht="8.15" customHeight="1" thickBot="1" x14ac:dyDescent="0.4">
      <c r="A35" s="555"/>
      <c r="B35" s="233"/>
      <c r="C35" s="801"/>
      <c r="D35" s="120"/>
      <c r="E35" s="804"/>
      <c r="F35" s="120"/>
      <c r="G35" s="549"/>
      <c r="H35" s="120"/>
      <c r="I35" s="804"/>
      <c r="J35" s="120"/>
      <c r="K35" s="804"/>
      <c r="L35" s="67"/>
      <c r="M35" s="67"/>
      <c r="N35" s="67"/>
      <c r="O35" s="67"/>
      <c r="P35" s="67"/>
      <c r="Q35" s="67"/>
      <c r="R35" s="67"/>
      <c r="S35" s="67"/>
      <c r="T35" s="67"/>
      <c r="U35" s="67"/>
      <c r="V35" s="99"/>
      <c r="W35" s="67"/>
      <c r="X35" s="74"/>
      <c r="Y35" s="74"/>
      <c r="Z35" s="74"/>
      <c r="AA35" s="67"/>
      <c r="AB35" s="67"/>
      <c r="AC35" s="67"/>
      <c r="AD35" s="70"/>
    </row>
    <row r="36" spans="1:30" ht="7" customHeight="1" thickBot="1" x14ac:dyDescent="0.4">
      <c r="C36" s="31"/>
      <c r="D36" s="31"/>
      <c r="E36" s="31"/>
      <c r="F36" s="31"/>
      <c r="G36" s="31"/>
      <c r="H36" s="31"/>
      <c r="I36" s="31"/>
      <c r="J36" s="31"/>
      <c r="K36" s="31"/>
      <c r="L36" s="30"/>
      <c r="M36" s="30"/>
      <c r="N36" s="30"/>
      <c r="O36" s="30"/>
      <c r="P36" s="30"/>
      <c r="Q36" s="30"/>
      <c r="R36" s="30"/>
      <c r="S36" s="30"/>
      <c r="T36" s="30"/>
      <c r="U36" s="30"/>
      <c r="V36" s="103"/>
      <c r="W36" s="30"/>
      <c r="X36" s="30"/>
      <c r="Y36" s="30"/>
      <c r="Z36" s="30"/>
      <c r="AA36" s="30"/>
      <c r="AB36" s="30"/>
      <c r="AC36" s="30"/>
      <c r="AD36" s="30"/>
    </row>
    <row r="37" spans="1:30" ht="15" customHeight="1" x14ac:dyDescent="0.35">
      <c r="A37" s="553">
        <f>A25+1</f>
        <v>3</v>
      </c>
      <c r="B37" s="13">
        <f>(A37*10)+1</f>
        <v>31</v>
      </c>
      <c r="C37" s="798"/>
      <c r="D37" s="78"/>
      <c r="E37" s="802"/>
      <c r="F37" s="78"/>
      <c r="G37" s="547"/>
      <c r="H37" s="78"/>
      <c r="I37" s="802"/>
      <c r="J37" s="78"/>
      <c r="K37" s="802"/>
      <c r="L37" s="62"/>
      <c r="M37" s="60" t="b">
        <v>0</v>
      </c>
      <c r="N37" s="62" t="s">
        <v>297</v>
      </c>
      <c r="O37" s="62"/>
      <c r="P37" s="62"/>
      <c r="Q37" s="62" t="s">
        <v>298</v>
      </c>
      <c r="R37" s="62"/>
      <c r="S37" s="747"/>
      <c r="T37" s="62" t="s">
        <v>299</v>
      </c>
      <c r="U37" s="62"/>
      <c r="V37" s="747"/>
      <c r="W37" s="62" t="s">
        <v>300</v>
      </c>
      <c r="X37" s="62"/>
      <c r="Y37" s="747"/>
      <c r="Z37" s="62" t="s">
        <v>301</v>
      </c>
      <c r="AA37" s="62"/>
      <c r="AB37" s="747"/>
      <c r="AC37" s="62" t="s">
        <v>302</v>
      </c>
      <c r="AD37" s="71"/>
    </row>
    <row r="38" spans="1:30" ht="15" customHeight="1" x14ac:dyDescent="0.35">
      <c r="A38" s="554"/>
      <c r="B38" s="233">
        <f t="shared" ref="B38:B46" si="2">B37+1</f>
        <v>32</v>
      </c>
      <c r="C38" s="799"/>
      <c r="D38" s="25"/>
      <c r="E38" s="538"/>
      <c r="F38" s="25"/>
      <c r="G38" s="548"/>
      <c r="H38" s="25"/>
      <c r="I38" s="538"/>
      <c r="J38" s="25"/>
      <c r="K38" s="538"/>
      <c r="M38" s="64" t="b">
        <v>0</v>
      </c>
      <c r="N38" t="s">
        <v>303</v>
      </c>
      <c r="Q38" s="485" t="s">
        <v>135</v>
      </c>
      <c r="S38" s="748"/>
      <c r="T38" s="485" t="s">
        <v>135</v>
      </c>
      <c r="V38" s="748"/>
      <c r="W38" s="485" t="s">
        <v>135</v>
      </c>
      <c r="Y38" s="748"/>
      <c r="Z38" s="485" t="s">
        <v>135</v>
      </c>
      <c r="AB38" s="748"/>
      <c r="AC38" s="485" t="s">
        <v>135</v>
      </c>
      <c r="AD38" s="66"/>
    </row>
    <row r="39" spans="1:30" ht="15" customHeight="1" x14ac:dyDescent="0.35">
      <c r="A39" s="554"/>
      <c r="B39" s="233">
        <f t="shared" si="2"/>
        <v>33</v>
      </c>
      <c r="C39" s="799"/>
      <c r="D39" s="25"/>
      <c r="E39" s="538"/>
      <c r="F39" s="25"/>
      <c r="G39" s="548"/>
      <c r="H39" s="25"/>
      <c r="I39" s="538"/>
      <c r="J39" s="25"/>
      <c r="K39" s="538"/>
      <c r="M39" s="64" t="b">
        <v>0</v>
      </c>
      <c r="N39" t="s">
        <v>304</v>
      </c>
      <c r="Q39" s="5"/>
      <c r="T39" s="10"/>
      <c r="W39" s="10"/>
      <c r="Z39" s="10"/>
      <c r="AC39" s="10"/>
      <c r="AD39" s="66"/>
    </row>
    <row r="40" spans="1:30" ht="4" customHeight="1" x14ac:dyDescent="0.35">
      <c r="A40" s="554"/>
      <c r="B40" s="233">
        <f t="shared" si="2"/>
        <v>34</v>
      </c>
      <c r="C40" s="799"/>
      <c r="D40" s="25"/>
      <c r="E40" s="538"/>
      <c r="F40" s="25"/>
      <c r="G40" s="548"/>
      <c r="H40" s="25"/>
      <c r="I40" s="538"/>
      <c r="J40" s="25"/>
      <c r="K40" s="538"/>
      <c r="Q40" s="3"/>
      <c r="AD40" s="66"/>
    </row>
    <row r="41" spans="1:30" ht="15" customHeight="1" x14ac:dyDescent="0.35">
      <c r="A41" s="554"/>
      <c r="B41" s="233">
        <f t="shared" si="2"/>
        <v>35</v>
      </c>
      <c r="C41" s="799"/>
      <c r="D41" s="25"/>
      <c r="E41" s="538"/>
      <c r="F41" s="25"/>
      <c r="G41" s="548"/>
      <c r="H41" s="25"/>
      <c r="I41" s="538"/>
      <c r="J41" s="25"/>
      <c r="K41" s="538"/>
      <c r="M41" s="64" t="b">
        <v>0</v>
      </c>
      <c r="N41" t="s">
        <v>305</v>
      </c>
      <c r="Q41" s="9"/>
      <c r="S41" s="45" t="b">
        <v>0</v>
      </c>
      <c r="T41" s="44" t="s">
        <v>306</v>
      </c>
      <c r="V41" s="115" t="b">
        <v>0</v>
      </c>
      <c r="W41" t="s">
        <v>307</v>
      </c>
      <c r="Y41" s="796" t="b">
        <v>0</v>
      </c>
      <c r="Z41" t="s">
        <v>308</v>
      </c>
      <c r="AD41" s="66"/>
    </row>
    <row r="42" spans="1:30" ht="4" customHeight="1" x14ac:dyDescent="0.35">
      <c r="A42" s="554"/>
      <c r="B42" s="233">
        <f t="shared" si="2"/>
        <v>36</v>
      </c>
      <c r="C42" s="799"/>
      <c r="D42" s="25"/>
      <c r="E42" s="538"/>
      <c r="F42" s="25"/>
      <c r="G42" s="548"/>
      <c r="H42" s="25"/>
      <c r="I42" s="538"/>
      <c r="J42" s="25"/>
      <c r="K42" s="538"/>
      <c r="Q42" s="9"/>
      <c r="S42" s="44"/>
      <c r="T42" s="44"/>
      <c r="Y42" s="796"/>
      <c r="AD42" s="66"/>
    </row>
    <row r="43" spans="1:30" ht="15" customHeight="1" x14ac:dyDescent="0.35">
      <c r="A43" s="554"/>
      <c r="B43" s="233">
        <f t="shared" si="2"/>
        <v>37</v>
      </c>
      <c r="C43" s="799"/>
      <c r="D43" s="25"/>
      <c r="E43" s="538"/>
      <c r="F43" s="25"/>
      <c r="G43" s="548"/>
      <c r="H43" s="25"/>
      <c r="I43" s="538"/>
      <c r="J43" s="25"/>
      <c r="K43" s="538"/>
      <c r="N43" s="73" t="s">
        <v>135</v>
      </c>
      <c r="S43" s="797" t="s">
        <v>309</v>
      </c>
      <c r="T43" s="797"/>
      <c r="V43" s="797" t="s">
        <v>310</v>
      </c>
      <c r="W43" s="797"/>
      <c r="Y43" s="796"/>
      <c r="AD43" s="66"/>
    </row>
    <row r="44" spans="1:30" ht="15" customHeight="1" x14ac:dyDescent="0.35">
      <c r="A44" s="554"/>
      <c r="B44" s="233">
        <f t="shared" si="2"/>
        <v>38</v>
      </c>
      <c r="C44" s="799"/>
      <c r="D44" s="25"/>
      <c r="E44" s="538"/>
      <c r="F44" s="25"/>
      <c r="G44" s="548"/>
      <c r="H44" s="25"/>
      <c r="I44" s="538"/>
      <c r="J44" s="25"/>
      <c r="K44" s="538"/>
      <c r="N44" s="666"/>
      <c r="S44" s="64" t="b">
        <v>0</v>
      </c>
      <c r="T44" t="s">
        <v>311</v>
      </c>
      <c r="W44" t="s">
        <v>312</v>
      </c>
      <c r="AD44" s="66"/>
    </row>
    <row r="45" spans="1:30" ht="15" customHeight="1" x14ac:dyDescent="0.35">
      <c r="A45" s="554"/>
      <c r="B45" s="233">
        <f t="shared" si="2"/>
        <v>39</v>
      </c>
      <c r="C45" s="799"/>
      <c r="D45" s="25"/>
      <c r="E45" s="538"/>
      <c r="F45" s="25"/>
      <c r="G45" s="548"/>
      <c r="H45" s="25"/>
      <c r="I45" s="538"/>
      <c r="J45" s="25"/>
      <c r="K45" s="538"/>
      <c r="N45" s="666"/>
      <c r="T45" s="73" t="s">
        <v>137</v>
      </c>
      <c r="W45" s="488" t="s">
        <v>137</v>
      </c>
      <c r="X45" s="73"/>
      <c r="Y45" s="73"/>
      <c r="Z45" s="73"/>
      <c r="AD45" s="66"/>
    </row>
    <row r="46" spans="1:30" ht="15" customHeight="1" x14ac:dyDescent="0.35">
      <c r="A46" s="554"/>
      <c r="B46" s="233">
        <f t="shared" si="2"/>
        <v>40</v>
      </c>
      <c r="C46" s="800"/>
      <c r="D46" s="25"/>
      <c r="E46" s="803"/>
      <c r="F46" s="25"/>
      <c r="G46" s="548"/>
      <c r="H46" s="25"/>
      <c r="I46" s="803"/>
      <c r="J46" s="25"/>
      <c r="K46" s="803"/>
      <c r="N46" s="482"/>
      <c r="T46" s="44"/>
      <c r="W46" s="10"/>
      <c r="X46" s="73"/>
      <c r="Y46" s="73"/>
      <c r="Z46" s="73"/>
      <c r="AD46" s="66"/>
    </row>
    <row r="47" spans="1:30" ht="8.15" customHeight="1" thickBot="1" x14ac:dyDescent="0.4">
      <c r="A47" s="555"/>
      <c r="B47" s="233"/>
      <c r="C47" s="801"/>
      <c r="D47" s="120"/>
      <c r="E47" s="804"/>
      <c r="F47" s="120"/>
      <c r="G47" s="549"/>
      <c r="H47" s="120"/>
      <c r="I47" s="804"/>
      <c r="J47" s="120"/>
      <c r="K47" s="804"/>
      <c r="L47" s="67"/>
      <c r="M47" s="67"/>
      <c r="N47" s="67"/>
      <c r="O47" s="67"/>
      <c r="P47" s="67"/>
      <c r="Q47" s="67"/>
      <c r="R47" s="67"/>
      <c r="S47" s="67"/>
      <c r="T47" s="67"/>
      <c r="U47" s="67"/>
      <c r="V47" s="99"/>
      <c r="W47" s="67"/>
      <c r="X47" s="74"/>
      <c r="Y47" s="74"/>
      <c r="Z47" s="74"/>
      <c r="AA47" s="67"/>
      <c r="AB47" s="67"/>
      <c r="AC47" s="67"/>
      <c r="AD47" s="70"/>
    </row>
    <row r="48" spans="1:30" ht="15" customHeight="1" thickBot="1" x14ac:dyDescent="0.4">
      <c r="C48" s="31"/>
      <c r="D48" s="31"/>
      <c r="E48" s="31"/>
      <c r="F48" s="31"/>
      <c r="G48" s="31"/>
      <c r="H48" s="31"/>
      <c r="I48" s="31"/>
      <c r="J48" s="31"/>
      <c r="K48" s="31"/>
      <c r="L48" s="30"/>
      <c r="M48" s="30"/>
      <c r="N48" s="30"/>
      <c r="O48" s="30"/>
      <c r="P48" s="30"/>
      <c r="Q48" s="30"/>
      <c r="R48" s="30"/>
      <c r="S48" s="30"/>
      <c r="T48" s="30"/>
      <c r="U48" s="30"/>
      <c r="V48" s="103"/>
      <c r="W48" s="30"/>
      <c r="X48" s="30"/>
      <c r="Y48" s="30"/>
      <c r="Z48" s="30"/>
      <c r="AA48" s="30"/>
      <c r="AB48" s="30"/>
      <c r="AC48" s="30"/>
      <c r="AD48" s="30"/>
    </row>
    <row r="49" spans="1:30" ht="15" customHeight="1" x14ac:dyDescent="0.35">
      <c r="A49" s="553">
        <f>A37+1</f>
        <v>4</v>
      </c>
      <c r="B49" s="13">
        <f>(A49*10)+1</f>
        <v>41</v>
      </c>
      <c r="C49" s="798"/>
      <c r="D49" s="78"/>
      <c r="E49" s="802"/>
      <c r="F49" s="78"/>
      <c r="G49" s="547"/>
      <c r="H49" s="78"/>
      <c r="I49" s="802"/>
      <c r="J49" s="78"/>
      <c r="K49" s="802"/>
      <c r="L49" s="62"/>
      <c r="M49" s="60" t="b">
        <v>0</v>
      </c>
      <c r="N49" s="62" t="s">
        <v>297</v>
      </c>
      <c r="O49" s="62"/>
      <c r="P49" s="62"/>
      <c r="Q49" s="62" t="s">
        <v>298</v>
      </c>
      <c r="R49" s="62"/>
      <c r="S49" s="747"/>
      <c r="T49" s="62" t="s">
        <v>299</v>
      </c>
      <c r="U49" s="62"/>
      <c r="V49" s="747"/>
      <c r="W49" s="62" t="s">
        <v>300</v>
      </c>
      <c r="X49" s="62"/>
      <c r="Y49" s="747"/>
      <c r="Z49" s="62" t="s">
        <v>301</v>
      </c>
      <c r="AA49" s="62"/>
      <c r="AB49" s="747"/>
      <c r="AC49" s="62" t="s">
        <v>302</v>
      </c>
      <c r="AD49" s="71"/>
    </row>
    <row r="50" spans="1:30" ht="15" customHeight="1" x14ac:dyDescent="0.35">
      <c r="A50" s="554"/>
      <c r="B50" s="233">
        <f t="shared" ref="B50:B58" si="3">B49+1</f>
        <v>42</v>
      </c>
      <c r="C50" s="799"/>
      <c r="D50" s="25"/>
      <c r="E50" s="538"/>
      <c r="F50" s="25"/>
      <c r="G50" s="548"/>
      <c r="H50" s="25"/>
      <c r="I50" s="538"/>
      <c r="J50" s="25"/>
      <c r="K50" s="538"/>
      <c r="M50" s="64" t="b">
        <v>0</v>
      </c>
      <c r="N50" t="s">
        <v>303</v>
      </c>
      <c r="Q50" s="485" t="s">
        <v>135</v>
      </c>
      <c r="S50" s="748"/>
      <c r="T50" s="485" t="s">
        <v>135</v>
      </c>
      <c r="V50" s="748"/>
      <c r="W50" s="485" t="s">
        <v>135</v>
      </c>
      <c r="Y50" s="748"/>
      <c r="Z50" s="485" t="s">
        <v>135</v>
      </c>
      <c r="AB50" s="748"/>
      <c r="AC50" s="485" t="s">
        <v>135</v>
      </c>
      <c r="AD50" s="66"/>
    </row>
    <row r="51" spans="1:30" ht="15" customHeight="1" x14ac:dyDescent="0.35">
      <c r="A51" s="554"/>
      <c r="B51" s="233">
        <f t="shared" si="3"/>
        <v>43</v>
      </c>
      <c r="C51" s="799"/>
      <c r="D51" s="25"/>
      <c r="E51" s="538"/>
      <c r="F51" s="25"/>
      <c r="G51" s="548"/>
      <c r="H51" s="25"/>
      <c r="I51" s="538"/>
      <c r="J51" s="25"/>
      <c r="K51" s="538"/>
      <c r="M51" s="64" t="b">
        <v>0</v>
      </c>
      <c r="N51" t="s">
        <v>304</v>
      </c>
      <c r="Q51" s="5"/>
      <c r="T51" s="10"/>
      <c r="W51" s="10"/>
      <c r="Z51" s="10"/>
      <c r="AC51" s="10"/>
      <c r="AD51" s="66"/>
    </row>
    <row r="52" spans="1:30" ht="4" customHeight="1" x14ac:dyDescent="0.35">
      <c r="A52" s="554"/>
      <c r="B52" s="233">
        <f t="shared" si="3"/>
        <v>44</v>
      </c>
      <c r="C52" s="799"/>
      <c r="D52" s="25"/>
      <c r="E52" s="538"/>
      <c r="F52" s="25"/>
      <c r="G52" s="548"/>
      <c r="H52" s="25"/>
      <c r="I52" s="538"/>
      <c r="J52" s="25"/>
      <c r="K52" s="538"/>
      <c r="Q52" s="3"/>
      <c r="AD52" s="66"/>
    </row>
    <row r="53" spans="1:30" ht="15" customHeight="1" x14ac:dyDescent="0.35">
      <c r="A53" s="554"/>
      <c r="B53" s="233">
        <f t="shared" si="3"/>
        <v>45</v>
      </c>
      <c r="C53" s="799"/>
      <c r="D53" s="25"/>
      <c r="E53" s="538"/>
      <c r="F53" s="25"/>
      <c r="G53" s="548"/>
      <c r="H53" s="25"/>
      <c r="I53" s="538"/>
      <c r="J53" s="25"/>
      <c r="K53" s="538"/>
      <c r="M53" s="64" t="b">
        <v>0</v>
      </c>
      <c r="N53" t="s">
        <v>305</v>
      </c>
      <c r="Q53" s="9"/>
      <c r="S53" s="45" t="b">
        <v>0</v>
      </c>
      <c r="T53" s="44" t="s">
        <v>306</v>
      </c>
      <c r="V53" s="115" t="b">
        <v>0</v>
      </c>
      <c r="W53" t="s">
        <v>307</v>
      </c>
      <c r="Y53" s="796" t="b">
        <v>0</v>
      </c>
      <c r="Z53" t="s">
        <v>308</v>
      </c>
      <c r="AD53" s="66"/>
    </row>
    <row r="54" spans="1:30" ht="4" customHeight="1" x14ac:dyDescent="0.35">
      <c r="A54" s="554"/>
      <c r="B54" s="233">
        <f t="shared" si="3"/>
        <v>46</v>
      </c>
      <c r="C54" s="799"/>
      <c r="D54" s="25"/>
      <c r="E54" s="538"/>
      <c r="F54" s="25"/>
      <c r="G54" s="548"/>
      <c r="H54" s="25"/>
      <c r="I54" s="538"/>
      <c r="J54" s="25"/>
      <c r="K54" s="538"/>
      <c r="Q54" s="9"/>
      <c r="S54" s="44"/>
      <c r="T54" s="44"/>
      <c r="Y54" s="796"/>
      <c r="AD54" s="66"/>
    </row>
    <row r="55" spans="1:30" ht="15" customHeight="1" x14ac:dyDescent="0.35">
      <c r="A55" s="554"/>
      <c r="B55" s="233">
        <f t="shared" si="3"/>
        <v>47</v>
      </c>
      <c r="C55" s="799"/>
      <c r="D55" s="25"/>
      <c r="E55" s="538"/>
      <c r="F55" s="25"/>
      <c r="G55" s="548"/>
      <c r="H55" s="25"/>
      <c r="I55" s="538"/>
      <c r="J55" s="25"/>
      <c r="K55" s="538"/>
      <c r="N55" s="73" t="s">
        <v>135</v>
      </c>
      <c r="S55" s="797" t="s">
        <v>309</v>
      </c>
      <c r="T55" s="797"/>
      <c r="V55" s="797" t="s">
        <v>310</v>
      </c>
      <c r="W55" s="797"/>
      <c r="Y55" s="796"/>
      <c r="AD55" s="66"/>
    </row>
    <row r="56" spans="1:30" ht="15" customHeight="1" x14ac:dyDescent="0.35">
      <c r="A56" s="554"/>
      <c r="B56" s="233">
        <f t="shared" si="3"/>
        <v>48</v>
      </c>
      <c r="C56" s="799"/>
      <c r="D56" s="25"/>
      <c r="E56" s="538"/>
      <c r="F56" s="25"/>
      <c r="G56" s="548"/>
      <c r="H56" s="25"/>
      <c r="I56" s="538"/>
      <c r="J56" s="25"/>
      <c r="K56" s="538"/>
      <c r="N56" s="666"/>
      <c r="S56" s="64" t="b">
        <v>0</v>
      </c>
      <c r="T56" t="s">
        <v>311</v>
      </c>
      <c r="W56" t="s">
        <v>312</v>
      </c>
      <c r="AD56" s="66"/>
    </row>
    <row r="57" spans="1:30" ht="15" customHeight="1" x14ac:dyDescent="0.35">
      <c r="A57" s="554"/>
      <c r="B57" s="233">
        <f t="shared" si="3"/>
        <v>49</v>
      </c>
      <c r="C57" s="799"/>
      <c r="D57" s="25"/>
      <c r="E57" s="538"/>
      <c r="F57" s="25"/>
      <c r="G57" s="548"/>
      <c r="H57" s="25"/>
      <c r="I57" s="538"/>
      <c r="J57" s="25"/>
      <c r="K57" s="538"/>
      <c r="N57" s="666"/>
      <c r="T57" s="73" t="s">
        <v>137</v>
      </c>
      <c r="W57" s="488" t="s">
        <v>137</v>
      </c>
      <c r="X57" s="73"/>
      <c r="Y57" s="73"/>
      <c r="Z57" s="73"/>
      <c r="AD57" s="66"/>
    </row>
    <row r="58" spans="1:30" ht="15" customHeight="1" x14ac:dyDescent="0.35">
      <c r="A58" s="554"/>
      <c r="B58" s="233">
        <f t="shared" si="3"/>
        <v>50</v>
      </c>
      <c r="C58" s="800"/>
      <c r="D58" s="25"/>
      <c r="E58" s="803"/>
      <c r="F58" s="25"/>
      <c r="G58" s="548"/>
      <c r="H58" s="25"/>
      <c r="I58" s="803"/>
      <c r="J58" s="25"/>
      <c r="K58" s="803"/>
      <c r="N58" s="482"/>
      <c r="T58" s="44"/>
      <c r="W58" s="10"/>
      <c r="X58" s="73"/>
      <c r="Y58" s="73"/>
      <c r="Z58" s="73"/>
      <c r="AD58" s="66"/>
    </row>
    <row r="59" spans="1:30" ht="8.15" customHeight="1" thickBot="1" x14ac:dyDescent="0.4">
      <c r="A59" s="555"/>
      <c r="B59" s="233"/>
      <c r="C59" s="801"/>
      <c r="D59" s="120"/>
      <c r="E59" s="804"/>
      <c r="F59" s="120"/>
      <c r="G59" s="549"/>
      <c r="H59" s="120"/>
      <c r="I59" s="804"/>
      <c r="J59" s="120"/>
      <c r="K59" s="804"/>
      <c r="L59" s="67"/>
      <c r="M59" s="67"/>
      <c r="N59" s="67"/>
      <c r="O59" s="67"/>
      <c r="P59" s="67"/>
      <c r="Q59" s="67"/>
      <c r="R59" s="67"/>
      <c r="S59" s="67"/>
      <c r="T59" s="67"/>
      <c r="U59" s="67"/>
      <c r="V59" s="99"/>
      <c r="W59" s="67"/>
      <c r="X59" s="74"/>
      <c r="Y59" s="74"/>
      <c r="Z59" s="74"/>
      <c r="AA59" s="67"/>
      <c r="AB59" s="67"/>
      <c r="AC59" s="67"/>
      <c r="AD59" s="70"/>
    </row>
    <row r="60" spans="1:30" ht="15" customHeight="1" thickBot="1" x14ac:dyDescent="0.4">
      <c r="C60" s="31"/>
      <c r="D60" s="31"/>
      <c r="E60" s="31"/>
      <c r="F60" s="31"/>
      <c r="G60" s="31"/>
      <c r="H60" s="31"/>
      <c r="I60" s="31"/>
      <c r="J60" s="31"/>
      <c r="K60" s="31"/>
      <c r="L60" s="30"/>
      <c r="M60" s="30"/>
      <c r="N60" s="30"/>
      <c r="O60" s="30"/>
      <c r="P60" s="30"/>
      <c r="Q60" s="30"/>
      <c r="R60" s="30"/>
      <c r="S60" s="30"/>
      <c r="T60" s="30"/>
      <c r="U60" s="30"/>
      <c r="V60" s="103"/>
      <c r="W60" s="30"/>
      <c r="X60" s="30"/>
      <c r="Y60" s="30"/>
      <c r="Z60" s="30"/>
      <c r="AA60" s="30"/>
      <c r="AB60" s="30"/>
      <c r="AC60" s="30"/>
      <c r="AD60" s="30"/>
    </row>
    <row r="61" spans="1:30" ht="15" customHeight="1" x14ac:dyDescent="0.35">
      <c r="A61" s="553">
        <f>A49+1</f>
        <v>5</v>
      </c>
      <c r="B61" s="13">
        <f>(A61*10)+1</f>
        <v>51</v>
      </c>
      <c r="C61" s="798"/>
      <c r="D61" s="78"/>
      <c r="E61" s="802"/>
      <c r="F61" s="78"/>
      <c r="G61" s="547"/>
      <c r="H61" s="78"/>
      <c r="I61" s="802"/>
      <c r="J61" s="78"/>
      <c r="K61" s="802"/>
      <c r="L61" s="62"/>
      <c r="M61" s="60" t="b">
        <v>0</v>
      </c>
      <c r="N61" s="62" t="s">
        <v>297</v>
      </c>
      <c r="O61" s="62"/>
      <c r="P61" s="62"/>
      <c r="Q61" s="62" t="s">
        <v>298</v>
      </c>
      <c r="R61" s="62"/>
      <c r="S61" s="747"/>
      <c r="T61" s="62" t="s">
        <v>299</v>
      </c>
      <c r="U61" s="62"/>
      <c r="V61" s="747"/>
      <c r="W61" s="62" t="s">
        <v>300</v>
      </c>
      <c r="X61" s="62"/>
      <c r="Y61" s="747"/>
      <c r="Z61" s="62" t="s">
        <v>301</v>
      </c>
      <c r="AA61" s="62"/>
      <c r="AB61" s="747"/>
      <c r="AC61" s="62" t="s">
        <v>302</v>
      </c>
      <c r="AD61" s="71"/>
    </row>
    <row r="62" spans="1:30" ht="15" customHeight="1" x14ac:dyDescent="0.35">
      <c r="A62" s="554"/>
      <c r="B62" s="233">
        <f t="shared" ref="B62:B70" si="4">B61+1</f>
        <v>52</v>
      </c>
      <c r="C62" s="799"/>
      <c r="D62" s="25"/>
      <c r="E62" s="538"/>
      <c r="F62" s="25"/>
      <c r="G62" s="548"/>
      <c r="H62" s="25"/>
      <c r="I62" s="538"/>
      <c r="J62" s="25"/>
      <c r="K62" s="538"/>
      <c r="M62" s="64" t="b">
        <v>0</v>
      </c>
      <c r="N62" t="s">
        <v>303</v>
      </c>
      <c r="Q62" s="485" t="s">
        <v>135</v>
      </c>
      <c r="S62" s="748"/>
      <c r="T62" s="485" t="s">
        <v>135</v>
      </c>
      <c r="V62" s="748"/>
      <c r="W62" s="485" t="s">
        <v>135</v>
      </c>
      <c r="Y62" s="748"/>
      <c r="Z62" s="485" t="s">
        <v>135</v>
      </c>
      <c r="AB62" s="748"/>
      <c r="AC62" s="485" t="s">
        <v>135</v>
      </c>
      <c r="AD62" s="66"/>
    </row>
    <row r="63" spans="1:30" ht="15" customHeight="1" x14ac:dyDescent="0.35">
      <c r="A63" s="554"/>
      <c r="B63" s="233">
        <f t="shared" si="4"/>
        <v>53</v>
      </c>
      <c r="C63" s="799"/>
      <c r="D63" s="25"/>
      <c r="E63" s="538"/>
      <c r="F63" s="25"/>
      <c r="G63" s="548"/>
      <c r="H63" s="25"/>
      <c r="I63" s="538"/>
      <c r="J63" s="25"/>
      <c r="K63" s="538"/>
      <c r="M63" s="64" t="b">
        <v>0</v>
      </c>
      <c r="N63" t="s">
        <v>304</v>
      </c>
      <c r="Q63" s="5"/>
      <c r="T63" s="10"/>
      <c r="W63" s="10"/>
      <c r="Z63" s="10"/>
      <c r="AC63" s="10"/>
      <c r="AD63" s="66"/>
    </row>
    <row r="64" spans="1:30" ht="4" customHeight="1" x14ac:dyDescent="0.35">
      <c r="A64" s="554"/>
      <c r="B64" s="233">
        <f t="shared" si="4"/>
        <v>54</v>
      </c>
      <c r="C64" s="799"/>
      <c r="D64" s="25"/>
      <c r="E64" s="538"/>
      <c r="F64" s="25"/>
      <c r="G64" s="548"/>
      <c r="H64" s="25"/>
      <c r="I64" s="538"/>
      <c r="J64" s="25"/>
      <c r="K64" s="538"/>
      <c r="Q64" s="3"/>
      <c r="AD64" s="66"/>
    </row>
    <row r="65" spans="1:30" ht="15" customHeight="1" x14ac:dyDescent="0.35">
      <c r="A65" s="554"/>
      <c r="B65" s="233">
        <f t="shared" si="4"/>
        <v>55</v>
      </c>
      <c r="C65" s="799"/>
      <c r="D65" s="25"/>
      <c r="E65" s="538"/>
      <c r="F65" s="25"/>
      <c r="G65" s="548"/>
      <c r="H65" s="25"/>
      <c r="I65" s="538"/>
      <c r="J65" s="25"/>
      <c r="K65" s="538"/>
      <c r="M65" s="64" t="b">
        <v>0</v>
      </c>
      <c r="N65" t="s">
        <v>305</v>
      </c>
      <c r="Q65" s="9"/>
      <c r="S65" s="45" t="b">
        <v>0</v>
      </c>
      <c r="T65" s="44" t="s">
        <v>306</v>
      </c>
      <c r="V65" s="115" t="b">
        <v>0</v>
      </c>
      <c r="W65" t="s">
        <v>307</v>
      </c>
      <c r="Y65" s="796" t="b">
        <v>0</v>
      </c>
      <c r="Z65" t="s">
        <v>308</v>
      </c>
      <c r="AD65" s="66"/>
    </row>
    <row r="66" spans="1:30" ht="4" customHeight="1" x14ac:dyDescent="0.35">
      <c r="A66" s="554"/>
      <c r="B66" s="233">
        <f t="shared" si="4"/>
        <v>56</v>
      </c>
      <c r="C66" s="799"/>
      <c r="D66" s="25"/>
      <c r="E66" s="538"/>
      <c r="F66" s="25"/>
      <c r="G66" s="548"/>
      <c r="H66" s="25"/>
      <c r="I66" s="538"/>
      <c r="J66" s="25"/>
      <c r="K66" s="538"/>
      <c r="Q66" s="9"/>
      <c r="S66" s="44"/>
      <c r="T66" s="44"/>
      <c r="Y66" s="796"/>
      <c r="AD66" s="66"/>
    </row>
    <row r="67" spans="1:30" ht="15" customHeight="1" x14ac:dyDescent="0.35">
      <c r="A67" s="554"/>
      <c r="B67" s="233">
        <f t="shared" si="4"/>
        <v>57</v>
      </c>
      <c r="C67" s="799"/>
      <c r="D67" s="25"/>
      <c r="E67" s="538"/>
      <c r="F67" s="25"/>
      <c r="G67" s="548"/>
      <c r="H67" s="25"/>
      <c r="I67" s="538"/>
      <c r="J67" s="25"/>
      <c r="K67" s="538"/>
      <c r="N67" s="73" t="s">
        <v>135</v>
      </c>
      <c r="S67" s="797" t="s">
        <v>309</v>
      </c>
      <c r="T67" s="797"/>
      <c r="V67" s="797" t="s">
        <v>310</v>
      </c>
      <c r="W67" s="797"/>
      <c r="Y67" s="796"/>
      <c r="AD67" s="66"/>
    </row>
    <row r="68" spans="1:30" ht="15" customHeight="1" x14ac:dyDescent="0.35">
      <c r="A68" s="554"/>
      <c r="B68" s="233">
        <f t="shared" si="4"/>
        <v>58</v>
      </c>
      <c r="C68" s="799"/>
      <c r="D68" s="25"/>
      <c r="E68" s="538"/>
      <c r="F68" s="25"/>
      <c r="G68" s="548"/>
      <c r="H68" s="25"/>
      <c r="I68" s="538"/>
      <c r="J68" s="25"/>
      <c r="K68" s="538"/>
      <c r="N68" s="666"/>
      <c r="S68" s="64" t="b">
        <v>0</v>
      </c>
      <c r="T68" t="s">
        <v>311</v>
      </c>
      <c r="W68" t="s">
        <v>312</v>
      </c>
      <c r="AD68" s="66"/>
    </row>
    <row r="69" spans="1:30" ht="15" customHeight="1" x14ac:dyDescent="0.35">
      <c r="A69" s="554"/>
      <c r="B69" s="233">
        <f t="shared" si="4"/>
        <v>59</v>
      </c>
      <c r="C69" s="799"/>
      <c r="D69" s="25"/>
      <c r="E69" s="538"/>
      <c r="F69" s="25"/>
      <c r="G69" s="548"/>
      <c r="H69" s="25"/>
      <c r="I69" s="538"/>
      <c r="J69" s="25"/>
      <c r="K69" s="538"/>
      <c r="N69" s="666"/>
      <c r="T69" s="73" t="s">
        <v>137</v>
      </c>
      <c r="W69" s="488" t="s">
        <v>137</v>
      </c>
      <c r="X69" s="73"/>
      <c r="Y69" s="73"/>
      <c r="Z69" s="73"/>
      <c r="AD69" s="66"/>
    </row>
    <row r="70" spans="1:30" ht="15" customHeight="1" x14ac:dyDescent="0.35">
      <c r="A70" s="554"/>
      <c r="B70" s="233">
        <f t="shared" si="4"/>
        <v>60</v>
      </c>
      <c r="C70" s="800"/>
      <c r="D70" s="25"/>
      <c r="E70" s="803"/>
      <c r="F70" s="25"/>
      <c r="G70" s="548"/>
      <c r="H70" s="25"/>
      <c r="I70" s="803"/>
      <c r="J70" s="25"/>
      <c r="K70" s="803"/>
      <c r="N70" s="482"/>
      <c r="T70" s="44"/>
      <c r="W70" s="10"/>
      <c r="X70" s="73"/>
      <c r="Y70" s="73"/>
      <c r="Z70" s="73"/>
      <c r="AD70" s="66"/>
    </row>
    <row r="71" spans="1:30" ht="8.15" customHeight="1" thickBot="1" x14ac:dyDescent="0.4">
      <c r="A71" s="555"/>
      <c r="B71" s="233"/>
      <c r="C71" s="801"/>
      <c r="D71" s="120"/>
      <c r="E71" s="804"/>
      <c r="F71" s="120"/>
      <c r="G71" s="549"/>
      <c r="H71" s="120"/>
      <c r="I71" s="804"/>
      <c r="J71" s="120"/>
      <c r="K71" s="804"/>
      <c r="L71" s="67"/>
      <c r="M71" s="67"/>
      <c r="N71" s="67"/>
      <c r="O71" s="67"/>
      <c r="P71" s="67"/>
      <c r="Q71" s="67"/>
      <c r="R71" s="67"/>
      <c r="S71" s="67"/>
      <c r="T71" s="67"/>
      <c r="U71" s="67"/>
      <c r="V71" s="99"/>
      <c r="W71" s="67"/>
      <c r="X71" s="74"/>
      <c r="Y71" s="74"/>
      <c r="Z71" s="74"/>
      <c r="AA71" s="67"/>
      <c r="AB71" s="67"/>
      <c r="AC71" s="67"/>
      <c r="AD71" s="70"/>
    </row>
    <row r="72" spans="1:30" ht="15" customHeight="1" thickBot="1" x14ac:dyDescent="0.4">
      <c r="C72" s="31"/>
      <c r="D72" s="31"/>
      <c r="E72" s="31"/>
      <c r="F72" s="31"/>
      <c r="G72" s="31"/>
      <c r="H72" s="31"/>
      <c r="I72" s="31"/>
      <c r="J72" s="31"/>
      <c r="K72" s="31"/>
      <c r="L72" s="30"/>
      <c r="M72" s="30"/>
      <c r="N72" s="30"/>
      <c r="O72" s="30"/>
      <c r="P72" s="30"/>
      <c r="Q72" s="30"/>
      <c r="R72" s="30"/>
      <c r="S72" s="30"/>
      <c r="T72" s="30"/>
      <c r="U72" s="30"/>
      <c r="V72" s="103"/>
      <c r="W72" s="30"/>
      <c r="X72" s="30"/>
      <c r="Y72" s="30"/>
      <c r="Z72" s="30"/>
      <c r="AA72" s="30"/>
      <c r="AB72" s="30"/>
      <c r="AC72" s="30"/>
      <c r="AD72" s="30"/>
    </row>
    <row r="73" spans="1:30" ht="15" customHeight="1" x14ac:dyDescent="0.35">
      <c r="A73" s="553">
        <f>A61+1</f>
        <v>6</v>
      </c>
      <c r="B73" s="13">
        <f>(A73*10)+1</f>
        <v>61</v>
      </c>
      <c r="C73" s="798"/>
      <c r="D73" s="78"/>
      <c r="E73" s="802"/>
      <c r="F73" s="78"/>
      <c r="G73" s="547"/>
      <c r="H73" s="78"/>
      <c r="I73" s="802"/>
      <c r="J73" s="78"/>
      <c r="K73" s="802"/>
      <c r="L73" s="62"/>
      <c r="M73" s="60" t="b">
        <v>0</v>
      </c>
      <c r="N73" s="62" t="s">
        <v>297</v>
      </c>
      <c r="O73" s="62"/>
      <c r="P73" s="62"/>
      <c r="Q73" s="62" t="s">
        <v>298</v>
      </c>
      <c r="R73" s="62"/>
      <c r="S73" s="747"/>
      <c r="T73" s="62" t="s">
        <v>299</v>
      </c>
      <c r="U73" s="62"/>
      <c r="V73" s="747"/>
      <c r="W73" s="62" t="s">
        <v>300</v>
      </c>
      <c r="X73" s="62"/>
      <c r="Y73" s="747"/>
      <c r="Z73" s="62" t="s">
        <v>301</v>
      </c>
      <c r="AA73" s="62"/>
      <c r="AB73" s="747"/>
      <c r="AC73" s="62" t="s">
        <v>302</v>
      </c>
      <c r="AD73" s="71"/>
    </row>
    <row r="74" spans="1:30" ht="15" customHeight="1" x14ac:dyDescent="0.35">
      <c r="A74" s="554"/>
      <c r="B74" s="233">
        <f t="shared" ref="B74:B82" si="5">B73+1</f>
        <v>62</v>
      </c>
      <c r="C74" s="799"/>
      <c r="D74" s="25"/>
      <c r="E74" s="538"/>
      <c r="F74" s="25"/>
      <c r="G74" s="548"/>
      <c r="H74" s="25"/>
      <c r="I74" s="538"/>
      <c r="J74" s="25"/>
      <c r="K74" s="538"/>
      <c r="M74" s="64" t="b">
        <v>0</v>
      </c>
      <c r="N74" t="s">
        <v>303</v>
      </c>
      <c r="Q74" s="485" t="s">
        <v>135</v>
      </c>
      <c r="S74" s="748"/>
      <c r="T74" s="485" t="s">
        <v>135</v>
      </c>
      <c r="V74" s="748"/>
      <c r="W74" s="485" t="s">
        <v>135</v>
      </c>
      <c r="Y74" s="748"/>
      <c r="Z74" s="485" t="s">
        <v>135</v>
      </c>
      <c r="AB74" s="748"/>
      <c r="AC74" s="485" t="s">
        <v>135</v>
      </c>
      <c r="AD74" s="66"/>
    </row>
    <row r="75" spans="1:30" ht="15" customHeight="1" x14ac:dyDescent="0.35">
      <c r="A75" s="554"/>
      <c r="B75" s="233">
        <f t="shared" si="5"/>
        <v>63</v>
      </c>
      <c r="C75" s="799"/>
      <c r="D75" s="25"/>
      <c r="E75" s="538"/>
      <c r="F75" s="25"/>
      <c r="G75" s="548"/>
      <c r="H75" s="25"/>
      <c r="I75" s="538"/>
      <c r="J75" s="25"/>
      <c r="K75" s="538"/>
      <c r="M75" s="64" t="b">
        <v>0</v>
      </c>
      <c r="N75" t="s">
        <v>304</v>
      </c>
      <c r="Q75" s="5"/>
      <c r="T75" s="10"/>
      <c r="W75" s="10"/>
      <c r="Z75" s="10"/>
      <c r="AC75" s="10"/>
      <c r="AD75" s="66"/>
    </row>
    <row r="76" spans="1:30" ht="4" customHeight="1" x14ac:dyDescent="0.35">
      <c r="A76" s="554"/>
      <c r="B76" s="233">
        <f t="shared" si="5"/>
        <v>64</v>
      </c>
      <c r="C76" s="799"/>
      <c r="D76" s="25"/>
      <c r="E76" s="538"/>
      <c r="F76" s="25"/>
      <c r="G76" s="548"/>
      <c r="H76" s="25"/>
      <c r="I76" s="538"/>
      <c r="J76" s="25"/>
      <c r="K76" s="538"/>
      <c r="Q76" s="3"/>
      <c r="AD76" s="66"/>
    </row>
    <row r="77" spans="1:30" ht="15" customHeight="1" x14ac:dyDescent="0.35">
      <c r="A77" s="554"/>
      <c r="B77" s="233">
        <f t="shared" si="5"/>
        <v>65</v>
      </c>
      <c r="C77" s="799"/>
      <c r="D77" s="25"/>
      <c r="E77" s="538"/>
      <c r="F77" s="25"/>
      <c r="G77" s="548"/>
      <c r="H77" s="25"/>
      <c r="I77" s="538"/>
      <c r="J77" s="25"/>
      <c r="K77" s="538"/>
      <c r="M77" s="64" t="b">
        <v>0</v>
      </c>
      <c r="N77" t="s">
        <v>305</v>
      </c>
      <c r="Q77" s="9"/>
      <c r="S77" s="45" t="b">
        <v>0</v>
      </c>
      <c r="T77" s="44" t="s">
        <v>306</v>
      </c>
      <c r="V77" s="115" t="b">
        <v>0</v>
      </c>
      <c r="W77" t="s">
        <v>307</v>
      </c>
      <c r="Y77" s="796" t="b">
        <v>0</v>
      </c>
      <c r="Z77" t="s">
        <v>308</v>
      </c>
      <c r="AD77" s="66"/>
    </row>
    <row r="78" spans="1:30" ht="4" customHeight="1" x14ac:dyDescent="0.35">
      <c r="A78" s="554"/>
      <c r="B78" s="233">
        <f t="shared" si="5"/>
        <v>66</v>
      </c>
      <c r="C78" s="799"/>
      <c r="D78" s="25"/>
      <c r="E78" s="538"/>
      <c r="F78" s="25"/>
      <c r="G78" s="548"/>
      <c r="H78" s="25"/>
      <c r="I78" s="538"/>
      <c r="J78" s="25"/>
      <c r="K78" s="538"/>
      <c r="Q78" s="9"/>
      <c r="S78" s="44"/>
      <c r="T78" s="44"/>
      <c r="Y78" s="796"/>
      <c r="AD78" s="66"/>
    </row>
    <row r="79" spans="1:30" ht="15" customHeight="1" x14ac:dyDescent="0.35">
      <c r="A79" s="554"/>
      <c r="B79" s="233">
        <f t="shared" si="5"/>
        <v>67</v>
      </c>
      <c r="C79" s="799"/>
      <c r="D79" s="25"/>
      <c r="E79" s="538"/>
      <c r="F79" s="25"/>
      <c r="G79" s="548"/>
      <c r="H79" s="25"/>
      <c r="I79" s="538"/>
      <c r="J79" s="25"/>
      <c r="K79" s="538"/>
      <c r="N79" s="73" t="s">
        <v>135</v>
      </c>
      <c r="S79" s="797" t="s">
        <v>309</v>
      </c>
      <c r="T79" s="797"/>
      <c r="V79" s="797" t="s">
        <v>310</v>
      </c>
      <c r="W79" s="797"/>
      <c r="Y79" s="796"/>
      <c r="AD79" s="66"/>
    </row>
    <row r="80" spans="1:30" ht="15" customHeight="1" x14ac:dyDescent="0.35">
      <c r="A80" s="554"/>
      <c r="B80" s="233">
        <f t="shared" si="5"/>
        <v>68</v>
      </c>
      <c r="C80" s="799"/>
      <c r="D80" s="25"/>
      <c r="E80" s="538"/>
      <c r="F80" s="25"/>
      <c r="G80" s="548"/>
      <c r="H80" s="25"/>
      <c r="I80" s="538"/>
      <c r="J80" s="25"/>
      <c r="K80" s="538"/>
      <c r="N80" s="666"/>
      <c r="S80" s="64" t="b">
        <v>0</v>
      </c>
      <c r="T80" t="s">
        <v>311</v>
      </c>
      <c r="W80" t="s">
        <v>312</v>
      </c>
      <c r="AD80" s="66"/>
    </row>
    <row r="81" spans="1:30" ht="15" customHeight="1" x14ac:dyDescent="0.35">
      <c r="A81" s="554"/>
      <c r="B81" s="233">
        <f t="shared" si="5"/>
        <v>69</v>
      </c>
      <c r="C81" s="799"/>
      <c r="D81" s="25"/>
      <c r="E81" s="538"/>
      <c r="F81" s="25"/>
      <c r="G81" s="548"/>
      <c r="H81" s="25"/>
      <c r="I81" s="538"/>
      <c r="J81" s="25"/>
      <c r="K81" s="538"/>
      <c r="N81" s="666"/>
      <c r="T81" s="73" t="s">
        <v>137</v>
      </c>
      <c r="W81" s="488" t="s">
        <v>137</v>
      </c>
      <c r="X81" s="73"/>
      <c r="Y81" s="73"/>
      <c r="Z81" s="73"/>
      <c r="AD81" s="66"/>
    </row>
    <row r="82" spans="1:30" ht="15" customHeight="1" x14ac:dyDescent="0.35">
      <c r="A82" s="554"/>
      <c r="B82" s="233">
        <f t="shared" si="5"/>
        <v>70</v>
      </c>
      <c r="C82" s="800"/>
      <c r="D82" s="25"/>
      <c r="E82" s="803"/>
      <c r="F82" s="25"/>
      <c r="G82" s="548"/>
      <c r="H82" s="25"/>
      <c r="I82" s="803"/>
      <c r="J82" s="25"/>
      <c r="K82" s="803"/>
      <c r="N82" s="482"/>
      <c r="T82" s="44"/>
      <c r="W82" s="10"/>
      <c r="X82" s="73"/>
      <c r="Y82" s="73"/>
      <c r="Z82" s="73"/>
      <c r="AD82" s="66"/>
    </row>
    <row r="83" spans="1:30" ht="8.15" customHeight="1" thickBot="1" x14ac:dyDescent="0.4">
      <c r="A83" s="555"/>
      <c r="B83" s="233"/>
      <c r="C83" s="801"/>
      <c r="D83" s="120"/>
      <c r="E83" s="804"/>
      <c r="F83" s="120"/>
      <c r="G83" s="549"/>
      <c r="H83" s="120"/>
      <c r="I83" s="804"/>
      <c r="J83" s="120"/>
      <c r="K83" s="804"/>
      <c r="L83" s="67"/>
      <c r="M83" s="67"/>
      <c r="N83" s="67"/>
      <c r="O83" s="67"/>
      <c r="P83" s="67"/>
      <c r="Q83" s="67"/>
      <c r="R83" s="67"/>
      <c r="S83" s="67"/>
      <c r="T83" s="67"/>
      <c r="U83" s="67"/>
      <c r="V83" s="99"/>
      <c r="W83" s="67"/>
      <c r="X83" s="74"/>
      <c r="Y83" s="74"/>
      <c r="Z83" s="74"/>
      <c r="AA83" s="67"/>
      <c r="AB83" s="67"/>
      <c r="AC83" s="67"/>
      <c r="AD83" s="70"/>
    </row>
    <row r="84" spans="1:30" ht="15" customHeight="1" thickBot="1" x14ac:dyDescent="0.4">
      <c r="C84" s="31"/>
      <c r="D84" s="31"/>
      <c r="E84" s="31"/>
      <c r="F84" s="31"/>
      <c r="G84" s="31"/>
      <c r="H84" s="31"/>
      <c r="I84" s="31"/>
      <c r="J84" s="31"/>
      <c r="K84" s="31"/>
      <c r="L84" s="30"/>
      <c r="M84" s="30"/>
      <c r="N84" s="30"/>
      <c r="O84" s="30"/>
      <c r="P84" s="30"/>
      <c r="Q84" s="30"/>
      <c r="R84" s="30"/>
      <c r="S84" s="30"/>
      <c r="T84" s="30"/>
      <c r="U84" s="30"/>
      <c r="V84" s="103"/>
      <c r="W84" s="30"/>
      <c r="X84" s="30"/>
      <c r="Y84" s="30"/>
      <c r="Z84" s="30"/>
      <c r="AA84" s="30"/>
      <c r="AB84" s="30"/>
      <c r="AC84" s="30"/>
      <c r="AD84" s="30"/>
    </row>
    <row r="85" spans="1:30" ht="15" customHeight="1" x14ac:dyDescent="0.35">
      <c r="A85" s="553">
        <f>A73+1</f>
        <v>7</v>
      </c>
      <c r="B85" s="13">
        <f>(A85*10)+1</f>
        <v>71</v>
      </c>
      <c r="C85" s="798"/>
      <c r="D85" s="78"/>
      <c r="E85" s="802"/>
      <c r="F85" s="78"/>
      <c r="G85" s="547"/>
      <c r="H85" s="78"/>
      <c r="I85" s="802"/>
      <c r="J85" s="78"/>
      <c r="K85" s="802"/>
      <c r="L85" s="62"/>
      <c r="M85" s="60" t="b">
        <v>0</v>
      </c>
      <c r="N85" s="62" t="s">
        <v>297</v>
      </c>
      <c r="O85" s="62"/>
      <c r="P85" s="62"/>
      <c r="Q85" s="62" t="s">
        <v>298</v>
      </c>
      <c r="R85" s="62"/>
      <c r="S85" s="747"/>
      <c r="T85" s="62" t="s">
        <v>299</v>
      </c>
      <c r="U85" s="62"/>
      <c r="V85" s="747"/>
      <c r="W85" s="62" t="s">
        <v>300</v>
      </c>
      <c r="X85" s="62"/>
      <c r="Y85" s="747"/>
      <c r="Z85" s="62" t="s">
        <v>301</v>
      </c>
      <c r="AA85" s="62"/>
      <c r="AB85" s="747"/>
      <c r="AC85" s="62" t="s">
        <v>302</v>
      </c>
      <c r="AD85" s="71"/>
    </row>
    <row r="86" spans="1:30" ht="15" customHeight="1" x14ac:dyDescent="0.35">
      <c r="A86" s="554"/>
      <c r="B86" s="233">
        <f t="shared" ref="B86:B94" si="6">B85+1</f>
        <v>72</v>
      </c>
      <c r="C86" s="799"/>
      <c r="D86" s="25"/>
      <c r="E86" s="538"/>
      <c r="F86" s="25"/>
      <c r="G86" s="548"/>
      <c r="H86" s="25"/>
      <c r="I86" s="538"/>
      <c r="J86" s="25"/>
      <c r="K86" s="538"/>
      <c r="M86" s="64" t="b">
        <v>0</v>
      </c>
      <c r="N86" t="s">
        <v>303</v>
      </c>
      <c r="Q86" s="485" t="s">
        <v>135</v>
      </c>
      <c r="S86" s="748"/>
      <c r="T86" s="485" t="s">
        <v>135</v>
      </c>
      <c r="V86" s="748"/>
      <c r="W86" s="485" t="s">
        <v>135</v>
      </c>
      <c r="Y86" s="748"/>
      <c r="Z86" s="485" t="s">
        <v>135</v>
      </c>
      <c r="AB86" s="748"/>
      <c r="AC86" s="485" t="s">
        <v>135</v>
      </c>
      <c r="AD86" s="66"/>
    </row>
    <row r="87" spans="1:30" ht="15" customHeight="1" x14ac:dyDescent="0.35">
      <c r="A87" s="554"/>
      <c r="B87" s="233">
        <f t="shared" si="6"/>
        <v>73</v>
      </c>
      <c r="C87" s="799"/>
      <c r="D87" s="25"/>
      <c r="E87" s="538"/>
      <c r="F87" s="25"/>
      <c r="G87" s="548"/>
      <c r="H87" s="25"/>
      <c r="I87" s="538"/>
      <c r="J87" s="25"/>
      <c r="K87" s="538"/>
      <c r="M87" s="64" t="b">
        <v>0</v>
      </c>
      <c r="N87" t="s">
        <v>304</v>
      </c>
      <c r="Q87" s="5"/>
      <c r="T87" s="10"/>
      <c r="W87" s="10"/>
      <c r="Z87" s="10"/>
      <c r="AC87" s="10"/>
      <c r="AD87" s="66"/>
    </row>
    <row r="88" spans="1:30" ht="4" customHeight="1" x14ac:dyDescent="0.35">
      <c r="A88" s="554"/>
      <c r="B88" s="233">
        <f t="shared" si="6"/>
        <v>74</v>
      </c>
      <c r="C88" s="799"/>
      <c r="D88" s="25"/>
      <c r="E88" s="538"/>
      <c r="F88" s="25"/>
      <c r="G88" s="548"/>
      <c r="H88" s="25"/>
      <c r="I88" s="538"/>
      <c r="J88" s="25"/>
      <c r="K88" s="538"/>
      <c r="Q88" s="3"/>
      <c r="AD88" s="66"/>
    </row>
    <row r="89" spans="1:30" ht="15" customHeight="1" x14ac:dyDescent="0.35">
      <c r="A89" s="554"/>
      <c r="B89" s="233">
        <f t="shared" si="6"/>
        <v>75</v>
      </c>
      <c r="C89" s="799"/>
      <c r="D89" s="25"/>
      <c r="E89" s="538"/>
      <c r="F89" s="25"/>
      <c r="G89" s="548"/>
      <c r="H89" s="25"/>
      <c r="I89" s="538"/>
      <c r="J89" s="25"/>
      <c r="K89" s="538"/>
      <c r="M89" s="64" t="b">
        <v>0</v>
      </c>
      <c r="N89" t="s">
        <v>305</v>
      </c>
      <c r="Q89" s="9"/>
      <c r="S89" s="45" t="b">
        <v>0</v>
      </c>
      <c r="T89" s="44" t="s">
        <v>306</v>
      </c>
      <c r="V89" s="115" t="b">
        <v>0</v>
      </c>
      <c r="W89" t="s">
        <v>307</v>
      </c>
      <c r="Y89" s="796" t="b">
        <v>0</v>
      </c>
      <c r="Z89" t="s">
        <v>308</v>
      </c>
      <c r="AD89" s="66"/>
    </row>
    <row r="90" spans="1:30" ht="4" customHeight="1" x14ac:dyDescent="0.35">
      <c r="A90" s="554"/>
      <c r="B90" s="233">
        <f t="shared" si="6"/>
        <v>76</v>
      </c>
      <c r="C90" s="799"/>
      <c r="D90" s="25"/>
      <c r="E90" s="538"/>
      <c r="F90" s="25"/>
      <c r="G90" s="548"/>
      <c r="H90" s="25"/>
      <c r="I90" s="538"/>
      <c r="J90" s="25"/>
      <c r="K90" s="538"/>
      <c r="Q90" s="9"/>
      <c r="S90" s="44"/>
      <c r="T90" s="44"/>
      <c r="Y90" s="796"/>
      <c r="AD90" s="66"/>
    </row>
    <row r="91" spans="1:30" ht="15" customHeight="1" x14ac:dyDescent="0.35">
      <c r="A91" s="554"/>
      <c r="B91" s="233">
        <f t="shared" si="6"/>
        <v>77</v>
      </c>
      <c r="C91" s="799"/>
      <c r="D91" s="25"/>
      <c r="E91" s="538"/>
      <c r="F91" s="25"/>
      <c r="G91" s="548"/>
      <c r="H91" s="25"/>
      <c r="I91" s="538"/>
      <c r="J91" s="25"/>
      <c r="K91" s="538"/>
      <c r="N91" s="73" t="s">
        <v>135</v>
      </c>
      <c r="S91" s="797" t="s">
        <v>309</v>
      </c>
      <c r="T91" s="797"/>
      <c r="V91" s="797" t="s">
        <v>310</v>
      </c>
      <c r="W91" s="797"/>
      <c r="Y91" s="796"/>
      <c r="AD91" s="66"/>
    </row>
    <row r="92" spans="1:30" ht="15" customHeight="1" x14ac:dyDescent="0.35">
      <c r="A92" s="554"/>
      <c r="B92" s="233">
        <f t="shared" si="6"/>
        <v>78</v>
      </c>
      <c r="C92" s="799"/>
      <c r="D92" s="25"/>
      <c r="E92" s="538"/>
      <c r="F92" s="25"/>
      <c r="G92" s="548"/>
      <c r="H92" s="25"/>
      <c r="I92" s="538"/>
      <c r="J92" s="25"/>
      <c r="K92" s="538"/>
      <c r="N92" s="666"/>
      <c r="S92" s="64" t="b">
        <v>0</v>
      </c>
      <c r="T92" t="s">
        <v>311</v>
      </c>
      <c r="W92" t="s">
        <v>312</v>
      </c>
      <c r="AD92" s="66"/>
    </row>
    <row r="93" spans="1:30" ht="15" customHeight="1" x14ac:dyDescent="0.35">
      <c r="A93" s="554"/>
      <c r="B93" s="233">
        <f t="shared" si="6"/>
        <v>79</v>
      </c>
      <c r="C93" s="799"/>
      <c r="D93" s="25"/>
      <c r="E93" s="538"/>
      <c r="F93" s="25"/>
      <c r="G93" s="548"/>
      <c r="H93" s="25"/>
      <c r="I93" s="538"/>
      <c r="J93" s="25"/>
      <c r="K93" s="538"/>
      <c r="N93" s="666"/>
      <c r="T93" s="73" t="s">
        <v>137</v>
      </c>
      <c r="W93" s="488" t="s">
        <v>137</v>
      </c>
      <c r="X93" s="73"/>
      <c r="Y93" s="73"/>
      <c r="Z93" s="73"/>
      <c r="AD93" s="66"/>
    </row>
    <row r="94" spans="1:30" ht="15" customHeight="1" x14ac:dyDescent="0.35">
      <c r="A94" s="554"/>
      <c r="B94" s="233">
        <f t="shared" si="6"/>
        <v>80</v>
      </c>
      <c r="C94" s="800"/>
      <c r="D94" s="25"/>
      <c r="E94" s="803"/>
      <c r="F94" s="25"/>
      <c r="G94" s="548"/>
      <c r="H94" s="25"/>
      <c r="I94" s="803"/>
      <c r="J94" s="25"/>
      <c r="K94" s="803"/>
      <c r="N94" s="482"/>
      <c r="T94" s="44"/>
      <c r="W94" s="10"/>
      <c r="X94" s="73"/>
      <c r="Y94" s="73"/>
      <c r="Z94" s="73"/>
      <c r="AD94" s="66"/>
    </row>
    <row r="95" spans="1:30" ht="8.15" customHeight="1" thickBot="1" x14ac:dyDescent="0.4">
      <c r="A95" s="555"/>
      <c r="B95" s="233"/>
      <c r="C95" s="801"/>
      <c r="D95" s="120"/>
      <c r="E95" s="804"/>
      <c r="F95" s="120"/>
      <c r="G95" s="549"/>
      <c r="H95" s="120"/>
      <c r="I95" s="804"/>
      <c r="J95" s="120"/>
      <c r="K95" s="804"/>
      <c r="L95" s="67"/>
      <c r="M95" s="67"/>
      <c r="N95" s="67"/>
      <c r="O95" s="67"/>
      <c r="P95" s="67"/>
      <c r="Q95" s="67"/>
      <c r="R95" s="67"/>
      <c r="S95" s="67"/>
      <c r="T95" s="67"/>
      <c r="U95" s="67"/>
      <c r="V95" s="99"/>
      <c r="W95" s="67"/>
      <c r="X95" s="74"/>
      <c r="Y95" s="74"/>
      <c r="Z95" s="74"/>
      <c r="AA95" s="67"/>
      <c r="AB95" s="67"/>
      <c r="AC95" s="67"/>
      <c r="AD95" s="70"/>
    </row>
    <row r="96" spans="1:30" ht="15" customHeight="1" thickBot="1" x14ac:dyDescent="0.4">
      <c r="C96" s="31"/>
      <c r="D96" s="31"/>
      <c r="E96" s="31"/>
      <c r="F96" s="31"/>
      <c r="G96" s="31"/>
      <c r="H96" s="31"/>
      <c r="I96" s="31"/>
      <c r="J96" s="31"/>
      <c r="K96" s="31"/>
      <c r="L96" s="30"/>
      <c r="M96" s="30"/>
      <c r="N96" s="30"/>
      <c r="O96" s="30"/>
      <c r="P96" s="30"/>
      <c r="Q96" s="30"/>
      <c r="R96" s="30"/>
      <c r="S96" s="30"/>
      <c r="T96" s="30"/>
      <c r="U96" s="30"/>
      <c r="V96" s="103"/>
      <c r="W96" s="30"/>
      <c r="X96" s="30"/>
      <c r="Y96" s="30"/>
      <c r="Z96" s="30"/>
      <c r="AA96" s="30"/>
      <c r="AB96" s="30"/>
      <c r="AC96" s="30"/>
      <c r="AD96" s="30"/>
    </row>
    <row r="97" spans="1:30" ht="15" customHeight="1" x14ac:dyDescent="0.35">
      <c r="A97" s="553">
        <f>A85+1</f>
        <v>8</v>
      </c>
      <c r="B97" s="13">
        <f>(A97*10)+1</f>
        <v>81</v>
      </c>
      <c r="C97" s="798"/>
      <c r="D97" s="78"/>
      <c r="E97" s="802"/>
      <c r="F97" s="78"/>
      <c r="G97" s="547"/>
      <c r="H97" s="78"/>
      <c r="I97" s="802"/>
      <c r="J97" s="78"/>
      <c r="K97" s="802"/>
      <c r="L97" s="62"/>
      <c r="M97" s="60" t="b">
        <v>0</v>
      </c>
      <c r="N97" s="62" t="s">
        <v>297</v>
      </c>
      <c r="O97" s="62"/>
      <c r="P97" s="62"/>
      <c r="Q97" s="62" t="s">
        <v>298</v>
      </c>
      <c r="R97" s="62"/>
      <c r="S97" s="747"/>
      <c r="T97" s="62" t="s">
        <v>299</v>
      </c>
      <c r="U97" s="62"/>
      <c r="V97" s="747"/>
      <c r="W97" s="62" t="s">
        <v>300</v>
      </c>
      <c r="X97" s="62"/>
      <c r="Y97" s="747"/>
      <c r="Z97" s="62" t="s">
        <v>301</v>
      </c>
      <c r="AA97" s="62"/>
      <c r="AB97" s="747"/>
      <c r="AC97" s="62" t="s">
        <v>302</v>
      </c>
      <c r="AD97" s="71"/>
    </row>
    <row r="98" spans="1:30" ht="15" customHeight="1" x14ac:dyDescent="0.35">
      <c r="A98" s="554"/>
      <c r="B98" s="233">
        <f t="shared" ref="B98:B106" si="7">B97+1</f>
        <v>82</v>
      </c>
      <c r="C98" s="799"/>
      <c r="D98" s="25"/>
      <c r="E98" s="538"/>
      <c r="F98" s="25"/>
      <c r="G98" s="548"/>
      <c r="H98" s="25"/>
      <c r="I98" s="538"/>
      <c r="J98" s="25"/>
      <c r="K98" s="538"/>
      <c r="M98" s="64" t="b">
        <v>0</v>
      </c>
      <c r="N98" t="s">
        <v>303</v>
      </c>
      <c r="Q98" s="485" t="s">
        <v>135</v>
      </c>
      <c r="S98" s="748"/>
      <c r="T98" s="485" t="s">
        <v>135</v>
      </c>
      <c r="V98" s="748"/>
      <c r="W98" s="485" t="s">
        <v>135</v>
      </c>
      <c r="Y98" s="748"/>
      <c r="Z98" s="485" t="s">
        <v>135</v>
      </c>
      <c r="AB98" s="748"/>
      <c r="AC98" s="485" t="s">
        <v>135</v>
      </c>
      <c r="AD98" s="66"/>
    </row>
    <row r="99" spans="1:30" ht="15" customHeight="1" x14ac:dyDescent="0.35">
      <c r="A99" s="554"/>
      <c r="B99" s="233">
        <f t="shared" si="7"/>
        <v>83</v>
      </c>
      <c r="C99" s="799"/>
      <c r="D99" s="25"/>
      <c r="E99" s="538"/>
      <c r="F99" s="25"/>
      <c r="G99" s="548"/>
      <c r="H99" s="25"/>
      <c r="I99" s="538"/>
      <c r="J99" s="25"/>
      <c r="K99" s="538"/>
      <c r="M99" s="64" t="b">
        <v>0</v>
      </c>
      <c r="N99" t="s">
        <v>304</v>
      </c>
      <c r="Q99" s="5"/>
      <c r="T99" s="10"/>
      <c r="W99" s="10"/>
      <c r="Z99" s="10"/>
      <c r="AC99" s="10"/>
      <c r="AD99" s="66"/>
    </row>
    <row r="100" spans="1:30" ht="4" customHeight="1" x14ac:dyDescent="0.35">
      <c r="A100" s="554"/>
      <c r="B100" s="233">
        <f t="shared" si="7"/>
        <v>84</v>
      </c>
      <c r="C100" s="799"/>
      <c r="D100" s="25"/>
      <c r="E100" s="538"/>
      <c r="F100" s="25"/>
      <c r="G100" s="548"/>
      <c r="H100" s="25"/>
      <c r="I100" s="538"/>
      <c r="J100" s="25"/>
      <c r="K100" s="538"/>
      <c r="Q100" s="3"/>
      <c r="AD100" s="66"/>
    </row>
    <row r="101" spans="1:30" ht="15" customHeight="1" x14ac:dyDescent="0.35">
      <c r="A101" s="554"/>
      <c r="B101" s="233">
        <f t="shared" si="7"/>
        <v>85</v>
      </c>
      <c r="C101" s="799"/>
      <c r="D101" s="25"/>
      <c r="E101" s="538"/>
      <c r="F101" s="25"/>
      <c r="G101" s="548"/>
      <c r="H101" s="25"/>
      <c r="I101" s="538"/>
      <c r="J101" s="25"/>
      <c r="K101" s="538"/>
      <c r="M101" s="64" t="b">
        <v>0</v>
      </c>
      <c r="N101" t="s">
        <v>305</v>
      </c>
      <c r="Q101" s="9"/>
      <c r="S101" s="45" t="b">
        <v>0</v>
      </c>
      <c r="T101" s="44" t="s">
        <v>306</v>
      </c>
      <c r="V101" s="115" t="b">
        <v>0</v>
      </c>
      <c r="W101" t="s">
        <v>307</v>
      </c>
      <c r="Y101" s="796" t="b">
        <v>0</v>
      </c>
      <c r="Z101" t="s">
        <v>308</v>
      </c>
      <c r="AD101" s="66"/>
    </row>
    <row r="102" spans="1:30" ht="4" customHeight="1" x14ac:dyDescent="0.35">
      <c r="A102" s="554"/>
      <c r="B102" s="233">
        <f t="shared" si="7"/>
        <v>86</v>
      </c>
      <c r="C102" s="799"/>
      <c r="D102" s="25"/>
      <c r="E102" s="538"/>
      <c r="F102" s="25"/>
      <c r="G102" s="548"/>
      <c r="H102" s="25"/>
      <c r="I102" s="538"/>
      <c r="J102" s="25"/>
      <c r="K102" s="538"/>
      <c r="Q102" s="9"/>
      <c r="S102" s="44"/>
      <c r="T102" s="44"/>
      <c r="Y102" s="796"/>
      <c r="AD102" s="66"/>
    </row>
    <row r="103" spans="1:30" ht="15" customHeight="1" x14ac:dyDescent="0.35">
      <c r="A103" s="554"/>
      <c r="B103" s="233">
        <f t="shared" si="7"/>
        <v>87</v>
      </c>
      <c r="C103" s="799"/>
      <c r="D103" s="25"/>
      <c r="E103" s="538"/>
      <c r="F103" s="25"/>
      <c r="G103" s="548"/>
      <c r="H103" s="25"/>
      <c r="I103" s="538"/>
      <c r="J103" s="25"/>
      <c r="K103" s="538"/>
      <c r="N103" s="73" t="s">
        <v>135</v>
      </c>
      <c r="S103" s="797" t="s">
        <v>309</v>
      </c>
      <c r="T103" s="797"/>
      <c r="V103" s="797" t="s">
        <v>310</v>
      </c>
      <c r="W103" s="797"/>
      <c r="Y103" s="796"/>
      <c r="AD103" s="66"/>
    </row>
    <row r="104" spans="1:30" ht="15" customHeight="1" x14ac:dyDescent="0.35">
      <c r="A104" s="554"/>
      <c r="B104" s="233">
        <f t="shared" si="7"/>
        <v>88</v>
      </c>
      <c r="C104" s="799"/>
      <c r="D104" s="25"/>
      <c r="E104" s="538"/>
      <c r="F104" s="25"/>
      <c r="G104" s="548"/>
      <c r="H104" s="25"/>
      <c r="I104" s="538"/>
      <c r="J104" s="25"/>
      <c r="K104" s="538"/>
      <c r="N104" s="666"/>
      <c r="S104" s="64" t="b">
        <v>0</v>
      </c>
      <c r="T104" t="s">
        <v>311</v>
      </c>
      <c r="W104" t="s">
        <v>312</v>
      </c>
      <c r="AD104" s="66"/>
    </row>
    <row r="105" spans="1:30" ht="15" customHeight="1" x14ac:dyDescent="0.35">
      <c r="A105" s="554"/>
      <c r="B105" s="233">
        <f t="shared" si="7"/>
        <v>89</v>
      </c>
      <c r="C105" s="799"/>
      <c r="D105" s="25"/>
      <c r="E105" s="538"/>
      <c r="F105" s="25"/>
      <c r="G105" s="548"/>
      <c r="H105" s="25"/>
      <c r="I105" s="538"/>
      <c r="J105" s="25"/>
      <c r="K105" s="538"/>
      <c r="N105" s="666"/>
      <c r="T105" s="73" t="s">
        <v>137</v>
      </c>
      <c r="W105" s="488" t="s">
        <v>137</v>
      </c>
      <c r="X105" s="73"/>
      <c r="Y105" s="73"/>
      <c r="Z105" s="73"/>
      <c r="AD105" s="66"/>
    </row>
    <row r="106" spans="1:30" ht="15" customHeight="1" x14ac:dyDescent="0.35">
      <c r="A106" s="554"/>
      <c r="B106" s="233">
        <f t="shared" si="7"/>
        <v>90</v>
      </c>
      <c r="C106" s="800"/>
      <c r="D106" s="25"/>
      <c r="E106" s="803"/>
      <c r="F106" s="25"/>
      <c r="G106" s="548"/>
      <c r="H106" s="25"/>
      <c r="I106" s="803"/>
      <c r="J106" s="25"/>
      <c r="K106" s="803"/>
      <c r="N106" s="482"/>
      <c r="T106" s="44"/>
      <c r="W106" s="10"/>
      <c r="X106" s="73"/>
      <c r="Y106" s="73"/>
      <c r="Z106" s="73"/>
      <c r="AD106" s="66"/>
    </row>
    <row r="107" spans="1:30" ht="8.15" customHeight="1" thickBot="1" x14ac:dyDescent="0.4">
      <c r="A107" s="555"/>
      <c r="B107" s="233"/>
      <c r="C107" s="801"/>
      <c r="D107" s="120"/>
      <c r="E107" s="804"/>
      <c r="F107" s="120"/>
      <c r="G107" s="549"/>
      <c r="H107" s="120"/>
      <c r="I107" s="804"/>
      <c r="J107" s="120"/>
      <c r="K107" s="804"/>
      <c r="L107" s="67"/>
      <c r="M107" s="67"/>
      <c r="N107" s="67"/>
      <c r="O107" s="67"/>
      <c r="P107" s="67"/>
      <c r="Q107" s="67"/>
      <c r="R107" s="67"/>
      <c r="S107" s="67"/>
      <c r="T107" s="67"/>
      <c r="U107" s="67"/>
      <c r="V107" s="99"/>
      <c r="W107" s="67"/>
      <c r="X107" s="74"/>
      <c r="Y107" s="74"/>
      <c r="Z107" s="74"/>
      <c r="AA107" s="67"/>
      <c r="AB107" s="67"/>
      <c r="AC107" s="67"/>
      <c r="AD107" s="70"/>
    </row>
    <row r="108" spans="1:30" ht="15" customHeight="1" thickBot="1" x14ac:dyDescent="0.4">
      <c r="C108" s="31"/>
      <c r="D108" s="31"/>
      <c r="E108" s="31"/>
      <c r="F108" s="31"/>
      <c r="G108" s="31"/>
      <c r="H108" s="31"/>
      <c r="I108" s="31"/>
      <c r="J108" s="31"/>
      <c r="K108" s="31"/>
      <c r="L108" s="30"/>
      <c r="M108" s="30"/>
      <c r="N108" s="30"/>
      <c r="O108" s="30"/>
      <c r="P108" s="30"/>
      <c r="Q108" s="30"/>
      <c r="R108" s="30"/>
      <c r="S108" s="30"/>
      <c r="T108" s="30"/>
      <c r="U108" s="30"/>
      <c r="V108" s="103"/>
      <c r="W108" s="30"/>
      <c r="X108" s="30"/>
      <c r="Y108" s="30"/>
      <c r="Z108" s="30"/>
      <c r="AA108" s="30"/>
      <c r="AB108" s="30"/>
      <c r="AC108" s="30"/>
      <c r="AD108" s="30"/>
    </row>
    <row r="109" spans="1:30" ht="15" customHeight="1" x14ac:dyDescent="0.35">
      <c r="A109" s="553">
        <f>A97+1</f>
        <v>9</v>
      </c>
      <c r="B109" s="13">
        <f>(A109*10)+1</f>
        <v>91</v>
      </c>
      <c r="C109" s="798"/>
      <c r="D109" s="78"/>
      <c r="E109" s="802"/>
      <c r="F109" s="78"/>
      <c r="G109" s="547"/>
      <c r="H109" s="78"/>
      <c r="I109" s="802"/>
      <c r="J109" s="78"/>
      <c r="K109" s="802"/>
      <c r="L109" s="62"/>
      <c r="M109" s="60" t="b">
        <v>0</v>
      </c>
      <c r="N109" s="62" t="s">
        <v>297</v>
      </c>
      <c r="O109" s="62"/>
      <c r="P109" s="62"/>
      <c r="Q109" s="62" t="s">
        <v>298</v>
      </c>
      <c r="R109" s="62"/>
      <c r="S109" s="747"/>
      <c r="T109" s="62" t="s">
        <v>299</v>
      </c>
      <c r="U109" s="62"/>
      <c r="V109" s="747"/>
      <c r="W109" s="62" t="s">
        <v>300</v>
      </c>
      <c r="X109" s="62"/>
      <c r="Y109" s="747"/>
      <c r="Z109" s="62" t="s">
        <v>301</v>
      </c>
      <c r="AA109" s="62"/>
      <c r="AB109" s="747"/>
      <c r="AC109" s="62" t="s">
        <v>302</v>
      </c>
      <c r="AD109" s="71"/>
    </row>
    <row r="110" spans="1:30" ht="15" customHeight="1" x14ac:dyDescent="0.35">
      <c r="A110" s="554"/>
      <c r="B110" s="233">
        <f t="shared" ref="B110:B118" si="8">B109+1</f>
        <v>92</v>
      </c>
      <c r="C110" s="799"/>
      <c r="D110" s="25"/>
      <c r="E110" s="538"/>
      <c r="F110" s="25"/>
      <c r="G110" s="548"/>
      <c r="H110" s="25"/>
      <c r="I110" s="538"/>
      <c r="J110" s="25"/>
      <c r="K110" s="538"/>
      <c r="M110" s="64" t="b">
        <v>0</v>
      </c>
      <c r="N110" t="s">
        <v>303</v>
      </c>
      <c r="Q110" s="485" t="s">
        <v>135</v>
      </c>
      <c r="S110" s="748"/>
      <c r="T110" s="485" t="s">
        <v>135</v>
      </c>
      <c r="V110" s="748"/>
      <c r="W110" s="485" t="s">
        <v>135</v>
      </c>
      <c r="Y110" s="748"/>
      <c r="Z110" s="485" t="s">
        <v>135</v>
      </c>
      <c r="AB110" s="748"/>
      <c r="AC110" s="485" t="s">
        <v>135</v>
      </c>
      <c r="AD110" s="66"/>
    </row>
    <row r="111" spans="1:30" ht="15" customHeight="1" x14ac:dyDescent="0.35">
      <c r="A111" s="554"/>
      <c r="B111" s="233">
        <f t="shared" si="8"/>
        <v>93</v>
      </c>
      <c r="C111" s="799"/>
      <c r="D111" s="25"/>
      <c r="E111" s="538"/>
      <c r="F111" s="25"/>
      <c r="G111" s="548"/>
      <c r="H111" s="25"/>
      <c r="I111" s="538"/>
      <c r="J111" s="25"/>
      <c r="K111" s="538"/>
      <c r="M111" s="64" t="b">
        <v>0</v>
      </c>
      <c r="N111" t="s">
        <v>304</v>
      </c>
      <c r="Q111" s="5"/>
      <c r="T111" s="10"/>
      <c r="W111" s="10"/>
      <c r="Z111" s="10"/>
      <c r="AC111" s="10"/>
      <c r="AD111" s="66"/>
    </row>
    <row r="112" spans="1:30" ht="4" customHeight="1" x14ac:dyDescent="0.35">
      <c r="A112" s="554"/>
      <c r="B112" s="233">
        <f t="shared" si="8"/>
        <v>94</v>
      </c>
      <c r="C112" s="799"/>
      <c r="D112" s="25"/>
      <c r="E112" s="538"/>
      <c r="F112" s="25"/>
      <c r="G112" s="548"/>
      <c r="H112" s="25"/>
      <c r="I112" s="538"/>
      <c r="J112" s="25"/>
      <c r="K112" s="538"/>
      <c r="Q112" s="3"/>
      <c r="AD112" s="66"/>
    </row>
    <row r="113" spans="1:30" ht="15" customHeight="1" x14ac:dyDescent="0.35">
      <c r="A113" s="554"/>
      <c r="B113" s="233">
        <f t="shared" si="8"/>
        <v>95</v>
      </c>
      <c r="C113" s="799"/>
      <c r="D113" s="25"/>
      <c r="E113" s="538"/>
      <c r="F113" s="25"/>
      <c r="G113" s="548"/>
      <c r="H113" s="25"/>
      <c r="I113" s="538"/>
      <c r="J113" s="25"/>
      <c r="K113" s="538"/>
      <c r="M113" s="64" t="b">
        <v>0</v>
      </c>
      <c r="N113" t="s">
        <v>305</v>
      </c>
      <c r="Q113" s="9"/>
      <c r="S113" s="45" t="b">
        <v>0</v>
      </c>
      <c r="T113" s="44" t="s">
        <v>306</v>
      </c>
      <c r="V113" s="115" t="b">
        <v>0</v>
      </c>
      <c r="W113" t="s">
        <v>307</v>
      </c>
      <c r="Y113" s="796" t="b">
        <v>0</v>
      </c>
      <c r="Z113" t="s">
        <v>308</v>
      </c>
      <c r="AD113" s="66"/>
    </row>
    <row r="114" spans="1:30" ht="4" customHeight="1" x14ac:dyDescent="0.35">
      <c r="A114" s="554"/>
      <c r="B114" s="233">
        <f t="shared" si="8"/>
        <v>96</v>
      </c>
      <c r="C114" s="799"/>
      <c r="D114" s="25"/>
      <c r="E114" s="538"/>
      <c r="F114" s="25"/>
      <c r="G114" s="548"/>
      <c r="H114" s="25"/>
      <c r="I114" s="538"/>
      <c r="J114" s="25"/>
      <c r="K114" s="538"/>
      <c r="Q114" s="9"/>
      <c r="S114" s="44"/>
      <c r="T114" s="44"/>
      <c r="Y114" s="796"/>
      <c r="AD114" s="66"/>
    </row>
    <row r="115" spans="1:30" ht="15" customHeight="1" x14ac:dyDescent="0.35">
      <c r="A115" s="554"/>
      <c r="B115" s="233">
        <f t="shared" si="8"/>
        <v>97</v>
      </c>
      <c r="C115" s="799"/>
      <c r="D115" s="25"/>
      <c r="E115" s="538"/>
      <c r="F115" s="25"/>
      <c r="G115" s="548"/>
      <c r="H115" s="25"/>
      <c r="I115" s="538"/>
      <c r="J115" s="25"/>
      <c r="K115" s="538"/>
      <c r="N115" s="73" t="s">
        <v>135</v>
      </c>
      <c r="S115" s="797" t="s">
        <v>309</v>
      </c>
      <c r="T115" s="797"/>
      <c r="V115" s="797" t="s">
        <v>310</v>
      </c>
      <c r="W115" s="797"/>
      <c r="Y115" s="796"/>
      <c r="AD115" s="66"/>
    </row>
    <row r="116" spans="1:30" ht="15" customHeight="1" x14ac:dyDescent="0.35">
      <c r="A116" s="554"/>
      <c r="B116" s="233">
        <f t="shared" si="8"/>
        <v>98</v>
      </c>
      <c r="C116" s="799"/>
      <c r="D116" s="25"/>
      <c r="E116" s="538"/>
      <c r="F116" s="25"/>
      <c r="G116" s="548"/>
      <c r="H116" s="25"/>
      <c r="I116" s="538"/>
      <c r="J116" s="25"/>
      <c r="K116" s="538"/>
      <c r="N116" s="666"/>
      <c r="S116" s="64" t="b">
        <v>0</v>
      </c>
      <c r="T116" t="s">
        <v>311</v>
      </c>
      <c r="W116" t="s">
        <v>312</v>
      </c>
      <c r="AD116" s="66"/>
    </row>
    <row r="117" spans="1:30" ht="15" customHeight="1" x14ac:dyDescent="0.35">
      <c r="A117" s="554"/>
      <c r="B117" s="233">
        <f t="shared" si="8"/>
        <v>99</v>
      </c>
      <c r="C117" s="799"/>
      <c r="D117" s="25"/>
      <c r="E117" s="538"/>
      <c r="F117" s="25"/>
      <c r="G117" s="548"/>
      <c r="H117" s="25"/>
      <c r="I117" s="538"/>
      <c r="J117" s="25"/>
      <c r="K117" s="538"/>
      <c r="N117" s="666"/>
      <c r="T117" s="73" t="s">
        <v>137</v>
      </c>
      <c r="W117" s="488" t="s">
        <v>137</v>
      </c>
      <c r="X117" s="73"/>
      <c r="Y117" s="73"/>
      <c r="Z117" s="73"/>
      <c r="AD117" s="66"/>
    </row>
    <row r="118" spans="1:30" ht="15" customHeight="1" x14ac:dyDescent="0.35">
      <c r="A118" s="554"/>
      <c r="B118" s="233">
        <f t="shared" si="8"/>
        <v>100</v>
      </c>
      <c r="C118" s="800"/>
      <c r="D118" s="25"/>
      <c r="E118" s="803"/>
      <c r="F118" s="25"/>
      <c r="G118" s="548"/>
      <c r="H118" s="25"/>
      <c r="I118" s="803"/>
      <c r="J118" s="25"/>
      <c r="K118" s="803"/>
      <c r="N118" s="482"/>
      <c r="T118" s="44"/>
      <c r="W118" s="10"/>
      <c r="X118" s="73"/>
      <c r="Y118" s="73"/>
      <c r="Z118" s="73"/>
      <c r="AD118" s="66"/>
    </row>
    <row r="119" spans="1:30" ht="8.15" customHeight="1" thickBot="1" x14ac:dyDescent="0.4">
      <c r="A119" s="555"/>
      <c r="B119" s="233"/>
      <c r="C119" s="801"/>
      <c r="D119" s="120"/>
      <c r="E119" s="804"/>
      <c r="F119" s="120"/>
      <c r="G119" s="549"/>
      <c r="H119" s="120"/>
      <c r="I119" s="804"/>
      <c r="J119" s="120"/>
      <c r="K119" s="804"/>
      <c r="L119" s="67"/>
      <c r="M119" s="67"/>
      <c r="N119" s="67"/>
      <c r="O119" s="67"/>
      <c r="P119" s="67"/>
      <c r="Q119" s="67"/>
      <c r="R119" s="67"/>
      <c r="S119" s="67"/>
      <c r="T119" s="67"/>
      <c r="U119" s="67"/>
      <c r="V119" s="99"/>
      <c r="W119" s="67"/>
      <c r="X119" s="74"/>
      <c r="Y119" s="74"/>
      <c r="Z119" s="74"/>
      <c r="AA119" s="67"/>
      <c r="AB119" s="67"/>
      <c r="AC119" s="67"/>
      <c r="AD119" s="70"/>
    </row>
    <row r="120" spans="1:30" ht="15" customHeight="1" thickBot="1" x14ac:dyDescent="0.4">
      <c r="C120" s="31"/>
      <c r="D120" s="31"/>
      <c r="E120" s="31"/>
      <c r="F120" s="31"/>
      <c r="G120" s="31"/>
      <c r="H120" s="31"/>
      <c r="I120" s="31"/>
      <c r="J120" s="31"/>
      <c r="K120" s="31"/>
      <c r="L120" s="30"/>
      <c r="M120" s="30"/>
      <c r="N120" s="30"/>
      <c r="O120" s="30"/>
      <c r="P120" s="30"/>
      <c r="Q120" s="30"/>
      <c r="R120" s="30"/>
      <c r="S120" s="30"/>
      <c r="T120" s="30"/>
      <c r="U120" s="30"/>
      <c r="V120" s="103"/>
      <c r="W120" s="30"/>
      <c r="X120" s="30"/>
      <c r="Y120" s="30"/>
      <c r="Z120" s="30"/>
      <c r="AA120" s="30"/>
      <c r="AB120" s="30"/>
      <c r="AC120" s="30"/>
      <c r="AD120" s="30"/>
    </row>
    <row r="121" spans="1:30" ht="15" customHeight="1" x14ac:dyDescent="0.35">
      <c r="A121" s="553">
        <f>A109+1</f>
        <v>10</v>
      </c>
      <c r="B121" s="13">
        <f>(A121*10)+1</f>
        <v>101</v>
      </c>
      <c r="C121" s="798"/>
      <c r="D121" s="78"/>
      <c r="E121" s="802"/>
      <c r="F121" s="78"/>
      <c r="G121" s="547"/>
      <c r="H121" s="78"/>
      <c r="I121" s="802"/>
      <c r="J121" s="78"/>
      <c r="K121" s="802"/>
      <c r="L121" s="62"/>
      <c r="M121" s="60" t="b">
        <v>0</v>
      </c>
      <c r="N121" s="62" t="s">
        <v>297</v>
      </c>
      <c r="O121" s="62"/>
      <c r="P121" s="62"/>
      <c r="Q121" s="62" t="s">
        <v>298</v>
      </c>
      <c r="R121" s="62"/>
      <c r="S121" s="747"/>
      <c r="T121" s="62" t="s">
        <v>299</v>
      </c>
      <c r="U121" s="62"/>
      <c r="V121" s="747"/>
      <c r="W121" s="62" t="s">
        <v>300</v>
      </c>
      <c r="X121" s="62"/>
      <c r="Y121" s="747"/>
      <c r="Z121" s="62" t="s">
        <v>301</v>
      </c>
      <c r="AA121" s="62"/>
      <c r="AB121" s="747"/>
      <c r="AC121" s="62" t="s">
        <v>302</v>
      </c>
      <c r="AD121" s="71"/>
    </row>
    <row r="122" spans="1:30" ht="15" customHeight="1" x14ac:dyDescent="0.35">
      <c r="A122" s="554"/>
      <c r="B122" s="233">
        <f t="shared" ref="B122:B130" si="9">B121+1</f>
        <v>102</v>
      </c>
      <c r="C122" s="799"/>
      <c r="D122" s="25"/>
      <c r="E122" s="538"/>
      <c r="F122" s="25"/>
      <c r="G122" s="548"/>
      <c r="H122" s="25"/>
      <c r="I122" s="538"/>
      <c r="J122" s="25"/>
      <c r="K122" s="538"/>
      <c r="M122" s="64" t="b">
        <v>0</v>
      </c>
      <c r="N122" t="s">
        <v>303</v>
      </c>
      <c r="Q122" s="485" t="s">
        <v>135</v>
      </c>
      <c r="S122" s="748"/>
      <c r="T122" s="485" t="s">
        <v>135</v>
      </c>
      <c r="V122" s="748"/>
      <c r="W122" s="485" t="s">
        <v>135</v>
      </c>
      <c r="Y122" s="748"/>
      <c r="Z122" s="485" t="s">
        <v>135</v>
      </c>
      <c r="AB122" s="748"/>
      <c r="AC122" s="485" t="s">
        <v>135</v>
      </c>
      <c r="AD122" s="66"/>
    </row>
    <row r="123" spans="1:30" ht="15" customHeight="1" x14ac:dyDescent="0.35">
      <c r="A123" s="554"/>
      <c r="B123" s="233">
        <f t="shared" si="9"/>
        <v>103</v>
      </c>
      <c r="C123" s="799"/>
      <c r="D123" s="25"/>
      <c r="E123" s="538"/>
      <c r="F123" s="25"/>
      <c r="G123" s="548"/>
      <c r="H123" s="25"/>
      <c r="I123" s="538"/>
      <c r="J123" s="25"/>
      <c r="K123" s="538"/>
      <c r="M123" s="64" t="b">
        <v>0</v>
      </c>
      <c r="N123" t="s">
        <v>304</v>
      </c>
      <c r="Q123" s="5"/>
      <c r="T123" s="10"/>
      <c r="W123" s="10"/>
      <c r="Z123" s="10"/>
      <c r="AC123" s="10"/>
      <c r="AD123" s="66"/>
    </row>
    <row r="124" spans="1:30" ht="4" customHeight="1" x14ac:dyDescent="0.35">
      <c r="A124" s="554"/>
      <c r="B124" s="233">
        <f t="shared" si="9"/>
        <v>104</v>
      </c>
      <c r="C124" s="799"/>
      <c r="D124" s="25"/>
      <c r="E124" s="538"/>
      <c r="F124" s="25"/>
      <c r="G124" s="548"/>
      <c r="H124" s="25"/>
      <c r="I124" s="538"/>
      <c r="J124" s="25"/>
      <c r="K124" s="538"/>
      <c r="Q124" s="3"/>
      <c r="AD124" s="66"/>
    </row>
    <row r="125" spans="1:30" ht="15" customHeight="1" x14ac:dyDescent="0.35">
      <c r="A125" s="554"/>
      <c r="B125" s="233">
        <f t="shared" si="9"/>
        <v>105</v>
      </c>
      <c r="C125" s="799"/>
      <c r="D125" s="25"/>
      <c r="E125" s="538"/>
      <c r="F125" s="25"/>
      <c r="G125" s="548"/>
      <c r="H125" s="25"/>
      <c r="I125" s="538"/>
      <c r="J125" s="25"/>
      <c r="K125" s="538"/>
      <c r="M125" s="64" t="b">
        <v>0</v>
      </c>
      <c r="N125" t="s">
        <v>305</v>
      </c>
      <c r="Q125" s="9"/>
      <c r="S125" s="45" t="b">
        <v>0</v>
      </c>
      <c r="T125" s="44" t="s">
        <v>306</v>
      </c>
      <c r="V125" s="115" t="b">
        <v>0</v>
      </c>
      <c r="W125" t="s">
        <v>307</v>
      </c>
      <c r="Y125" s="796" t="b">
        <v>0</v>
      </c>
      <c r="Z125" t="s">
        <v>308</v>
      </c>
      <c r="AD125" s="66"/>
    </row>
    <row r="126" spans="1:30" ht="4" customHeight="1" x14ac:dyDescent="0.35">
      <c r="A126" s="554"/>
      <c r="B126" s="233">
        <f t="shared" si="9"/>
        <v>106</v>
      </c>
      <c r="C126" s="799"/>
      <c r="D126" s="25"/>
      <c r="E126" s="538"/>
      <c r="F126" s="25"/>
      <c r="G126" s="548"/>
      <c r="H126" s="25"/>
      <c r="I126" s="538"/>
      <c r="J126" s="25"/>
      <c r="K126" s="538"/>
      <c r="Q126" s="9"/>
      <c r="S126" s="44"/>
      <c r="T126" s="44"/>
      <c r="Y126" s="796"/>
      <c r="AD126" s="66"/>
    </row>
    <row r="127" spans="1:30" ht="15" customHeight="1" x14ac:dyDescent="0.35">
      <c r="A127" s="554"/>
      <c r="B127" s="233">
        <f t="shared" si="9"/>
        <v>107</v>
      </c>
      <c r="C127" s="799"/>
      <c r="D127" s="25"/>
      <c r="E127" s="538"/>
      <c r="F127" s="25"/>
      <c r="G127" s="548"/>
      <c r="H127" s="25"/>
      <c r="I127" s="538"/>
      <c r="J127" s="25"/>
      <c r="K127" s="538"/>
      <c r="N127" s="73" t="s">
        <v>135</v>
      </c>
      <c r="S127" s="797" t="s">
        <v>309</v>
      </c>
      <c r="T127" s="797"/>
      <c r="V127" s="797" t="s">
        <v>310</v>
      </c>
      <c r="W127" s="797"/>
      <c r="Y127" s="796"/>
      <c r="AD127" s="66"/>
    </row>
    <row r="128" spans="1:30" ht="15" customHeight="1" x14ac:dyDescent="0.35">
      <c r="A128" s="554"/>
      <c r="B128" s="233">
        <f t="shared" si="9"/>
        <v>108</v>
      </c>
      <c r="C128" s="799"/>
      <c r="D128" s="25"/>
      <c r="E128" s="538"/>
      <c r="F128" s="25"/>
      <c r="G128" s="548"/>
      <c r="H128" s="25"/>
      <c r="I128" s="538"/>
      <c r="J128" s="25"/>
      <c r="K128" s="538"/>
      <c r="N128" s="666"/>
      <c r="S128" s="64" t="b">
        <v>0</v>
      </c>
      <c r="T128" t="s">
        <v>311</v>
      </c>
      <c r="W128" t="s">
        <v>312</v>
      </c>
      <c r="AD128" s="66"/>
    </row>
    <row r="129" spans="1:30" ht="15" customHeight="1" x14ac:dyDescent="0.35">
      <c r="A129" s="554"/>
      <c r="B129" s="233">
        <f t="shared" si="9"/>
        <v>109</v>
      </c>
      <c r="C129" s="799"/>
      <c r="D129" s="25"/>
      <c r="E129" s="538"/>
      <c r="F129" s="25"/>
      <c r="G129" s="548"/>
      <c r="H129" s="25"/>
      <c r="I129" s="538"/>
      <c r="J129" s="25"/>
      <c r="K129" s="538"/>
      <c r="N129" s="666"/>
      <c r="T129" s="73" t="s">
        <v>137</v>
      </c>
      <c r="W129" s="488" t="s">
        <v>137</v>
      </c>
      <c r="X129" s="73"/>
      <c r="Y129" s="73"/>
      <c r="Z129" s="73"/>
      <c r="AD129" s="66"/>
    </row>
    <row r="130" spans="1:30" ht="15" customHeight="1" x14ac:dyDescent="0.35">
      <c r="A130" s="554"/>
      <c r="B130" s="233">
        <f t="shared" si="9"/>
        <v>110</v>
      </c>
      <c r="C130" s="800"/>
      <c r="D130" s="25"/>
      <c r="E130" s="803"/>
      <c r="F130" s="25"/>
      <c r="G130" s="548"/>
      <c r="H130" s="25"/>
      <c r="I130" s="803"/>
      <c r="J130" s="25"/>
      <c r="K130" s="803"/>
      <c r="N130" s="482"/>
      <c r="T130" s="44"/>
      <c r="W130" s="10"/>
      <c r="X130" s="73"/>
      <c r="Y130" s="73"/>
      <c r="Z130" s="73"/>
      <c r="AD130" s="66"/>
    </row>
    <row r="131" spans="1:30" ht="8.15" customHeight="1" thickBot="1" x14ac:dyDescent="0.4">
      <c r="A131" s="555"/>
      <c r="B131" s="233"/>
      <c r="C131" s="801"/>
      <c r="D131" s="120"/>
      <c r="E131" s="804"/>
      <c r="F131" s="120"/>
      <c r="G131" s="549"/>
      <c r="H131" s="120"/>
      <c r="I131" s="804"/>
      <c r="J131" s="120"/>
      <c r="K131" s="804"/>
      <c r="L131" s="67"/>
      <c r="M131" s="67"/>
      <c r="N131" s="67"/>
      <c r="O131" s="67"/>
      <c r="P131" s="67"/>
      <c r="Q131" s="67"/>
      <c r="R131" s="67"/>
      <c r="S131" s="67"/>
      <c r="T131" s="67"/>
      <c r="U131" s="67"/>
      <c r="V131" s="99"/>
      <c r="W131" s="67"/>
      <c r="X131" s="74"/>
      <c r="Y131" s="74"/>
      <c r="Z131" s="74"/>
      <c r="AA131" s="67"/>
      <c r="AB131" s="67"/>
      <c r="AC131" s="67"/>
      <c r="AD131" s="70"/>
    </row>
    <row r="132" spans="1:30" ht="15" customHeight="1" thickBot="1" x14ac:dyDescent="0.4">
      <c r="C132" s="31"/>
      <c r="D132" s="31"/>
      <c r="E132" s="31"/>
      <c r="F132" s="31"/>
      <c r="G132" s="31"/>
      <c r="H132" s="31"/>
      <c r="I132" s="31"/>
      <c r="J132" s="31"/>
      <c r="K132" s="31"/>
      <c r="L132" s="30"/>
      <c r="M132" s="30"/>
      <c r="N132" s="30"/>
      <c r="O132" s="30"/>
      <c r="P132" s="30"/>
      <c r="Q132" s="30"/>
      <c r="R132" s="30"/>
      <c r="S132" s="30"/>
      <c r="T132" s="30"/>
      <c r="U132" s="30"/>
      <c r="V132" s="103"/>
      <c r="W132" s="30"/>
      <c r="X132" s="30"/>
      <c r="Y132" s="30"/>
      <c r="Z132" s="30"/>
      <c r="AA132" s="30"/>
      <c r="AB132" s="30"/>
      <c r="AC132" s="30"/>
      <c r="AD132" s="30"/>
    </row>
    <row r="133" spans="1:30" ht="15" customHeight="1" x14ac:dyDescent="0.35">
      <c r="A133" s="553">
        <f>A121+1</f>
        <v>11</v>
      </c>
      <c r="B133" s="13">
        <f>(A133*10)+1</f>
        <v>111</v>
      </c>
      <c r="C133" s="798"/>
      <c r="D133" s="78"/>
      <c r="E133" s="802"/>
      <c r="F133" s="78"/>
      <c r="G133" s="547"/>
      <c r="H133" s="78"/>
      <c r="I133" s="802"/>
      <c r="J133" s="78"/>
      <c r="K133" s="802"/>
      <c r="L133" s="62"/>
      <c r="M133" s="60" t="b">
        <v>0</v>
      </c>
      <c r="N133" s="62" t="s">
        <v>297</v>
      </c>
      <c r="O133" s="62"/>
      <c r="P133" s="62"/>
      <c r="Q133" s="62" t="s">
        <v>298</v>
      </c>
      <c r="R133" s="62"/>
      <c r="S133" s="747"/>
      <c r="T133" s="62" t="s">
        <v>299</v>
      </c>
      <c r="U133" s="62"/>
      <c r="V133" s="747"/>
      <c r="W133" s="62" t="s">
        <v>300</v>
      </c>
      <c r="X133" s="62"/>
      <c r="Y133" s="747"/>
      <c r="Z133" s="62" t="s">
        <v>301</v>
      </c>
      <c r="AA133" s="62"/>
      <c r="AB133" s="747"/>
      <c r="AC133" s="62" t="s">
        <v>302</v>
      </c>
      <c r="AD133" s="71"/>
    </row>
    <row r="134" spans="1:30" ht="15" customHeight="1" x14ac:dyDescent="0.35">
      <c r="A134" s="554"/>
      <c r="B134" s="233">
        <f t="shared" ref="B134:B142" si="10">B133+1</f>
        <v>112</v>
      </c>
      <c r="C134" s="799"/>
      <c r="D134" s="25"/>
      <c r="E134" s="538"/>
      <c r="F134" s="25"/>
      <c r="G134" s="548"/>
      <c r="H134" s="25"/>
      <c r="I134" s="538"/>
      <c r="J134" s="25"/>
      <c r="K134" s="538"/>
      <c r="M134" s="64" t="b">
        <v>0</v>
      </c>
      <c r="N134" t="s">
        <v>303</v>
      </c>
      <c r="Q134" s="485" t="s">
        <v>135</v>
      </c>
      <c r="S134" s="748"/>
      <c r="T134" s="485" t="s">
        <v>135</v>
      </c>
      <c r="V134" s="748"/>
      <c r="W134" s="485" t="s">
        <v>135</v>
      </c>
      <c r="Y134" s="748"/>
      <c r="Z134" s="485" t="s">
        <v>135</v>
      </c>
      <c r="AB134" s="748"/>
      <c r="AC134" s="485" t="s">
        <v>135</v>
      </c>
      <c r="AD134" s="66"/>
    </row>
    <row r="135" spans="1:30" ht="15" customHeight="1" x14ac:dyDescent="0.35">
      <c r="A135" s="554"/>
      <c r="B135" s="233">
        <f t="shared" si="10"/>
        <v>113</v>
      </c>
      <c r="C135" s="799"/>
      <c r="D135" s="25"/>
      <c r="E135" s="538"/>
      <c r="F135" s="25"/>
      <c r="G135" s="548"/>
      <c r="H135" s="25"/>
      <c r="I135" s="538"/>
      <c r="J135" s="25"/>
      <c r="K135" s="538"/>
      <c r="M135" s="64" t="b">
        <v>0</v>
      </c>
      <c r="N135" t="s">
        <v>304</v>
      </c>
      <c r="Q135" s="5"/>
      <c r="T135" s="10"/>
      <c r="W135" s="10"/>
      <c r="Z135" s="10"/>
      <c r="AC135" s="10"/>
      <c r="AD135" s="66"/>
    </row>
    <row r="136" spans="1:30" ht="4" customHeight="1" x14ac:dyDescent="0.35">
      <c r="A136" s="554"/>
      <c r="B136" s="233">
        <f t="shared" si="10"/>
        <v>114</v>
      </c>
      <c r="C136" s="799"/>
      <c r="D136" s="25"/>
      <c r="E136" s="538"/>
      <c r="F136" s="25"/>
      <c r="G136" s="548"/>
      <c r="H136" s="25"/>
      <c r="I136" s="538"/>
      <c r="J136" s="25"/>
      <c r="K136" s="538"/>
      <c r="Q136" s="3"/>
      <c r="AD136" s="66"/>
    </row>
    <row r="137" spans="1:30" ht="15" customHeight="1" x14ac:dyDescent="0.35">
      <c r="A137" s="554"/>
      <c r="B137" s="233">
        <f t="shared" si="10"/>
        <v>115</v>
      </c>
      <c r="C137" s="799"/>
      <c r="D137" s="25"/>
      <c r="E137" s="538"/>
      <c r="F137" s="25"/>
      <c r="G137" s="548"/>
      <c r="H137" s="25"/>
      <c r="I137" s="538"/>
      <c r="J137" s="25"/>
      <c r="K137" s="538"/>
      <c r="M137" s="64" t="b">
        <v>0</v>
      </c>
      <c r="N137" t="s">
        <v>305</v>
      </c>
      <c r="Q137" s="9"/>
      <c r="S137" s="45" t="b">
        <v>0</v>
      </c>
      <c r="T137" s="44" t="s">
        <v>306</v>
      </c>
      <c r="V137" s="115" t="b">
        <v>0</v>
      </c>
      <c r="W137" t="s">
        <v>307</v>
      </c>
      <c r="Y137" s="796" t="b">
        <v>0</v>
      </c>
      <c r="Z137" t="s">
        <v>308</v>
      </c>
      <c r="AD137" s="66"/>
    </row>
    <row r="138" spans="1:30" ht="4" customHeight="1" x14ac:dyDescent="0.35">
      <c r="A138" s="554"/>
      <c r="B138" s="233">
        <f t="shared" si="10"/>
        <v>116</v>
      </c>
      <c r="C138" s="799"/>
      <c r="D138" s="25"/>
      <c r="E138" s="538"/>
      <c r="F138" s="25"/>
      <c r="G138" s="548"/>
      <c r="H138" s="25"/>
      <c r="I138" s="538"/>
      <c r="J138" s="25"/>
      <c r="K138" s="538"/>
      <c r="Q138" s="9"/>
      <c r="S138" s="44"/>
      <c r="T138" s="44"/>
      <c r="Y138" s="796"/>
      <c r="AD138" s="66"/>
    </row>
    <row r="139" spans="1:30" ht="15" customHeight="1" x14ac:dyDescent="0.35">
      <c r="A139" s="554"/>
      <c r="B139" s="233">
        <f t="shared" si="10"/>
        <v>117</v>
      </c>
      <c r="C139" s="799"/>
      <c r="D139" s="25"/>
      <c r="E139" s="538"/>
      <c r="F139" s="25"/>
      <c r="G139" s="548"/>
      <c r="H139" s="25"/>
      <c r="I139" s="538"/>
      <c r="J139" s="25"/>
      <c r="K139" s="538"/>
      <c r="N139" s="73" t="s">
        <v>135</v>
      </c>
      <c r="S139" s="797" t="s">
        <v>309</v>
      </c>
      <c r="T139" s="797"/>
      <c r="V139" s="797" t="s">
        <v>310</v>
      </c>
      <c r="W139" s="797"/>
      <c r="Y139" s="796"/>
      <c r="AD139" s="66"/>
    </row>
    <row r="140" spans="1:30" ht="15" customHeight="1" x14ac:dyDescent="0.35">
      <c r="A140" s="554"/>
      <c r="B140" s="233">
        <f t="shared" si="10"/>
        <v>118</v>
      </c>
      <c r="C140" s="799"/>
      <c r="D140" s="25"/>
      <c r="E140" s="538"/>
      <c r="F140" s="25"/>
      <c r="G140" s="548"/>
      <c r="H140" s="25"/>
      <c r="I140" s="538"/>
      <c r="J140" s="25"/>
      <c r="K140" s="538"/>
      <c r="N140" s="666"/>
      <c r="S140" s="64" t="b">
        <v>0</v>
      </c>
      <c r="T140" t="s">
        <v>311</v>
      </c>
      <c r="W140" t="s">
        <v>312</v>
      </c>
      <c r="AD140" s="66"/>
    </row>
    <row r="141" spans="1:30" ht="15" customHeight="1" x14ac:dyDescent="0.35">
      <c r="A141" s="554"/>
      <c r="B141" s="233">
        <f t="shared" si="10"/>
        <v>119</v>
      </c>
      <c r="C141" s="799"/>
      <c r="D141" s="25"/>
      <c r="E141" s="538"/>
      <c r="F141" s="25"/>
      <c r="G141" s="548"/>
      <c r="H141" s="25"/>
      <c r="I141" s="538"/>
      <c r="J141" s="25"/>
      <c r="K141" s="538"/>
      <c r="N141" s="666"/>
      <c r="T141" s="73" t="s">
        <v>137</v>
      </c>
      <c r="W141" s="488" t="s">
        <v>137</v>
      </c>
      <c r="X141" s="73"/>
      <c r="Y141" s="73"/>
      <c r="Z141" s="73"/>
      <c r="AD141" s="66"/>
    </row>
    <row r="142" spans="1:30" ht="15" customHeight="1" x14ac:dyDescent="0.35">
      <c r="A142" s="554"/>
      <c r="B142" s="233">
        <f t="shared" si="10"/>
        <v>120</v>
      </c>
      <c r="C142" s="800"/>
      <c r="D142" s="25"/>
      <c r="E142" s="803"/>
      <c r="F142" s="25"/>
      <c r="G142" s="548"/>
      <c r="H142" s="25"/>
      <c r="I142" s="803"/>
      <c r="J142" s="25"/>
      <c r="K142" s="803"/>
      <c r="N142" s="482"/>
      <c r="T142" s="44"/>
      <c r="W142" s="10"/>
      <c r="X142" s="73"/>
      <c r="Y142" s="73"/>
      <c r="Z142" s="73"/>
      <c r="AD142" s="66"/>
    </row>
    <row r="143" spans="1:30" ht="8.15" customHeight="1" thickBot="1" x14ac:dyDescent="0.4">
      <c r="A143" s="555"/>
      <c r="B143" s="233"/>
      <c r="C143" s="801"/>
      <c r="D143" s="120"/>
      <c r="E143" s="804"/>
      <c r="F143" s="120"/>
      <c r="G143" s="549"/>
      <c r="H143" s="120"/>
      <c r="I143" s="804"/>
      <c r="J143" s="120"/>
      <c r="K143" s="804"/>
      <c r="L143" s="67"/>
      <c r="M143" s="67"/>
      <c r="N143" s="67"/>
      <c r="O143" s="67"/>
      <c r="P143" s="67"/>
      <c r="Q143" s="67"/>
      <c r="R143" s="67"/>
      <c r="S143" s="67"/>
      <c r="T143" s="67"/>
      <c r="U143" s="67"/>
      <c r="V143" s="99"/>
      <c r="W143" s="67"/>
      <c r="X143" s="74"/>
      <c r="Y143" s="74"/>
      <c r="Z143" s="74"/>
      <c r="AA143" s="67"/>
      <c r="AB143" s="67"/>
      <c r="AC143" s="67"/>
      <c r="AD143" s="70"/>
    </row>
    <row r="144" spans="1:30" ht="15" customHeight="1" thickBot="1" x14ac:dyDescent="0.4">
      <c r="C144" s="31"/>
      <c r="D144" s="31"/>
      <c r="E144" s="31"/>
      <c r="F144" s="31"/>
      <c r="G144" s="31"/>
      <c r="H144" s="31"/>
      <c r="I144" s="31"/>
      <c r="J144" s="31"/>
      <c r="K144" s="31"/>
      <c r="L144" s="30"/>
      <c r="M144" s="30"/>
      <c r="N144" s="30"/>
      <c r="O144" s="30"/>
      <c r="P144" s="30"/>
      <c r="Q144" s="30"/>
      <c r="R144" s="30"/>
      <c r="S144" s="30"/>
      <c r="T144" s="30"/>
      <c r="U144" s="30"/>
      <c r="V144" s="103"/>
      <c r="W144" s="30"/>
      <c r="X144" s="30"/>
      <c r="Y144" s="30"/>
      <c r="Z144" s="30"/>
      <c r="AA144" s="30"/>
      <c r="AB144" s="30"/>
      <c r="AC144" s="30"/>
      <c r="AD144" s="30"/>
    </row>
    <row r="145" spans="1:30" ht="15" customHeight="1" x14ac:dyDescent="0.35">
      <c r="A145" s="553">
        <f>A133+1</f>
        <v>12</v>
      </c>
      <c r="B145" s="13">
        <f>(A145*10)+1</f>
        <v>121</v>
      </c>
      <c r="C145" s="798"/>
      <c r="D145" s="78"/>
      <c r="E145" s="802"/>
      <c r="F145" s="78"/>
      <c r="G145" s="547"/>
      <c r="H145" s="78"/>
      <c r="I145" s="802"/>
      <c r="J145" s="78"/>
      <c r="K145" s="802"/>
      <c r="L145" s="62"/>
      <c r="M145" s="60" t="b">
        <v>0</v>
      </c>
      <c r="N145" s="62" t="s">
        <v>297</v>
      </c>
      <c r="O145" s="62"/>
      <c r="P145" s="62"/>
      <c r="Q145" s="62" t="s">
        <v>298</v>
      </c>
      <c r="R145" s="62"/>
      <c r="S145" s="747"/>
      <c r="T145" s="62" t="s">
        <v>299</v>
      </c>
      <c r="U145" s="62"/>
      <c r="V145" s="747"/>
      <c r="W145" s="62" t="s">
        <v>300</v>
      </c>
      <c r="X145" s="62"/>
      <c r="Y145" s="747"/>
      <c r="Z145" s="62" t="s">
        <v>301</v>
      </c>
      <c r="AA145" s="62"/>
      <c r="AB145" s="747"/>
      <c r="AC145" s="62" t="s">
        <v>302</v>
      </c>
      <c r="AD145" s="71"/>
    </row>
    <row r="146" spans="1:30" ht="15" customHeight="1" x14ac:dyDescent="0.35">
      <c r="A146" s="554"/>
      <c r="B146" s="233">
        <f t="shared" ref="B146:B154" si="11">B145+1</f>
        <v>122</v>
      </c>
      <c r="C146" s="799"/>
      <c r="D146" s="25"/>
      <c r="E146" s="538"/>
      <c r="F146" s="25"/>
      <c r="G146" s="548"/>
      <c r="H146" s="25"/>
      <c r="I146" s="538"/>
      <c r="J146" s="25"/>
      <c r="K146" s="538"/>
      <c r="M146" s="64" t="b">
        <v>0</v>
      </c>
      <c r="N146" t="s">
        <v>303</v>
      </c>
      <c r="Q146" s="485" t="s">
        <v>135</v>
      </c>
      <c r="S146" s="748"/>
      <c r="T146" s="485" t="s">
        <v>135</v>
      </c>
      <c r="V146" s="748"/>
      <c r="W146" s="485" t="s">
        <v>135</v>
      </c>
      <c r="Y146" s="748"/>
      <c r="Z146" s="485" t="s">
        <v>135</v>
      </c>
      <c r="AB146" s="748"/>
      <c r="AC146" s="485" t="s">
        <v>135</v>
      </c>
      <c r="AD146" s="66"/>
    </row>
    <row r="147" spans="1:30" ht="15" customHeight="1" x14ac:dyDescent="0.35">
      <c r="A147" s="554"/>
      <c r="B147" s="233">
        <f t="shared" si="11"/>
        <v>123</v>
      </c>
      <c r="C147" s="799"/>
      <c r="D147" s="25"/>
      <c r="E147" s="538"/>
      <c r="F147" s="25"/>
      <c r="G147" s="548"/>
      <c r="H147" s="25"/>
      <c r="I147" s="538"/>
      <c r="J147" s="25"/>
      <c r="K147" s="538"/>
      <c r="M147" s="64" t="b">
        <v>0</v>
      </c>
      <c r="N147" t="s">
        <v>304</v>
      </c>
      <c r="Q147" s="5"/>
      <c r="T147" s="10"/>
      <c r="W147" s="10"/>
      <c r="Z147" s="10"/>
      <c r="AC147" s="10"/>
      <c r="AD147" s="66"/>
    </row>
    <row r="148" spans="1:30" ht="4" customHeight="1" x14ac:dyDescent="0.35">
      <c r="A148" s="554"/>
      <c r="B148" s="233">
        <f t="shared" si="11"/>
        <v>124</v>
      </c>
      <c r="C148" s="799"/>
      <c r="D148" s="25"/>
      <c r="E148" s="538"/>
      <c r="F148" s="25"/>
      <c r="G148" s="548"/>
      <c r="H148" s="25"/>
      <c r="I148" s="538"/>
      <c r="J148" s="25"/>
      <c r="K148" s="538"/>
      <c r="Q148" s="3"/>
      <c r="AD148" s="66"/>
    </row>
    <row r="149" spans="1:30" ht="15" customHeight="1" x14ac:dyDescent="0.35">
      <c r="A149" s="554"/>
      <c r="B149" s="233">
        <f t="shared" si="11"/>
        <v>125</v>
      </c>
      <c r="C149" s="799"/>
      <c r="D149" s="25"/>
      <c r="E149" s="538"/>
      <c r="F149" s="25"/>
      <c r="G149" s="548"/>
      <c r="H149" s="25"/>
      <c r="I149" s="538"/>
      <c r="J149" s="25"/>
      <c r="K149" s="538"/>
      <c r="M149" s="64" t="b">
        <v>0</v>
      </c>
      <c r="N149" t="s">
        <v>305</v>
      </c>
      <c r="Q149" s="9"/>
      <c r="S149" s="45" t="b">
        <v>0</v>
      </c>
      <c r="T149" s="44" t="s">
        <v>306</v>
      </c>
      <c r="V149" s="115" t="b">
        <v>0</v>
      </c>
      <c r="W149" t="s">
        <v>307</v>
      </c>
      <c r="Y149" s="796" t="b">
        <v>0</v>
      </c>
      <c r="Z149" t="s">
        <v>308</v>
      </c>
      <c r="AD149" s="66"/>
    </row>
    <row r="150" spans="1:30" ht="4" customHeight="1" x14ac:dyDescent="0.35">
      <c r="A150" s="554"/>
      <c r="B150" s="233">
        <f t="shared" si="11"/>
        <v>126</v>
      </c>
      <c r="C150" s="799"/>
      <c r="D150" s="25"/>
      <c r="E150" s="538"/>
      <c r="F150" s="25"/>
      <c r="G150" s="548"/>
      <c r="H150" s="25"/>
      <c r="I150" s="538"/>
      <c r="J150" s="25"/>
      <c r="K150" s="538"/>
      <c r="Q150" s="9"/>
      <c r="S150" s="44"/>
      <c r="T150" s="44"/>
      <c r="Y150" s="796"/>
      <c r="AD150" s="66"/>
    </row>
    <row r="151" spans="1:30" ht="15" customHeight="1" x14ac:dyDescent="0.35">
      <c r="A151" s="554"/>
      <c r="B151" s="233">
        <f t="shared" si="11"/>
        <v>127</v>
      </c>
      <c r="C151" s="799"/>
      <c r="D151" s="25"/>
      <c r="E151" s="538"/>
      <c r="F151" s="25"/>
      <c r="G151" s="548"/>
      <c r="H151" s="25"/>
      <c r="I151" s="538"/>
      <c r="J151" s="25"/>
      <c r="K151" s="538"/>
      <c r="N151" s="73" t="s">
        <v>135</v>
      </c>
      <c r="S151" s="797" t="s">
        <v>309</v>
      </c>
      <c r="T151" s="797"/>
      <c r="V151" s="797" t="s">
        <v>310</v>
      </c>
      <c r="W151" s="797"/>
      <c r="Y151" s="796"/>
      <c r="AD151" s="66"/>
    </row>
    <row r="152" spans="1:30" ht="15" customHeight="1" x14ac:dyDescent="0.35">
      <c r="A152" s="554"/>
      <c r="B152" s="233">
        <f t="shared" si="11"/>
        <v>128</v>
      </c>
      <c r="C152" s="799"/>
      <c r="D152" s="25"/>
      <c r="E152" s="538"/>
      <c r="F152" s="25"/>
      <c r="G152" s="548"/>
      <c r="H152" s="25"/>
      <c r="I152" s="538"/>
      <c r="J152" s="25"/>
      <c r="K152" s="538"/>
      <c r="N152" s="666"/>
      <c r="S152" s="64" t="b">
        <v>0</v>
      </c>
      <c r="T152" t="s">
        <v>311</v>
      </c>
      <c r="W152" t="s">
        <v>312</v>
      </c>
      <c r="AD152" s="66"/>
    </row>
    <row r="153" spans="1:30" ht="15" customHeight="1" x14ac:dyDescent="0.35">
      <c r="A153" s="554"/>
      <c r="B153" s="233">
        <f t="shared" si="11"/>
        <v>129</v>
      </c>
      <c r="C153" s="799"/>
      <c r="D153" s="25"/>
      <c r="E153" s="538"/>
      <c r="F153" s="25"/>
      <c r="G153" s="548"/>
      <c r="H153" s="25"/>
      <c r="I153" s="538"/>
      <c r="J153" s="25"/>
      <c r="K153" s="538"/>
      <c r="N153" s="666"/>
      <c r="T153" s="73" t="s">
        <v>137</v>
      </c>
      <c r="W153" s="488" t="s">
        <v>137</v>
      </c>
      <c r="X153" s="73"/>
      <c r="Y153" s="73"/>
      <c r="Z153" s="73"/>
      <c r="AD153" s="66"/>
    </row>
    <row r="154" spans="1:30" ht="15" customHeight="1" x14ac:dyDescent="0.35">
      <c r="A154" s="554"/>
      <c r="B154" s="233">
        <f t="shared" si="11"/>
        <v>130</v>
      </c>
      <c r="C154" s="800"/>
      <c r="D154" s="25"/>
      <c r="E154" s="803"/>
      <c r="F154" s="25"/>
      <c r="G154" s="548"/>
      <c r="H154" s="25"/>
      <c r="I154" s="803"/>
      <c r="J154" s="25"/>
      <c r="K154" s="803"/>
      <c r="N154" s="482"/>
      <c r="T154" s="44"/>
      <c r="W154" s="10"/>
      <c r="X154" s="73"/>
      <c r="Y154" s="73"/>
      <c r="Z154" s="73"/>
      <c r="AD154" s="66"/>
    </row>
    <row r="155" spans="1:30" ht="8.15" customHeight="1" thickBot="1" x14ac:dyDescent="0.4">
      <c r="A155" s="555"/>
      <c r="B155" s="233"/>
      <c r="C155" s="801"/>
      <c r="D155" s="120"/>
      <c r="E155" s="804"/>
      <c r="F155" s="120"/>
      <c r="G155" s="549"/>
      <c r="H155" s="120"/>
      <c r="I155" s="804"/>
      <c r="J155" s="120"/>
      <c r="K155" s="804"/>
      <c r="L155" s="67"/>
      <c r="M155" s="67"/>
      <c r="N155" s="67"/>
      <c r="O155" s="67"/>
      <c r="P155" s="67"/>
      <c r="Q155" s="67"/>
      <c r="R155" s="67"/>
      <c r="S155" s="67"/>
      <c r="T155" s="67"/>
      <c r="U155" s="67"/>
      <c r="V155" s="99"/>
      <c r="W155" s="67"/>
      <c r="X155" s="74"/>
      <c r="Y155" s="74"/>
      <c r="Z155" s="74"/>
      <c r="AA155" s="67"/>
      <c r="AB155" s="67"/>
      <c r="AC155" s="67"/>
      <c r="AD155" s="70"/>
    </row>
    <row r="156" spans="1:30" ht="15" customHeight="1" thickBot="1" x14ac:dyDescent="0.4">
      <c r="C156" s="31"/>
      <c r="D156" s="31"/>
      <c r="E156" s="31"/>
      <c r="F156" s="31"/>
      <c r="G156" s="31"/>
      <c r="H156" s="31"/>
      <c r="I156" s="31"/>
      <c r="J156" s="31"/>
      <c r="K156" s="31"/>
      <c r="L156" s="30"/>
      <c r="M156" s="30"/>
      <c r="N156" s="30"/>
      <c r="O156" s="30"/>
      <c r="P156" s="30"/>
      <c r="Q156" s="30"/>
      <c r="R156" s="30"/>
      <c r="S156" s="30"/>
      <c r="T156" s="30"/>
      <c r="U156" s="30"/>
      <c r="V156" s="103"/>
      <c r="W156" s="30"/>
      <c r="X156" s="30"/>
      <c r="Y156" s="30"/>
      <c r="Z156" s="30"/>
      <c r="AA156" s="30"/>
      <c r="AB156" s="30"/>
      <c r="AC156" s="30"/>
      <c r="AD156" s="30"/>
    </row>
    <row r="157" spans="1:30" ht="15" customHeight="1" x14ac:dyDescent="0.35">
      <c r="A157" s="553">
        <f>A145+1</f>
        <v>13</v>
      </c>
      <c r="B157" s="13">
        <f>(A157*10)+1</f>
        <v>131</v>
      </c>
      <c r="C157" s="798"/>
      <c r="D157" s="78"/>
      <c r="E157" s="802"/>
      <c r="F157" s="78"/>
      <c r="G157" s="547"/>
      <c r="H157" s="78"/>
      <c r="I157" s="802"/>
      <c r="J157" s="78"/>
      <c r="K157" s="802"/>
      <c r="L157" s="62"/>
      <c r="M157" s="60" t="b">
        <v>0</v>
      </c>
      <c r="N157" s="62" t="s">
        <v>297</v>
      </c>
      <c r="O157" s="62"/>
      <c r="P157" s="62"/>
      <c r="Q157" s="62" t="s">
        <v>298</v>
      </c>
      <c r="R157" s="62"/>
      <c r="S157" s="747"/>
      <c r="T157" s="62" t="s">
        <v>299</v>
      </c>
      <c r="U157" s="62"/>
      <c r="V157" s="747"/>
      <c r="W157" s="62" t="s">
        <v>300</v>
      </c>
      <c r="X157" s="62"/>
      <c r="Y157" s="747"/>
      <c r="Z157" s="62" t="s">
        <v>301</v>
      </c>
      <c r="AA157" s="62"/>
      <c r="AB157" s="747"/>
      <c r="AC157" s="62" t="s">
        <v>302</v>
      </c>
      <c r="AD157" s="71"/>
    </row>
    <row r="158" spans="1:30" ht="15" customHeight="1" x14ac:dyDescent="0.35">
      <c r="A158" s="554"/>
      <c r="B158" s="233">
        <f t="shared" ref="B158:B166" si="12">B157+1</f>
        <v>132</v>
      </c>
      <c r="C158" s="799"/>
      <c r="D158" s="25"/>
      <c r="E158" s="538"/>
      <c r="F158" s="25"/>
      <c r="G158" s="548"/>
      <c r="H158" s="25"/>
      <c r="I158" s="538"/>
      <c r="J158" s="25"/>
      <c r="K158" s="538"/>
      <c r="M158" s="64" t="b">
        <v>0</v>
      </c>
      <c r="N158" t="s">
        <v>303</v>
      </c>
      <c r="Q158" s="485" t="s">
        <v>135</v>
      </c>
      <c r="S158" s="748"/>
      <c r="T158" s="485" t="s">
        <v>135</v>
      </c>
      <c r="V158" s="748"/>
      <c r="W158" s="485" t="s">
        <v>135</v>
      </c>
      <c r="Y158" s="748"/>
      <c r="Z158" s="485" t="s">
        <v>135</v>
      </c>
      <c r="AB158" s="748"/>
      <c r="AC158" s="485" t="s">
        <v>135</v>
      </c>
      <c r="AD158" s="66"/>
    </row>
    <row r="159" spans="1:30" ht="15" customHeight="1" x14ac:dyDescent="0.35">
      <c r="A159" s="554"/>
      <c r="B159" s="233">
        <f t="shared" si="12"/>
        <v>133</v>
      </c>
      <c r="C159" s="799"/>
      <c r="D159" s="25"/>
      <c r="E159" s="538"/>
      <c r="F159" s="25"/>
      <c r="G159" s="548"/>
      <c r="H159" s="25"/>
      <c r="I159" s="538"/>
      <c r="J159" s="25"/>
      <c r="K159" s="538"/>
      <c r="M159" s="64" t="b">
        <v>0</v>
      </c>
      <c r="N159" t="s">
        <v>304</v>
      </c>
      <c r="Q159" s="5"/>
      <c r="T159" s="10"/>
      <c r="W159" s="10"/>
      <c r="Z159" s="10"/>
      <c r="AC159" s="10"/>
      <c r="AD159" s="66"/>
    </row>
    <row r="160" spans="1:30" ht="4" customHeight="1" x14ac:dyDescent="0.35">
      <c r="A160" s="554"/>
      <c r="B160" s="233">
        <f t="shared" si="12"/>
        <v>134</v>
      </c>
      <c r="C160" s="799"/>
      <c r="D160" s="25"/>
      <c r="E160" s="538"/>
      <c r="F160" s="25"/>
      <c r="G160" s="548"/>
      <c r="H160" s="25"/>
      <c r="I160" s="538"/>
      <c r="J160" s="25"/>
      <c r="K160" s="538"/>
      <c r="Q160" s="3"/>
      <c r="AD160" s="66"/>
    </row>
    <row r="161" spans="1:30" ht="15" customHeight="1" x14ac:dyDescent="0.35">
      <c r="A161" s="554"/>
      <c r="B161" s="233">
        <f t="shared" si="12"/>
        <v>135</v>
      </c>
      <c r="C161" s="799"/>
      <c r="D161" s="25"/>
      <c r="E161" s="538"/>
      <c r="F161" s="25"/>
      <c r="G161" s="548"/>
      <c r="H161" s="25"/>
      <c r="I161" s="538"/>
      <c r="J161" s="25"/>
      <c r="K161" s="538"/>
      <c r="M161" s="64" t="b">
        <v>0</v>
      </c>
      <c r="N161" t="s">
        <v>305</v>
      </c>
      <c r="Q161" s="9"/>
      <c r="S161" s="45" t="b">
        <v>0</v>
      </c>
      <c r="T161" s="44" t="s">
        <v>306</v>
      </c>
      <c r="V161" s="115" t="b">
        <v>0</v>
      </c>
      <c r="W161" t="s">
        <v>307</v>
      </c>
      <c r="Y161" s="796" t="b">
        <v>0</v>
      </c>
      <c r="Z161" t="s">
        <v>308</v>
      </c>
      <c r="AD161" s="66"/>
    </row>
    <row r="162" spans="1:30" ht="4" customHeight="1" x14ac:dyDescent="0.35">
      <c r="A162" s="554"/>
      <c r="B162" s="233">
        <f t="shared" si="12"/>
        <v>136</v>
      </c>
      <c r="C162" s="799"/>
      <c r="D162" s="25"/>
      <c r="E162" s="538"/>
      <c r="F162" s="25"/>
      <c r="G162" s="548"/>
      <c r="H162" s="25"/>
      <c r="I162" s="538"/>
      <c r="J162" s="25"/>
      <c r="K162" s="538"/>
      <c r="Q162" s="9"/>
      <c r="S162" s="44"/>
      <c r="T162" s="44"/>
      <c r="Y162" s="796"/>
      <c r="AD162" s="66"/>
    </row>
    <row r="163" spans="1:30" ht="15" customHeight="1" x14ac:dyDescent="0.35">
      <c r="A163" s="554"/>
      <c r="B163" s="233">
        <f t="shared" si="12"/>
        <v>137</v>
      </c>
      <c r="C163" s="799"/>
      <c r="D163" s="25"/>
      <c r="E163" s="538"/>
      <c r="F163" s="25"/>
      <c r="G163" s="548"/>
      <c r="H163" s="25"/>
      <c r="I163" s="538"/>
      <c r="J163" s="25"/>
      <c r="K163" s="538"/>
      <c r="N163" s="73" t="s">
        <v>135</v>
      </c>
      <c r="S163" s="797" t="s">
        <v>309</v>
      </c>
      <c r="T163" s="797"/>
      <c r="V163" s="797" t="s">
        <v>310</v>
      </c>
      <c r="W163" s="797"/>
      <c r="Y163" s="796"/>
      <c r="AD163" s="66"/>
    </row>
    <row r="164" spans="1:30" ht="15" customHeight="1" x14ac:dyDescent="0.35">
      <c r="A164" s="554"/>
      <c r="B164" s="233">
        <f t="shared" si="12"/>
        <v>138</v>
      </c>
      <c r="C164" s="799"/>
      <c r="D164" s="25"/>
      <c r="E164" s="538"/>
      <c r="F164" s="25"/>
      <c r="G164" s="548"/>
      <c r="H164" s="25"/>
      <c r="I164" s="538"/>
      <c r="J164" s="25"/>
      <c r="K164" s="538"/>
      <c r="N164" s="666"/>
      <c r="S164" s="64" t="b">
        <v>0</v>
      </c>
      <c r="T164" t="s">
        <v>311</v>
      </c>
      <c r="W164" t="s">
        <v>312</v>
      </c>
      <c r="AD164" s="66"/>
    </row>
    <row r="165" spans="1:30" ht="15" customHeight="1" x14ac:dyDescent="0.35">
      <c r="A165" s="554"/>
      <c r="B165" s="233">
        <f t="shared" si="12"/>
        <v>139</v>
      </c>
      <c r="C165" s="799"/>
      <c r="D165" s="25"/>
      <c r="E165" s="538"/>
      <c r="F165" s="25"/>
      <c r="G165" s="548"/>
      <c r="H165" s="25"/>
      <c r="I165" s="538"/>
      <c r="J165" s="25"/>
      <c r="K165" s="538"/>
      <c r="N165" s="666"/>
      <c r="T165" s="73" t="s">
        <v>137</v>
      </c>
      <c r="W165" s="488" t="s">
        <v>137</v>
      </c>
      <c r="X165" s="73"/>
      <c r="Y165" s="73"/>
      <c r="Z165" s="73"/>
      <c r="AD165" s="66"/>
    </row>
    <row r="166" spans="1:30" ht="15" customHeight="1" x14ac:dyDescent="0.35">
      <c r="A166" s="554"/>
      <c r="B166" s="233">
        <f t="shared" si="12"/>
        <v>140</v>
      </c>
      <c r="C166" s="800"/>
      <c r="D166" s="25"/>
      <c r="E166" s="803"/>
      <c r="F166" s="25"/>
      <c r="G166" s="548"/>
      <c r="H166" s="25"/>
      <c r="I166" s="803"/>
      <c r="J166" s="25"/>
      <c r="K166" s="803"/>
      <c r="N166" s="482"/>
      <c r="T166" s="44"/>
      <c r="W166" s="10"/>
      <c r="X166" s="73"/>
      <c r="Y166" s="73"/>
      <c r="Z166" s="73"/>
      <c r="AD166" s="66"/>
    </row>
    <row r="167" spans="1:30" ht="8.15" customHeight="1" thickBot="1" x14ac:dyDescent="0.4">
      <c r="A167" s="555"/>
      <c r="B167" s="233"/>
      <c r="C167" s="801"/>
      <c r="D167" s="120"/>
      <c r="E167" s="804"/>
      <c r="F167" s="120"/>
      <c r="G167" s="549"/>
      <c r="H167" s="120"/>
      <c r="I167" s="804"/>
      <c r="J167" s="120"/>
      <c r="K167" s="804"/>
      <c r="L167" s="67"/>
      <c r="M167" s="67"/>
      <c r="N167" s="67"/>
      <c r="O167" s="67"/>
      <c r="P167" s="67"/>
      <c r="Q167" s="67"/>
      <c r="R167" s="67"/>
      <c r="S167" s="67"/>
      <c r="T167" s="67"/>
      <c r="U167" s="67"/>
      <c r="V167" s="99"/>
      <c r="W167" s="67"/>
      <c r="X167" s="74"/>
      <c r="Y167" s="74"/>
      <c r="Z167" s="74"/>
      <c r="AA167" s="67"/>
      <c r="AB167" s="67"/>
      <c r="AC167" s="67"/>
      <c r="AD167" s="70"/>
    </row>
    <row r="168" spans="1:30" ht="15" customHeight="1" thickBot="1" x14ac:dyDescent="0.4">
      <c r="C168" s="31"/>
      <c r="D168" s="31"/>
      <c r="E168" s="31"/>
      <c r="F168" s="31"/>
      <c r="G168" s="31"/>
      <c r="H168" s="31"/>
      <c r="I168" s="31"/>
      <c r="J168" s="31"/>
      <c r="K168" s="31"/>
      <c r="L168" s="30"/>
      <c r="M168" s="30"/>
      <c r="N168" s="30"/>
      <c r="O168" s="30"/>
      <c r="P168" s="30"/>
      <c r="Q168" s="30"/>
      <c r="R168" s="30"/>
      <c r="S168" s="30"/>
      <c r="T168" s="30"/>
      <c r="U168" s="30"/>
      <c r="V168" s="103"/>
      <c r="W168" s="30"/>
      <c r="X168" s="30"/>
      <c r="Y168" s="30"/>
      <c r="Z168" s="30"/>
      <c r="AA168" s="30"/>
      <c r="AB168" s="30"/>
      <c r="AC168" s="30"/>
      <c r="AD168" s="30"/>
    </row>
    <row r="169" spans="1:30" ht="15" customHeight="1" x14ac:dyDescent="0.35">
      <c r="A169" s="553">
        <f>A157+1</f>
        <v>14</v>
      </c>
      <c r="B169" s="13">
        <f>(A169*10)+1</f>
        <v>141</v>
      </c>
      <c r="C169" s="798"/>
      <c r="D169" s="78"/>
      <c r="E169" s="802"/>
      <c r="F169" s="78"/>
      <c r="G169" s="547"/>
      <c r="H169" s="78"/>
      <c r="I169" s="802"/>
      <c r="J169" s="78"/>
      <c r="K169" s="802"/>
      <c r="L169" s="62"/>
      <c r="M169" s="60" t="b">
        <v>0</v>
      </c>
      <c r="N169" s="62" t="s">
        <v>297</v>
      </c>
      <c r="O169" s="62"/>
      <c r="P169" s="62"/>
      <c r="Q169" s="62" t="s">
        <v>298</v>
      </c>
      <c r="R169" s="62"/>
      <c r="S169" s="747"/>
      <c r="T169" s="62" t="s">
        <v>299</v>
      </c>
      <c r="U169" s="62"/>
      <c r="V169" s="747"/>
      <c r="W169" s="62" t="s">
        <v>300</v>
      </c>
      <c r="X169" s="62"/>
      <c r="Y169" s="747"/>
      <c r="Z169" s="62" t="s">
        <v>301</v>
      </c>
      <c r="AA169" s="62"/>
      <c r="AB169" s="747"/>
      <c r="AC169" s="62" t="s">
        <v>302</v>
      </c>
      <c r="AD169" s="71"/>
    </row>
    <row r="170" spans="1:30" ht="15" customHeight="1" x14ac:dyDescent="0.35">
      <c r="A170" s="554"/>
      <c r="B170" s="233">
        <f t="shared" ref="B170:B178" si="13">B169+1</f>
        <v>142</v>
      </c>
      <c r="C170" s="799"/>
      <c r="D170" s="25"/>
      <c r="E170" s="538"/>
      <c r="F170" s="25"/>
      <c r="G170" s="548"/>
      <c r="H170" s="25"/>
      <c r="I170" s="538"/>
      <c r="J170" s="25"/>
      <c r="K170" s="538"/>
      <c r="M170" s="64" t="b">
        <v>0</v>
      </c>
      <c r="N170" t="s">
        <v>303</v>
      </c>
      <c r="Q170" s="485" t="s">
        <v>135</v>
      </c>
      <c r="S170" s="748"/>
      <c r="T170" s="485" t="s">
        <v>135</v>
      </c>
      <c r="V170" s="748"/>
      <c r="W170" s="485" t="s">
        <v>135</v>
      </c>
      <c r="Y170" s="748"/>
      <c r="Z170" s="485" t="s">
        <v>135</v>
      </c>
      <c r="AB170" s="748"/>
      <c r="AC170" s="485" t="s">
        <v>135</v>
      </c>
      <c r="AD170" s="66"/>
    </row>
    <row r="171" spans="1:30" ht="15" customHeight="1" x14ac:dyDescent="0.35">
      <c r="A171" s="554"/>
      <c r="B171" s="233">
        <f t="shared" si="13"/>
        <v>143</v>
      </c>
      <c r="C171" s="799"/>
      <c r="D171" s="25"/>
      <c r="E171" s="538"/>
      <c r="F171" s="25"/>
      <c r="G171" s="548"/>
      <c r="H171" s="25"/>
      <c r="I171" s="538"/>
      <c r="J171" s="25"/>
      <c r="K171" s="538"/>
      <c r="M171" s="64" t="b">
        <v>0</v>
      </c>
      <c r="N171" t="s">
        <v>304</v>
      </c>
      <c r="Q171" s="5"/>
      <c r="T171" s="10"/>
      <c r="W171" s="10"/>
      <c r="Z171" s="10"/>
      <c r="AC171" s="10"/>
      <c r="AD171" s="66"/>
    </row>
    <row r="172" spans="1:30" ht="4" customHeight="1" x14ac:dyDescent="0.35">
      <c r="A172" s="554"/>
      <c r="B172" s="233">
        <f t="shared" si="13"/>
        <v>144</v>
      </c>
      <c r="C172" s="799"/>
      <c r="D172" s="25"/>
      <c r="E172" s="538"/>
      <c r="F172" s="25"/>
      <c r="G172" s="548"/>
      <c r="H172" s="25"/>
      <c r="I172" s="538"/>
      <c r="J172" s="25"/>
      <c r="K172" s="538"/>
      <c r="Q172" s="3"/>
      <c r="AD172" s="66"/>
    </row>
    <row r="173" spans="1:30" ht="15" customHeight="1" x14ac:dyDescent="0.35">
      <c r="A173" s="554"/>
      <c r="B173" s="233">
        <f t="shared" si="13"/>
        <v>145</v>
      </c>
      <c r="C173" s="799"/>
      <c r="D173" s="25"/>
      <c r="E173" s="538"/>
      <c r="F173" s="25"/>
      <c r="G173" s="548"/>
      <c r="H173" s="25"/>
      <c r="I173" s="538"/>
      <c r="J173" s="25"/>
      <c r="K173" s="538"/>
      <c r="M173" s="64" t="b">
        <v>0</v>
      </c>
      <c r="N173" t="s">
        <v>305</v>
      </c>
      <c r="Q173" s="9"/>
      <c r="S173" s="45" t="b">
        <v>0</v>
      </c>
      <c r="T173" s="44" t="s">
        <v>306</v>
      </c>
      <c r="V173" s="115" t="b">
        <v>0</v>
      </c>
      <c r="W173" t="s">
        <v>307</v>
      </c>
      <c r="Y173" s="796" t="b">
        <v>0</v>
      </c>
      <c r="Z173" t="s">
        <v>308</v>
      </c>
      <c r="AD173" s="66"/>
    </row>
    <row r="174" spans="1:30" ht="4" customHeight="1" x14ac:dyDescent="0.35">
      <c r="A174" s="554"/>
      <c r="B174" s="233">
        <f t="shared" si="13"/>
        <v>146</v>
      </c>
      <c r="C174" s="799"/>
      <c r="D174" s="25"/>
      <c r="E174" s="538"/>
      <c r="F174" s="25"/>
      <c r="G174" s="548"/>
      <c r="H174" s="25"/>
      <c r="I174" s="538"/>
      <c r="J174" s="25"/>
      <c r="K174" s="538"/>
      <c r="Q174" s="9"/>
      <c r="S174" s="44"/>
      <c r="T174" s="44"/>
      <c r="Y174" s="796"/>
      <c r="AD174" s="66"/>
    </row>
    <row r="175" spans="1:30" ht="15" customHeight="1" x14ac:dyDescent="0.35">
      <c r="A175" s="554"/>
      <c r="B175" s="233">
        <f t="shared" si="13"/>
        <v>147</v>
      </c>
      <c r="C175" s="799"/>
      <c r="D175" s="25"/>
      <c r="E175" s="538"/>
      <c r="F175" s="25"/>
      <c r="G175" s="548"/>
      <c r="H175" s="25"/>
      <c r="I175" s="538"/>
      <c r="J175" s="25"/>
      <c r="K175" s="538"/>
      <c r="N175" s="73" t="s">
        <v>135</v>
      </c>
      <c r="S175" s="797" t="s">
        <v>309</v>
      </c>
      <c r="T175" s="797"/>
      <c r="V175" s="797" t="s">
        <v>310</v>
      </c>
      <c r="W175" s="797"/>
      <c r="Y175" s="796"/>
      <c r="AD175" s="66"/>
    </row>
    <row r="176" spans="1:30" ht="15" customHeight="1" x14ac:dyDescent="0.35">
      <c r="A176" s="554"/>
      <c r="B176" s="233">
        <f t="shared" si="13"/>
        <v>148</v>
      </c>
      <c r="C176" s="799"/>
      <c r="D176" s="25"/>
      <c r="E176" s="538"/>
      <c r="F176" s="25"/>
      <c r="G176" s="548"/>
      <c r="H176" s="25"/>
      <c r="I176" s="538"/>
      <c r="J176" s="25"/>
      <c r="K176" s="538"/>
      <c r="N176" s="666"/>
      <c r="S176" s="64" t="b">
        <v>0</v>
      </c>
      <c r="T176" t="s">
        <v>311</v>
      </c>
      <c r="W176" t="s">
        <v>312</v>
      </c>
      <c r="AD176" s="66"/>
    </row>
    <row r="177" spans="1:30" ht="15" customHeight="1" x14ac:dyDescent="0.35">
      <c r="A177" s="554"/>
      <c r="B177" s="233">
        <f t="shared" si="13"/>
        <v>149</v>
      </c>
      <c r="C177" s="799"/>
      <c r="D177" s="25"/>
      <c r="E177" s="538"/>
      <c r="F177" s="25"/>
      <c r="G177" s="548"/>
      <c r="H177" s="25"/>
      <c r="I177" s="538"/>
      <c r="J177" s="25"/>
      <c r="K177" s="538"/>
      <c r="N177" s="666"/>
      <c r="T177" s="73" t="s">
        <v>137</v>
      </c>
      <c r="W177" s="488" t="s">
        <v>137</v>
      </c>
      <c r="X177" s="73"/>
      <c r="Y177" s="73"/>
      <c r="Z177" s="73"/>
      <c r="AD177" s="66"/>
    </row>
    <row r="178" spans="1:30" ht="15" customHeight="1" x14ac:dyDescent="0.35">
      <c r="A178" s="554"/>
      <c r="B178" s="233">
        <f t="shared" si="13"/>
        <v>150</v>
      </c>
      <c r="C178" s="800"/>
      <c r="D178" s="25"/>
      <c r="E178" s="803"/>
      <c r="F178" s="25"/>
      <c r="G178" s="548"/>
      <c r="H178" s="25"/>
      <c r="I178" s="803"/>
      <c r="J178" s="25"/>
      <c r="K178" s="803"/>
      <c r="N178" s="482"/>
      <c r="T178" s="44"/>
      <c r="W178" s="10"/>
      <c r="X178" s="73"/>
      <c r="Y178" s="73"/>
      <c r="Z178" s="73"/>
      <c r="AD178" s="66"/>
    </row>
    <row r="179" spans="1:30" ht="8.15" customHeight="1" thickBot="1" x14ac:dyDescent="0.4">
      <c r="A179" s="555"/>
      <c r="B179" s="233"/>
      <c r="C179" s="801"/>
      <c r="D179" s="120"/>
      <c r="E179" s="804"/>
      <c r="F179" s="120"/>
      <c r="G179" s="549"/>
      <c r="H179" s="120"/>
      <c r="I179" s="804"/>
      <c r="J179" s="120"/>
      <c r="K179" s="804"/>
      <c r="L179" s="67"/>
      <c r="M179" s="67"/>
      <c r="N179" s="67"/>
      <c r="O179" s="67"/>
      <c r="P179" s="67"/>
      <c r="Q179" s="67"/>
      <c r="R179" s="67"/>
      <c r="S179" s="67"/>
      <c r="T179" s="67"/>
      <c r="U179" s="67"/>
      <c r="V179" s="99"/>
      <c r="W179" s="67"/>
      <c r="X179" s="74"/>
      <c r="Y179" s="74"/>
      <c r="Z179" s="74"/>
      <c r="AA179" s="67"/>
      <c r="AB179" s="67"/>
      <c r="AC179" s="67"/>
      <c r="AD179" s="70"/>
    </row>
    <row r="180" spans="1:30" ht="15" customHeight="1" thickBot="1" x14ac:dyDescent="0.4">
      <c r="C180" s="31"/>
      <c r="D180" s="31"/>
      <c r="E180" s="31"/>
      <c r="F180" s="31"/>
      <c r="G180" s="31"/>
      <c r="H180" s="31"/>
      <c r="I180" s="31"/>
      <c r="J180" s="31"/>
      <c r="K180" s="31"/>
      <c r="L180" s="30"/>
      <c r="M180" s="30"/>
      <c r="N180" s="30"/>
      <c r="O180" s="30"/>
      <c r="P180" s="30"/>
      <c r="Q180" s="30"/>
      <c r="R180" s="30"/>
      <c r="S180" s="30"/>
      <c r="T180" s="30"/>
      <c r="U180" s="30"/>
      <c r="V180" s="103"/>
      <c r="W180" s="30"/>
      <c r="X180" s="30"/>
      <c r="Y180" s="30"/>
      <c r="Z180" s="30"/>
      <c r="AA180" s="30"/>
      <c r="AB180" s="30"/>
      <c r="AC180" s="30"/>
      <c r="AD180" s="30"/>
    </row>
    <row r="181" spans="1:30" ht="15" customHeight="1" x14ac:dyDescent="0.35">
      <c r="A181" s="553">
        <f>A169+1</f>
        <v>15</v>
      </c>
      <c r="B181" s="13">
        <f>(A181*10)+1</f>
        <v>151</v>
      </c>
      <c r="C181" s="798"/>
      <c r="D181" s="78"/>
      <c r="E181" s="802"/>
      <c r="F181" s="78"/>
      <c r="G181" s="547"/>
      <c r="H181" s="78"/>
      <c r="I181" s="802"/>
      <c r="J181" s="78"/>
      <c r="K181" s="802"/>
      <c r="L181" s="62"/>
      <c r="M181" s="60" t="b">
        <v>0</v>
      </c>
      <c r="N181" s="62" t="s">
        <v>297</v>
      </c>
      <c r="O181" s="62"/>
      <c r="P181" s="62"/>
      <c r="Q181" s="62" t="s">
        <v>298</v>
      </c>
      <c r="R181" s="62"/>
      <c r="S181" s="747"/>
      <c r="T181" s="62" t="s">
        <v>299</v>
      </c>
      <c r="U181" s="62"/>
      <c r="V181" s="747"/>
      <c r="W181" s="62" t="s">
        <v>300</v>
      </c>
      <c r="X181" s="62"/>
      <c r="Y181" s="747"/>
      <c r="Z181" s="62" t="s">
        <v>301</v>
      </c>
      <c r="AA181" s="62"/>
      <c r="AB181" s="747"/>
      <c r="AC181" s="62" t="s">
        <v>302</v>
      </c>
      <c r="AD181" s="71"/>
    </row>
    <row r="182" spans="1:30" ht="15" customHeight="1" x14ac:dyDescent="0.35">
      <c r="A182" s="554"/>
      <c r="B182" s="233">
        <f t="shared" ref="B182:B190" si="14">B181+1</f>
        <v>152</v>
      </c>
      <c r="C182" s="799"/>
      <c r="D182" s="25"/>
      <c r="E182" s="538"/>
      <c r="F182" s="25"/>
      <c r="G182" s="548"/>
      <c r="H182" s="25"/>
      <c r="I182" s="538"/>
      <c r="J182" s="25"/>
      <c r="K182" s="538"/>
      <c r="M182" s="64" t="b">
        <v>0</v>
      </c>
      <c r="N182" t="s">
        <v>303</v>
      </c>
      <c r="Q182" s="485" t="s">
        <v>135</v>
      </c>
      <c r="S182" s="748"/>
      <c r="T182" s="485" t="s">
        <v>135</v>
      </c>
      <c r="V182" s="748"/>
      <c r="W182" s="485" t="s">
        <v>135</v>
      </c>
      <c r="Y182" s="748"/>
      <c r="Z182" s="485" t="s">
        <v>135</v>
      </c>
      <c r="AB182" s="748"/>
      <c r="AC182" s="485" t="s">
        <v>135</v>
      </c>
      <c r="AD182" s="66"/>
    </row>
    <row r="183" spans="1:30" ht="15" customHeight="1" x14ac:dyDescent="0.35">
      <c r="A183" s="554"/>
      <c r="B183" s="233">
        <f t="shared" si="14"/>
        <v>153</v>
      </c>
      <c r="C183" s="799"/>
      <c r="D183" s="25"/>
      <c r="E183" s="538"/>
      <c r="F183" s="25"/>
      <c r="G183" s="548"/>
      <c r="H183" s="25"/>
      <c r="I183" s="538"/>
      <c r="J183" s="25"/>
      <c r="K183" s="538"/>
      <c r="M183" s="64" t="b">
        <v>0</v>
      </c>
      <c r="N183" t="s">
        <v>304</v>
      </c>
      <c r="Q183" s="5"/>
      <c r="T183" s="10"/>
      <c r="W183" s="10"/>
      <c r="Z183" s="10"/>
      <c r="AC183" s="10"/>
      <c r="AD183" s="66"/>
    </row>
    <row r="184" spans="1:30" ht="15" customHeight="1" x14ac:dyDescent="0.35">
      <c r="A184" s="554"/>
      <c r="B184" s="233">
        <f t="shared" si="14"/>
        <v>154</v>
      </c>
      <c r="C184" s="799"/>
      <c r="D184" s="25"/>
      <c r="E184" s="538"/>
      <c r="F184" s="25"/>
      <c r="G184" s="548"/>
      <c r="H184" s="25"/>
      <c r="I184" s="538"/>
      <c r="J184" s="25"/>
      <c r="K184" s="538"/>
      <c r="Q184" s="3"/>
      <c r="AD184" s="66"/>
    </row>
    <row r="185" spans="1:30" ht="15" customHeight="1" x14ac:dyDescent="0.35">
      <c r="A185" s="554"/>
      <c r="B185" s="233">
        <f t="shared" si="14"/>
        <v>155</v>
      </c>
      <c r="C185" s="799"/>
      <c r="D185" s="25"/>
      <c r="E185" s="538"/>
      <c r="F185" s="25"/>
      <c r="G185" s="548"/>
      <c r="H185" s="25"/>
      <c r="I185" s="538"/>
      <c r="J185" s="25"/>
      <c r="K185" s="538"/>
      <c r="M185" s="64" t="b">
        <v>0</v>
      </c>
      <c r="N185" t="s">
        <v>305</v>
      </c>
      <c r="Q185" s="9"/>
      <c r="S185" s="45" t="b">
        <v>0</v>
      </c>
      <c r="T185" s="44" t="s">
        <v>306</v>
      </c>
      <c r="V185" s="115" t="b">
        <v>0</v>
      </c>
      <c r="W185" t="s">
        <v>307</v>
      </c>
      <c r="Y185" s="796" t="b">
        <v>0</v>
      </c>
      <c r="Z185" t="s">
        <v>308</v>
      </c>
      <c r="AD185" s="66"/>
    </row>
    <row r="186" spans="1:30" ht="15" customHeight="1" x14ac:dyDescent="0.35">
      <c r="A186" s="554"/>
      <c r="B186" s="233">
        <f t="shared" si="14"/>
        <v>156</v>
      </c>
      <c r="C186" s="799"/>
      <c r="D186" s="25"/>
      <c r="E186" s="538"/>
      <c r="F186" s="25"/>
      <c r="G186" s="548"/>
      <c r="H186" s="25"/>
      <c r="I186" s="538"/>
      <c r="J186" s="25"/>
      <c r="K186" s="538"/>
      <c r="Q186" s="9"/>
      <c r="S186" s="44"/>
      <c r="T186" s="44"/>
      <c r="Y186" s="796"/>
      <c r="AD186" s="66"/>
    </row>
    <row r="187" spans="1:30" ht="15" customHeight="1" x14ac:dyDescent="0.35">
      <c r="A187" s="554"/>
      <c r="B187" s="233">
        <f t="shared" si="14"/>
        <v>157</v>
      </c>
      <c r="C187" s="799"/>
      <c r="D187" s="25"/>
      <c r="E187" s="538"/>
      <c r="F187" s="25"/>
      <c r="G187" s="548"/>
      <c r="H187" s="25"/>
      <c r="I187" s="538"/>
      <c r="J187" s="25"/>
      <c r="K187" s="538"/>
      <c r="N187" s="73" t="s">
        <v>135</v>
      </c>
      <c r="S187" s="797" t="s">
        <v>309</v>
      </c>
      <c r="T187" s="797"/>
      <c r="V187" s="797" t="s">
        <v>310</v>
      </c>
      <c r="W187" s="797"/>
      <c r="Y187" s="796"/>
      <c r="AD187" s="66"/>
    </row>
    <row r="188" spans="1:30" ht="15" customHeight="1" x14ac:dyDescent="0.35">
      <c r="A188" s="554"/>
      <c r="B188" s="233">
        <f t="shared" si="14"/>
        <v>158</v>
      </c>
      <c r="C188" s="799"/>
      <c r="D188" s="25"/>
      <c r="E188" s="538"/>
      <c r="F188" s="25"/>
      <c r="G188" s="548"/>
      <c r="H188" s="25"/>
      <c r="I188" s="538"/>
      <c r="J188" s="25"/>
      <c r="K188" s="538"/>
      <c r="N188" s="666"/>
      <c r="S188" s="64" t="b">
        <v>0</v>
      </c>
      <c r="T188" t="s">
        <v>311</v>
      </c>
      <c r="W188" t="s">
        <v>312</v>
      </c>
      <c r="AD188" s="66"/>
    </row>
    <row r="189" spans="1:30" ht="15" customHeight="1" x14ac:dyDescent="0.35">
      <c r="A189" s="554"/>
      <c r="B189" s="233">
        <f t="shared" si="14"/>
        <v>159</v>
      </c>
      <c r="C189" s="799"/>
      <c r="D189" s="25"/>
      <c r="E189" s="538"/>
      <c r="F189" s="25"/>
      <c r="G189" s="548"/>
      <c r="H189" s="25"/>
      <c r="I189" s="538"/>
      <c r="J189" s="25"/>
      <c r="K189" s="538"/>
      <c r="N189" s="666"/>
      <c r="T189" s="73" t="s">
        <v>137</v>
      </c>
      <c r="W189" s="488" t="s">
        <v>137</v>
      </c>
      <c r="X189" s="73"/>
      <c r="Y189" s="73"/>
      <c r="Z189" s="73"/>
      <c r="AD189" s="66"/>
    </row>
    <row r="190" spans="1:30" ht="15" customHeight="1" x14ac:dyDescent="0.35">
      <c r="A190" s="554"/>
      <c r="B190" s="233">
        <f t="shared" si="14"/>
        <v>160</v>
      </c>
      <c r="C190" s="800"/>
      <c r="D190" s="25"/>
      <c r="E190" s="803"/>
      <c r="F190" s="25"/>
      <c r="G190" s="548"/>
      <c r="H190" s="25"/>
      <c r="I190" s="803"/>
      <c r="J190" s="25"/>
      <c r="K190" s="803"/>
      <c r="N190" s="482"/>
      <c r="T190" s="44"/>
      <c r="W190" s="10"/>
      <c r="X190" s="73"/>
      <c r="Y190" s="73"/>
      <c r="Z190" s="73"/>
      <c r="AD190" s="66"/>
    </row>
    <row r="191" spans="1:30" ht="15" customHeight="1" thickBot="1" x14ac:dyDescent="0.4">
      <c r="A191" s="555"/>
      <c r="B191" s="233"/>
      <c r="C191" s="801"/>
      <c r="D191" s="120"/>
      <c r="E191" s="804"/>
      <c r="F191" s="120"/>
      <c r="G191" s="549"/>
      <c r="H191" s="120"/>
      <c r="I191" s="804"/>
      <c r="J191" s="120"/>
      <c r="K191" s="804"/>
      <c r="L191" s="67"/>
      <c r="M191" s="67"/>
      <c r="N191" s="67"/>
      <c r="O191" s="67"/>
      <c r="P191" s="67"/>
      <c r="Q191" s="67"/>
      <c r="R191" s="67"/>
      <c r="S191" s="67"/>
      <c r="T191" s="67"/>
      <c r="U191" s="67"/>
      <c r="V191" s="99"/>
      <c r="W191" s="67"/>
      <c r="X191" s="74"/>
      <c r="Y191" s="74"/>
      <c r="Z191" s="74"/>
      <c r="AA191" s="67"/>
      <c r="AB191" s="67"/>
      <c r="AC191" s="67"/>
      <c r="AD191" s="70"/>
    </row>
    <row r="192" spans="1:30" ht="15" customHeight="1" thickBot="1" x14ac:dyDescent="0.4">
      <c r="C192" s="31"/>
      <c r="D192" s="31"/>
      <c r="E192" s="31"/>
      <c r="F192" s="31"/>
      <c r="G192" s="31"/>
      <c r="H192" s="31"/>
      <c r="I192" s="31"/>
      <c r="J192" s="31"/>
      <c r="K192" s="31"/>
      <c r="L192" s="30"/>
      <c r="M192" s="30"/>
      <c r="N192" s="30"/>
      <c r="O192" s="30"/>
      <c r="P192" s="30"/>
      <c r="Q192" s="30"/>
      <c r="R192" s="30"/>
      <c r="S192" s="30"/>
      <c r="T192" s="30"/>
      <c r="U192" s="30"/>
      <c r="V192" s="103"/>
      <c r="W192" s="30"/>
      <c r="X192" s="30"/>
      <c r="Y192" s="30"/>
      <c r="Z192" s="30"/>
      <c r="AA192" s="30"/>
      <c r="AB192" s="30"/>
      <c r="AC192" s="30"/>
      <c r="AD192" s="30"/>
    </row>
    <row r="193" spans="1:30" ht="15" customHeight="1" x14ac:dyDescent="0.35">
      <c r="A193" s="553">
        <f>A181+1</f>
        <v>16</v>
      </c>
      <c r="B193" s="13">
        <f>(A193*10)+1</f>
        <v>161</v>
      </c>
      <c r="C193" s="798"/>
      <c r="D193" s="78"/>
      <c r="E193" s="802"/>
      <c r="F193" s="78"/>
      <c r="G193" s="547"/>
      <c r="H193" s="78"/>
      <c r="I193" s="802"/>
      <c r="J193" s="78"/>
      <c r="K193" s="802"/>
      <c r="L193" s="62"/>
      <c r="M193" s="60" t="b">
        <v>0</v>
      </c>
      <c r="N193" s="62" t="s">
        <v>297</v>
      </c>
      <c r="O193" s="62"/>
      <c r="P193" s="62"/>
      <c r="Q193" s="62" t="s">
        <v>298</v>
      </c>
      <c r="R193" s="62"/>
      <c r="S193" s="747"/>
      <c r="T193" s="62" t="s">
        <v>299</v>
      </c>
      <c r="U193" s="62"/>
      <c r="V193" s="747"/>
      <c r="W193" s="62" t="s">
        <v>300</v>
      </c>
      <c r="X193" s="62"/>
      <c r="Y193" s="747"/>
      <c r="Z193" s="62" t="s">
        <v>301</v>
      </c>
      <c r="AA193" s="62"/>
      <c r="AB193" s="747"/>
      <c r="AC193" s="62" t="s">
        <v>302</v>
      </c>
      <c r="AD193" s="71"/>
    </row>
    <row r="194" spans="1:30" ht="15" customHeight="1" x14ac:dyDescent="0.35">
      <c r="A194" s="554"/>
      <c r="B194" s="233">
        <f t="shared" ref="B194:B202" si="15">B193+1</f>
        <v>162</v>
      </c>
      <c r="C194" s="799"/>
      <c r="D194" s="25"/>
      <c r="E194" s="538"/>
      <c r="F194" s="25"/>
      <c r="G194" s="548"/>
      <c r="H194" s="25"/>
      <c r="I194" s="538"/>
      <c r="J194" s="25"/>
      <c r="K194" s="538"/>
      <c r="M194" s="64" t="b">
        <v>0</v>
      </c>
      <c r="N194" t="s">
        <v>303</v>
      </c>
      <c r="Q194" s="485" t="s">
        <v>135</v>
      </c>
      <c r="S194" s="748"/>
      <c r="T194" s="485" t="s">
        <v>135</v>
      </c>
      <c r="V194" s="748"/>
      <c r="W194" s="485" t="s">
        <v>135</v>
      </c>
      <c r="Y194" s="748"/>
      <c r="Z194" s="485" t="s">
        <v>135</v>
      </c>
      <c r="AB194" s="748"/>
      <c r="AC194" s="485" t="s">
        <v>135</v>
      </c>
      <c r="AD194" s="66"/>
    </row>
    <row r="195" spans="1:30" ht="15" customHeight="1" x14ac:dyDescent="0.35">
      <c r="A195" s="554"/>
      <c r="B195" s="233">
        <f t="shared" si="15"/>
        <v>163</v>
      </c>
      <c r="C195" s="799"/>
      <c r="D195" s="25"/>
      <c r="E195" s="538"/>
      <c r="F195" s="25"/>
      <c r="G195" s="548"/>
      <c r="H195" s="25"/>
      <c r="I195" s="538"/>
      <c r="J195" s="25"/>
      <c r="K195" s="538"/>
      <c r="M195" s="64" t="b">
        <v>0</v>
      </c>
      <c r="N195" t="s">
        <v>304</v>
      </c>
      <c r="Q195" s="5"/>
      <c r="T195" s="10"/>
      <c r="W195" s="10"/>
      <c r="Z195" s="10"/>
      <c r="AC195" s="10"/>
      <c r="AD195" s="66"/>
    </row>
    <row r="196" spans="1:30" ht="15" customHeight="1" x14ac:dyDescent="0.35">
      <c r="A196" s="554"/>
      <c r="B196" s="233">
        <f t="shared" si="15"/>
        <v>164</v>
      </c>
      <c r="C196" s="799"/>
      <c r="D196" s="25"/>
      <c r="E196" s="538"/>
      <c r="F196" s="25"/>
      <c r="G196" s="548"/>
      <c r="H196" s="25"/>
      <c r="I196" s="538"/>
      <c r="J196" s="25"/>
      <c r="K196" s="538"/>
      <c r="Q196" s="3"/>
      <c r="AD196" s="66"/>
    </row>
    <row r="197" spans="1:30" ht="15" customHeight="1" x14ac:dyDescent="0.35">
      <c r="A197" s="554"/>
      <c r="B197" s="233">
        <f t="shared" si="15"/>
        <v>165</v>
      </c>
      <c r="C197" s="799"/>
      <c r="D197" s="25"/>
      <c r="E197" s="538"/>
      <c r="F197" s="25"/>
      <c r="G197" s="548"/>
      <c r="H197" s="25"/>
      <c r="I197" s="538"/>
      <c r="J197" s="25"/>
      <c r="K197" s="538"/>
      <c r="M197" s="64" t="b">
        <v>0</v>
      </c>
      <c r="N197" t="s">
        <v>305</v>
      </c>
      <c r="Q197" s="9"/>
      <c r="S197" s="45" t="b">
        <v>0</v>
      </c>
      <c r="T197" s="44" t="s">
        <v>306</v>
      </c>
      <c r="V197" s="115" t="b">
        <v>0</v>
      </c>
      <c r="W197" t="s">
        <v>307</v>
      </c>
      <c r="Y197" s="796" t="b">
        <v>0</v>
      </c>
      <c r="Z197" t="s">
        <v>308</v>
      </c>
      <c r="AD197" s="66"/>
    </row>
    <row r="198" spans="1:30" ht="15" customHeight="1" x14ac:dyDescent="0.35">
      <c r="A198" s="554"/>
      <c r="B198" s="233">
        <f t="shared" si="15"/>
        <v>166</v>
      </c>
      <c r="C198" s="799"/>
      <c r="D198" s="25"/>
      <c r="E198" s="538"/>
      <c r="F198" s="25"/>
      <c r="G198" s="548"/>
      <c r="H198" s="25"/>
      <c r="I198" s="538"/>
      <c r="J198" s="25"/>
      <c r="K198" s="538"/>
      <c r="Q198" s="9"/>
      <c r="S198" s="44"/>
      <c r="T198" s="44"/>
      <c r="Y198" s="796"/>
      <c r="AD198" s="66"/>
    </row>
    <row r="199" spans="1:30" ht="15" customHeight="1" x14ac:dyDescent="0.35">
      <c r="A199" s="554"/>
      <c r="B199" s="233">
        <f t="shared" si="15"/>
        <v>167</v>
      </c>
      <c r="C199" s="799"/>
      <c r="D199" s="25"/>
      <c r="E199" s="538"/>
      <c r="F199" s="25"/>
      <c r="G199" s="548"/>
      <c r="H199" s="25"/>
      <c r="I199" s="538"/>
      <c r="J199" s="25"/>
      <c r="K199" s="538"/>
      <c r="N199" s="73" t="s">
        <v>135</v>
      </c>
      <c r="S199" s="797" t="s">
        <v>309</v>
      </c>
      <c r="T199" s="797"/>
      <c r="V199" s="797" t="s">
        <v>310</v>
      </c>
      <c r="W199" s="797"/>
      <c r="Y199" s="796"/>
      <c r="AD199" s="66"/>
    </row>
    <row r="200" spans="1:30" ht="15" customHeight="1" x14ac:dyDescent="0.35">
      <c r="A200" s="554"/>
      <c r="B200" s="233">
        <f t="shared" si="15"/>
        <v>168</v>
      </c>
      <c r="C200" s="799"/>
      <c r="D200" s="25"/>
      <c r="E200" s="538"/>
      <c r="F200" s="25"/>
      <c r="G200" s="548"/>
      <c r="H200" s="25"/>
      <c r="I200" s="538"/>
      <c r="J200" s="25"/>
      <c r="K200" s="538"/>
      <c r="N200" s="666"/>
      <c r="S200" s="64" t="b">
        <v>0</v>
      </c>
      <c r="T200" t="s">
        <v>311</v>
      </c>
      <c r="W200" t="s">
        <v>312</v>
      </c>
      <c r="AD200" s="66"/>
    </row>
    <row r="201" spans="1:30" ht="15" customHeight="1" x14ac:dyDescent="0.35">
      <c r="A201" s="554"/>
      <c r="B201" s="233">
        <f t="shared" si="15"/>
        <v>169</v>
      </c>
      <c r="C201" s="799"/>
      <c r="D201" s="25"/>
      <c r="E201" s="538"/>
      <c r="F201" s="25"/>
      <c r="G201" s="548"/>
      <c r="H201" s="25"/>
      <c r="I201" s="538"/>
      <c r="J201" s="25"/>
      <c r="K201" s="538"/>
      <c r="N201" s="666"/>
      <c r="T201" s="73" t="s">
        <v>137</v>
      </c>
      <c r="W201" s="488" t="s">
        <v>137</v>
      </c>
      <c r="X201" s="73"/>
      <c r="Y201" s="73"/>
      <c r="Z201" s="73"/>
      <c r="AD201" s="66"/>
    </row>
    <row r="202" spans="1:30" ht="15" customHeight="1" x14ac:dyDescent="0.35">
      <c r="A202" s="554"/>
      <c r="B202" s="233">
        <f t="shared" si="15"/>
        <v>170</v>
      </c>
      <c r="C202" s="800"/>
      <c r="D202" s="25"/>
      <c r="E202" s="803"/>
      <c r="F202" s="25"/>
      <c r="G202" s="548"/>
      <c r="H202" s="25"/>
      <c r="I202" s="803"/>
      <c r="J202" s="25"/>
      <c r="K202" s="803"/>
      <c r="N202" s="482"/>
      <c r="T202" s="44"/>
      <c r="W202" s="10"/>
      <c r="X202" s="73"/>
      <c r="Y202" s="73"/>
      <c r="Z202" s="73"/>
      <c r="AD202" s="66"/>
    </row>
    <row r="203" spans="1:30" ht="8.15" customHeight="1" thickBot="1" x14ac:dyDescent="0.4">
      <c r="A203" s="555"/>
      <c r="B203" s="233"/>
      <c r="C203" s="801"/>
      <c r="D203" s="120"/>
      <c r="E203" s="804"/>
      <c r="F203" s="120"/>
      <c r="G203" s="549"/>
      <c r="H203" s="120"/>
      <c r="I203" s="804"/>
      <c r="J203" s="120"/>
      <c r="K203" s="804"/>
      <c r="L203" s="67"/>
      <c r="M203" s="67"/>
      <c r="N203" s="67"/>
      <c r="O203" s="67"/>
      <c r="P203" s="67"/>
      <c r="Q203" s="67"/>
      <c r="R203" s="67"/>
      <c r="S203" s="67"/>
      <c r="T203" s="67"/>
      <c r="U203" s="67"/>
      <c r="V203" s="99"/>
      <c r="W203" s="67"/>
      <c r="X203" s="74"/>
      <c r="Y203" s="74"/>
      <c r="Z203" s="74"/>
      <c r="AA203" s="67"/>
      <c r="AB203" s="67"/>
      <c r="AC203" s="67"/>
      <c r="AD203" s="70"/>
    </row>
    <row r="204" spans="1:30" ht="15" customHeight="1" thickBot="1" x14ac:dyDescent="0.4">
      <c r="C204" s="31"/>
      <c r="D204" s="31"/>
      <c r="E204" s="31"/>
      <c r="F204" s="31"/>
      <c r="G204" s="31"/>
      <c r="H204" s="31"/>
      <c r="I204" s="31"/>
      <c r="J204" s="31"/>
      <c r="K204" s="31"/>
      <c r="L204" s="30"/>
      <c r="M204" s="30"/>
      <c r="N204" s="30"/>
      <c r="O204" s="30"/>
      <c r="P204" s="30"/>
      <c r="Q204" s="30"/>
      <c r="R204" s="30"/>
      <c r="S204" s="30"/>
      <c r="T204" s="30"/>
      <c r="U204" s="30"/>
      <c r="V204" s="103"/>
      <c r="W204" s="30"/>
      <c r="X204" s="30"/>
      <c r="Y204" s="30"/>
      <c r="Z204" s="30"/>
      <c r="AA204" s="30"/>
      <c r="AB204" s="30"/>
      <c r="AC204" s="30"/>
      <c r="AD204" s="30"/>
    </row>
    <row r="205" spans="1:30" ht="15" customHeight="1" x14ac:dyDescent="0.35">
      <c r="A205" s="553">
        <f>A193+1</f>
        <v>17</v>
      </c>
      <c r="B205" s="13">
        <f>(A205*10)+1</f>
        <v>171</v>
      </c>
      <c r="C205" s="798"/>
      <c r="D205" s="78"/>
      <c r="E205" s="802"/>
      <c r="F205" s="78"/>
      <c r="G205" s="547"/>
      <c r="H205" s="78"/>
      <c r="I205" s="802"/>
      <c r="J205" s="78"/>
      <c r="K205" s="802"/>
      <c r="L205" s="62"/>
      <c r="M205" s="60" t="b">
        <v>0</v>
      </c>
      <c r="N205" s="62" t="s">
        <v>297</v>
      </c>
      <c r="O205" s="62"/>
      <c r="P205" s="62"/>
      <c r="Q205" s="62" t="s">
        <v>298</v>
      </c>
      <c r="R205" s="62"/>
      <c r="S205" s="747"/>
      <c r="T205" s="62" t="s">
        <v>299</v>
      </c>
      <c r="U205" s="62"/>
      <c r="V205" s="747"/>
      <c r="W205" s="62" t="s">
        <v>300</v>
      </c>
      <c r="X205" s="62"/>
      <c r="Y205" s="747"/>
      <c r="Z205" s="62" t="s">
        <v>301</v>
      </c>
      <c r="AA205" s="62"/>
      <c r="AB205" s="747"/>
      <c r="AC205" s="62" t="s">
        <v>302</v>
      </c>
      <c r="AD205" s="71"/>
    </row>
    <row r="206" spans="1:30" ht="15" customHeight="1" x14ac:dyDescent="0.35">
      <c r="A206" s="554"/>
      <c r="B206" s="233">
        <f t="shared" ref="B206:B214" si="16">B205+1</f>
        <v>172</v>
      </c>
      <c r="C206" s="799"/>
      <c r="D206" s="25"/>
      <c r="E206" s="538"/>
      <c r="F206" s="25"/>
      <c r="G206" s="548"/>
      <c r="H206" s="25"/>
      <c r="I206" s="538"/>
      <c r="J206" s="25"/>
      <c r="K206" s="538"/>
      <c r="M206" s="64" t="b">
        <v>0</v>
      </c>
      <c r="N206" t="s">
        <v>303</v>
      </c>
      <c r="Q206" s="485" t="s">
        <v>135</v>
      </c>
      <c r="S206" s="748"/>
      <c r="T206" s="485" t="s">
        <v>135</v>
      </c>
      <c r="V206" s="748"/>
      <c r="W206" s="485" t="s">
        <v>135</v>
      </c>
      <c r="Y206" s="748"/>
      <c r="Z206" s="485" t="s">
        <v>135</v>
      </c>
      <c r="AB206" s="748"/>
      <c r="AC206" s="485" t="s">
        <v>135</v>
      </c>
      <c r="AD206" s="66"/>
    </row>
    <row r="207" spans="1:30" ht="15" customHeight="1" x14ac:dyDescent="0.35">
      <c r="A207" s="554"/>
      <c r="B207" s="233">
        <f t="shared" si="16"/>
        <v>173</v>
      </c>
      <c r="C207" s="799"/>
      <c r="D207" s="25"/>
      <c r="E207" s="538"/>
      <c r="F207" s="25"/>
      <c r="G207" s="548"/>
      <c r="H207" s="25"/>
      <c r="I207" s="538"/>
      <c r="J207" s="25"/>
      <c r="K207" s="538"/>
      <c r="M207" s="64" t="b">
        <v>0</v>
      </c>
      <c r="N207" t="s">
        <v>304</v>
      </c>
      <c r="Q207" s="5"/>
      <c r="T207" s="10"/>
      <c r="W207" s="10"/>
      <c r="Z207" s="10"/>
      <c r="AC207" s="10"/>
      <c r="AD207" s="66"/>
    </row>
    <row r="208" spans="1:30" ht="15" customHeight="1" x14ac:dyDescent="0.35">
      <c r="A208" s="554"/>
      <c r="B208" s="233">
        <f t="shared" si="16"/>
        <v>174</v>
      </c>
      <c r="C208" s="799"/>
      <c r="D208" s="25"/>
      <c r="E208" s="538"/>
      <c r="F208" s="25"/>
      <c r="G208" s="548"/>
      <c r="H208" s="25"/>
      <c r="I208" s="538"/>
      <c r="J208" s="25"/>
      <c r="K208" s="538"/>
      <c r="Q208" s="3"/>
      <c r="AD208" s="66"/>
    </row>
    <row r="209" spans="1:30" ht="15" customHeight="1" x14ac:dyDescent="0.35">
      <c r="A209" s="554"/>
      <c r="B209" s="233">
        <f t="shared" si="16"/>
        <v>175</v>
      </c>
      <c r="C209" s="799"/>
      <c r="D209" s="25"/>
      <c r="E209" s="538"/>
      <c r="F209" s="25"/>
      <c r="G209" s="548"/>
      <c r="H209" s="25"/>
      <c r="I209" s="538"/>
      <c r="J209" s="25"/>
      <c r="K209" s="538"/>
      <c r="M209" s="64" t="b">
        <v>0</v>
      </c>
      <c r="N209" t="s">
        <v>305</v>
      </c>
      <c r="Q209" s="9"/>
      <c r="S209" s="45" t="b">
        <v>0</v>
      </c>
      <c r="T209" s="44" t="s">
        <v>306</v>
      </c>
      <c r="V209" s="115" t="b">
        <v>0</v>
      </c>
      <c r="W209" t="s">
        <v>307</v>
      </c>
      <c r="Y209" s="796" t="b">
        <v>0</v>
      </c>
      <c r="Z209" t="s">
        <v>308</v>
      </c>
      <c r="AD209" s="66"/>
    </row>
    <row r="210" spans="1:30" ht="15" customHeight="1" x14ac:dyDescent="0.35">
      <c r="A210" s="554"/>
      <c r="B210" s="233">
        <f t="shared" si="16"/>
        <v>176</v>
      </c>
      <c r="C210" s="799"/>
      <c r="D210" s="25"/>
      <c r="E210" s="538"/>
      <c r="F210" s="25"/>
      <c r="G210" s="548"/>
      <c r="H210" s="25"/>
      <c r="I210" s="538"/>
      <c r="J210" s="25"/>
      <c r="K210" s="538"/>
      <c r="Q210" s="9"/>
      <c r="S210" s="44"/>
      <c r="T210" s="44"/>
      <c r="Y210" s="796"/>
      <c r="AD210" s="66"/>
    </row>
    <row r="211" spans="1:30" ht="15" customHeight="1" x14ac:dyDescent="0.35">
      <c r="A211" s="554"/>
      <c r="B211" s="233">
        <f t="shared" si="16"/>
        <v>177</v>
      </c>
      <c r="C211" s="799"/>
      <c r="D211" s="25"/>
      <c r="E211" s="538"/>
      <c r="F211" s="25"/>
      <c r="G211" s="548"/>
      <c r="H211" s="25"/>
      <c r="I211" s="538"/>
      <c r="J211" s="25"/>
      <c r="K211" s="538"/>
      <c r="N211" s="73" t="s">
        <v>135</v>
      </c>
      <c r="S211" s="797" t="s">
        <v>309</v>
      </c>
      <c r="T211" s="797"/>
      <c r="V211" s="797" t="s">
        <v>310</v>
      </c>
      <c r="W211" s="797"/>
      <c r="Y211" s="796"/>
      <c r="AD211" s="66"/>
    </row>
    <row r="212" spans="1:30" x14ac:dyDescent="0.35">
      <c r="A212" s="554"/>
      <c r="B212" s="233">
        <f t="shared" si="16"/>
        <v>178</v>
      </c>
      <c r="C212" s="799"/>
      <c r="D212" s="25"/>
      <c r="E212" s="538"/>
      <c r="F212" s="25"/>
      <c r="G212" s="548"/>
      <c r="H212" s="25"/>
      <c r="I212" s="538"/>
      <c r="J212" s="25"/>
      <c r="K212" s="538"/>
      <c r="N212" s="666"/>
      <c r="S212" s="64" t="b">
        <v>0</v>
      </c>
      <c r="T212" t="s">
        <v>311</v>
      </c>
      <c r="W212" t="s">
        <v>312</v>
      </c>
      <c r="AD212" s="66"/>
    </row>
    <row r="213" spans="1:30" x14ac:dyDescent="0.35">
      <c r="A213" s="554"/>
      <c r="B213" s="233">
        <f t="shared" si="16"/>
        <v>179</v>
      </c>
      <c r="C213" s="799"/>
      <c r="D213" s="25"/>
      <c r="E213" s="538"/>
      <c r="F213" s="25"/>
      <c r="G213" s="548"/>
      <c r="H213" s="25"/>
      <c r="I213" s="538"/>
      <c r="J213" s="25"/>
      <c r="K213" s="538"/>
      <c r="N213" s="666"/>
      <c r="T213" s="73" t="s">
        <v>137</v>
      </c>
      <c r="W213" s="488" t="s">
        <v>137</v>
      </c>
      <c r="X213" s="73"/>
      <c r="Y213" s="73"/>
      <c r="Z213" s="73"/>
      <c r="AD213" s="66"/>
    </row>
    <row r="214" spans="1:30" x14ac:dyDescent="0.35">
      <c r="A214" s="554"/>
      <c r="B214" s="233">
        <f t="shared" si="16"/>
        <v>180</v>
      </c>
      <c r="C214" s="800"/>
      <c r="D214" s="25"/>
      <c r="E214" s="803"/>
      <c r="F214" s="25"/>
      <c r="G214" s="548"/>
      <c r="H214" s="25"/>
      <c r="I214" s="803"/>
      <c r="J214" s="25"/>
      <c r="K214" s="803"/>
      <c r="N214" s="482"/>
      <c r="T214" s="44"/>
      <c r="W214" s="10"/>
      <c r="X214" s="73"/>
      <c r="Y214" s="73"/>
      <c r="Z214" s="73"/>
      <c r="AD214" s="66"/>
    </row>
    <row r="215" spans="1:30" ht="8.15" customHeight="1" thickBot="1" x14ac:dyDescent="0.4">
      <c r="A215" s="555"/>
      <c r="B215" s="233"/>
      <c r="C215" s="801"/>
      <c r="D215" s="120"/>
      <c r="E215" s="804"/>
      <c r="F215" s="120"/>
      <c r="G215" s="549"/>
      <c r="H215" s="120"/>
      <c r="I215" s="804"/>
      <c r="J215" s="120"/>
      <c r="K215" s="804"/>
      <c r="L215" s="67"/>
      <c r="M215" s="67"/>
      <c r="N215" s="67"/>
      <c r="O215" s="67"/>
      <c r="P215" s="67"/>
      <c r="Q215" s="67"/>
      <c r="R215" s="67"/>
      <c r="S215" s="67"/>
      <c r="T215" s="67"/>
      <c r="U215" s="67"/>
      <c r="V215" s="99"/>
      <c r="W215" s="67"/>
      <c r="X215" s="74"/>
      <c r="Y215" s="74"/>
      <c r="Z215" s="74"/>
      <c r="AA215" s="67"/>
      <c r="AB215" s="67"/>
      <c r="AC215" s="67"/>
      <c r="AD215" s="70"/>
    </row>
    <row r="216" spans="1:30" ht="15" thickBot="1" x14ac:dyDescent="0.4">
      <c r="C216" s="31"/>
      <c r="D216" s="31"/>
      <c r="E216" s="31"/>
      <c r="F216" s="31"/>
      <c r="G216" s="31"/>
      <c r="H216" s="31"/>
      <c r="I216" s="31"/>
      <c r="J216" s="31"/>
      <c r="K216" s="31"/>
      <c r="L216" s="30"/>
      <c r="M216" s="30"/>
      <c r="N216" s="30"/>
      <c r="O216" s="30"/>
      <c r="P216" s="30"/>
      <c r="Q216" s="30"/>
      <c r="R216" s="30"/>
      <c r="S216" s="30"/>
      <c r="T216" s="30"/>
      <c r="U216" s="30"/>
      <c r="V216" s="103"/>
      <c r="W216" s="30"/>
      <c r="X216" s="30"/>
      <c r="Y216" s="30"/>
      <c r="Z216" s="30"/>
      <c r="AA216" s="30"/>
      <c r="AB216" s="30"/>
      <c r="AC216" s="30"/>
      <c r="AD216" s="30"/>
    </row>
    <row r="217" spans="1:30" x14ac:dyDescent="0.35">
      <c r="A217" s="553">
        <f>A205+1</f>
        <v>18</v>
      </c>
      <c r="B217" s="13">
        <f>(A217*10)+1</f>
        <v>181</v>
      </c>
      <c r="C217" s="798"/>
      <c r="D217" s="78"/>
      <c r="E217" s="802"/>
      <c r="F217" s="78"/>
      <c r="G217" s="547"/>
      <c r="H217" s="78"/>
      <c r="I217" s="802"/>
      <c r="J217" s="78"/>
      <c r="K217" s="802"/>
      <c r="L217" s="62"/>
      <c r="M217" s="60" t="b">
        <v>0</v>
      </c>
      <c r="N217" s="62" t="s">
        <v>297</v>
      </c>
      <c r="O217" s="62"/>
      <c r="P217" s="62"/>
      <c r="Q217" s="62" t="s">
        <v>298</v>
      </c>
      <c r="R217" s="62"/>
      <c r="S217" s="747"/>
      <c r="T217" s="62" t="s">
        <v>299</v>
      </c>
      <c r="U217" s="62"/>
      <c r="V217" s="747"/>
      <c r="W217" s="62" t="s">
        <v>300</v>
      </c>
      <c r="X217" s="62"/>
      <c r="Y217" s="747"/>
      <c r="Z217" s="62" t="s">
        <v>301</v>
      </c>
      <c r="AA217" s="62"/>
      <c r="AB217" s="747"/>
      <c r="AC217" s="62" t="s">
        <v>302</v>
      </c>
      <c r="AD217" s="71"/>
    </row>
    <row r="218" spans="1:30" x14ac:dyDescent="0.35">
      <c r="A218" s="554"/>
      <c r="B218" s="233">
        <f t="shared" ref="B218:B226" si="17">B217+1</f>
        <v>182</v>
      </c>
      <c r="C218" s="799"/>
      <c r="D218" s="25"/>
      <c r="E218" s="538"/>
      <c r="F218" s="25"/>
      <c r="G218" s="548"/>
      <c r="H218" s="25"/>
      <c r="I218" s="538"/>
      <c r="J218" s="25"/>
      <c r="K218" s="538"/>
      <c r="M218" s="64" t="b">
        <v>0</v>
      </c>
      <c r="N218" t="s">
        <v>303</v>
      </c>
      <c r="Q218" s="485" t="s">
        <v>135</v>
      </c>
      <c r="S218" s="748"/>
      <c r="T218" s="485" t="s">
        <v>135</v>
      </c>
      <c r="V218" s="748"/>
      <c r="W218" s="485" t="s">
        <v>135</v>
      </c>
      <c r="Y218" s="748"/>
      <c r="Z218" s="485" t="s">
        <v>135</v>
      </c>
      <c r="AB218" s="748"/>
      <c r="AC218" s="485" t="s">
        <v>135</v>
      </c>
      <c r="AD218" s="66"/>
    </row>
    <row r="219" spans="1:30" x14ac:dyDescent="0.35">
      <c r="A219" s="554"/>
      <c r="B219" s="233">
        <f t="shared" si="17"/>
        <v>183</v>
      </c>
      <c r="C219" s="799"/>
      <c r="D219" s="25"/>
      <c r="E219" s="538"/>
      <c r="F219" s="25"/>
      <c r="G219" s="548"/>
      <c r="H219" s="25"/>
      <c r="I219" s="538"/>
      <c r="J219" s="25"/>
      <c r="K219" s="538"/>
      <c r="M219" s="64" t="b">
        <v>0</v>
      </c>
      <c r="N219" t="s">
        <v>304</v>
      </c>
      <c r="Q219" s="5"/>
      <c r="T219" s="10"/>
      <c r="W219" s="10"/>
      <c r="Z219" s="10"/>
      <c r="AC219" s="10"/>
      <c r="AD219" s="66"/>
    </row>
    <row r="220" spans="1:30" x14ac:dyDescent="0.35">
      <c r="A220" s="554"/>
      <c r="B220" s="233">
        <f t="shared" si="17"/>
        <v>184</v>
      </c>
      <c r="C220" s="799"/>
      <c r="D220" s="25"/>
      <c r="E220" s="538"/>
      <c r="F220" s="25"/>
      <c r="G220" s="548"/>
      <c r="H220" s="25"/>
      <c r="I220" s="538"/>
      <c r="J220" s="25"/>
      <c r="K220" s="538"/>
      <c r="Q220" s="3"/>
      <c r="AD220" s="66"/>
    </row>
    <row r="221" spans="1:30" x14ac:dyDescent="0.35">
      <c r="A221" s="554"/>
      <c r="B221" s="233">
        <f t="shared" si="17"/>
        <v>185</v>
      </c>
      <c r="C221" s="799"/>
      <c r="D221" s="25"/>
      <c r="E221" s="538"/>
      <c r="F221" s="25"/>
      <c r="G221" s="548"/>
      <c r="H221" s="25"/>
      <c r="I221" s="538"/>
      <c r="J221" s="25"/>
      <c r="K221" s="538"/>
      <c r="M221" s="64" t="b">
        <v>0</v>
      </c>
      <c r="N221" t="s">
        <v>305</v>
      </c>
      <c r="Q221" s="9"/>
      <c r="S221" s="45" t="b">
        <v>0</v>
      </c>
      <c r="T221" s="44" t="s">
        <v>306</v>
      </c>
      <c r="V221" s="115" t="b">
        <v>0</v>
      </c>
      <c r="W221" t="s">
        <v>307</v>
      </c>
      <c r="Y221" s="796" t="b">
        <v>0</v>
      </c>
      <c r="Z221" t="s">
        <v>308</v>
      </c>
      <c r="AD221" s="66"/>
    </row>
    <row r="222" spans="1:30" x14ac:dyDescent="0.35">
      <c r="A222" s="554"/>
      <c r="B222" s="233">
        <f t="shared" si="17"/>
        <v>186</v>
      </c>
      <c r="C222" s="799"/>
      <c r="D222" s="25"/>
      <c r="E222" s="538"/>
      <c r="F222" s="25"/>
      <c r="G222" s="548"/>
      <c r="H222" s="25"/>
      <c r="I222" s="538"/>
      <c r="J222" s="25"/>
      <c r="K222" s="538"/>
      <c r="Q222" s="9"/>
      <c r="S222" s="44"/>
      <c r="T222" s="44"/>
      <c r="Y222" s="796"/>
      <c r="AD222" s="66"/>
    </row>
    <row r="223" spans="1:30" x14ac:dyDescent="0.35">
      <c r="A223" s="554"/>
      <c r="B223" s="233">
        <f t="shared" si="17"/>
        <v>187</v>
      </c>
      <c r="C223" s="799"/>
      <c r="D223" s="25"/>
      <c r="E223" s="538"/>
      <c r="F223" s="25"/>
      <c r="G223" s="548"/>
      <c r="H223" s="25"/>
      <c r="I223" s="538"/>
      <c r="J223" s="25"/>
      <c r="K223" s="538"/>
      <c r="N223" s="73" t="s">
        <v>135</v>
      </c>
      <c r="S223" s="797" t="s">
        <v>309</v>
      </c>
      <c r="T223" s="797"/>
      <c r="V223" s="797" t="s">
        <v>310</v>
      </c>
      <c r="W223" s="797"/>
      <c r="Y223" s="796"/>
      <c r="AD223" s="66"/>
    </row>
    <row r="224" spans="1:30" x14ac:dyDescent="0.35">
      <c r="A224" s="554"/>
      <c r="B224" s="233">
        <f t="shared" si="17"/>
        <v>188</v>
      </c>
      <c r="C224" s="799"/>
      <c r="D224" s="25"/>
      <c r="E224" s="538"/>
      <c r="F224" s="25"/>
      <c r="G224" s="548"/>
      <c r="H224" s="25"/>
      <c r="I224" s="538"/>
      <c r="J224" s="25"/>
      <c r="K224" s="538"/>
      <c r="N224" s="666"/>
      <c r="S224" s="64" t="b">
        <v>0</v>
      </c>
      <c r="T224" t="s">
        <v>311</v>
      </c>
      <c r="W224" t="s">
        <v>312</v>
      </c>
      <c r="AD224" s="66"/>
    </row>
    <row r="225" spans="1:30" x14ac:dyDescent="0.35">
      <c r="A225" s="554"/>
      <c r="B225" s="233">
        <f t="shared" si="17"/>
        <v>189</v>
      </c>
      <c r="C225" s="799"/>
      <c r="D225" s="25"/>
      <c r="E225" s="538"/>
      <c r="F225" s="25"/>
      <c r="G225" s="548"/>
      <c r="H225" s="25"/>
      <c r="I225" s="538"/>
      <c r="J225" s="25"/>
      <c r="K225" s="538"/>
      <c r="N225" s="666"/>
      <c r="T225" s="73" t="s">
        <v>137</v>
      </c>
      <c r="W225" s="488" t="s">
        <v>137</v>
      </c>
      <c r="X225" s="73"/>
      <c r="Y225" s="73"/>
      <c r="Z225" s="73"/>
      <c r="AD225" s="66"/>
    </row>
    <row r="226" spans="1:30" x14ac:dyDescent="0.35">
      <c r="A226" s="554"/>
      <c r="B226" s="233">
        <f t="shared" si="17"/>
        <v>190</v>
      </c>
      <c r="C226" s="800"/>
      <c r="D226" s="25"/>
      <c r="E226" s="803"/>
      <c r="F226" s="25"/>
      <c r="G226" s="548"/>
      <c r="H226" s="25"/>
      <c r="I226" s="803"/>
      <c r="J226" s="25"/>
      <c r="K226" s="803"/>
      <c r="N226" s="482"/>
      <c r="T226" s="44"/>
      <c r="W226" s="10"/>
      <c r="X226" s="73"/>
      <c r="Y226" s="73"/>
      <c r="Z226" s="73"/>
      <c r="AD226" s="66"/>
    </row>
    <row r="227" spans="1:30" ht="8.15" customHeight="1" thickBot="1" x14ac:dyDescent="0.4">
      <c r="A227" s="555"/>
      <c r="B227" s="233"/>
      <c r="C227" s="801"/>
      <c r="D227" s="120"/>
      <c r="E227" s="804"/>
      <c r="F227" s="120"/>
      <c r="G227" s="549"/>
      <c r="H227" s="120"/>
      <c r="I227" s="804"/>
      <c r="J227" s="120"/>
      <c r="K227" s="804"/>
      <c r="L227" s="67"/>
      <c r="M227" s="67"/>
      <c r="N227" s="67"/>
      <c r="O227" s="67"/>
      <c r="P227" s="67"/>
      <c r="Q227" s="67"/>
      <c r="R227" s="67"/>
      <c r="S227" s="67"/>
      <c r="T227" s="67"/>
      <c r="U227" s="67"/>
      <c r="V227" s="99"/>
      <c r="W227" s="67"/>
      <c r="X227" s="74"/>
      <c r="Y227" s="74"/>
      <c r="Z227" s="74"/>
      <c r="AA227" s="67"/>
      <c r="AB227" s="67"/>
      <c r="AC227" s="67"/>
      <c r="AD227" s="70"/>
    </row>
    <row r="228" spans="1:30" ht="15" thickBot="1" x14ac:dyDescent="0.4">
      <c r="C228" s="31"/>
      <c r="D228" s="31"/>
      <c r="E228" s="31"/>
      <c r="F228" s="31"/>
      <c r="G228" s="31"/>
      <c r="H228" s="31"/>
      <c r="I228" s="31"/>
      <c r="J228" s="31"/>
      <c r="K228" s="31"/>
      <c r="L228" s="30"/>
      <c r="M228" s="30"/>
      <c r="N228" s="30"/>
      <c r="O228" s="30"/>
      <c r="P228" s="30"/>
      <c r="Q228" s="30"/>
      <c r="R228" s="30"/>
      <c r="S228" s="30"/>
      <c r="T228" s="30"/>
      <c r="U228" s="30"/>
      <c r="V228" s="103"/>
      <c r="W228" s="30"/>
      <c r="X228" s="30"/>
      <c r="Y228" s="30"/>
      <c r="Z228" s="30"/>
      <c r="AA228" s="30"/>
      <c r="AB228" s="30"/>
      <c r="AC228" s="30"/>
      <c r="AD228" s="30"/>
    </row>
    <row r="229" spans="1:30" x14ac:dyDescent="0.35">
      <c r="A229" s="553">
        <f>A217+1</f>
        <v>19</v>
      </c>
      <c r="B229" s="13">
        <f>(A229*10)+1</f>
        <v>191</v>
      </c>
      <c r="C229" s="798"/>
      <c r="D229" s="78"/>
      <c r="E229" s="802"/>
      <c r="F229" s="78"/>
      <c r="G229" s="547"/>
      <c r="H229" s="78"/>
      <c r="I229" s="802"/>
      <c r="J229" s="78"/>
      <c r="K229" s="802"/>
      <c r="L229" s="62"/>
      <c r="M229" s="60" t="b">
        <v>0</v>
      </c>
      <c r="N229" s="62" t="s">
        <v>297</v>
      </c>
      <c r="O229" s="62"/>
      <c r="P229" s="62"/>
      <c r="Q229" s="62" t="s">
        <v>298</v>
      </c>
      <c r="R229" s="62"/>
      <c r="S229" s="747"/>
      <c r="T229" s="62" t="s">
        <v>299</v>
      </c>
      <c r="U229" s="62"/>
      <c r="V229" s="747"/>
      <c r="W229" s="62" t="s">
        <v>300</v>
      </c>
      <c r="X229" s="62"/>
      <c r="Y229" s="747"/>
      <c r="Z229" s="62" t="s">
        <v>301</v>
      </c>
      <c r="AA229" s="62"/>
      <c r="AB229" s="747"/>
      <c r="AC229" s="62" t="s">
        <v>302</v>
      </c>
      <c r="AD229" s="71"/>
    </row>
    <row r="230" spans="1:30" x14ac:dyDescent="0.35">
      <c r="A230" s="554"/>
      <c r="B230" s="233">
        <f t="shared" ref="B230:B238" si="18">B229+1</f>
        <v>192</v>
      </c>
      <c r="C230" s="799"/>
      <c r="D230" s="25"/>
      <c r="E230" s="538"/>
      <c r="F230" s="25"/>
      <c r="G230" s="548"/>
      <c r="H230" s="25"/>
      <c r="I230" s="538"/>
      <c r="J230" s="25"/>
      <c r="K230" s="538"/>
      <c r="M230" s="64" t="b">
        <v>0</v>
      </c>
      <c r="N230" t="s">
        <v>303</v>
      </c>
      <c r="Q230" s="485" t="s">
        <v>135</v>
      </c>
      <c r="S230" s="748"/>
      <c r="T230" s="485" t="s">
        <v>135</v>
      </c>
      <c r="V230" s="748"/>
      <c r="W230" s="485" t="s">
        <v>135</v>
      </c>
      <c r="Y230" s="748"/>
      <c r="Z230" s="485" t="s">
        <v>135</v>
      </c>
      <c r="AB230" s="748"/>
      <c r="AC230" s="485" t="s">
        <v>135</v>
      </c>
      <c r="AD230" s="66"/>
    </row>
    <row r="231" spans="1:30" x14ac:dyDescent="0.35">
      <c r="A231" s="554"/>
      <c r="B231" s="233">
        <f t="shared" si="18"/>
        <v>193</v>
      </c>
      <c r="C231" s="799"/>
      <c r="D231" s="25"/>
      <c r="E231" s="538"/>
      <c r="F231" s="25"/>
      <c r="G231" s="548"/>
      <c r="H231" s="25"/>
      <c r="I231" s="538"/>
      <c r="J231" s="25"/>
      <c r="K231" s="538"/>
      <c r="M231" s="64" t="b">
        <v>0</v>
      </c>
      <c r="N231" t="s">
        <v>304</v>
      </c>
      <c r="Q231" s="5"/>
      <c r="T231" s="10"/>
      <c r="W231" s="10"/>
      <c r="Z231" s="10"/>
      <c r="AC231" s="10"/>
      <c r="AD231" s="66"/>
    </row>
    <row r="232" spans="1:30" x14ac:dyDescent="0.35">
      <c r="A232" s="554"/>
      <c r="B232" s="233">
        <f t="shared" si="18"/>
        <v>194</v>
      </c>
      <c r="C232" s="799"/>
      <c r="D232" s="25"/>
      <c r="E232" s="538"/>
      <c r="F232" s="25"/>
      <c r="G232" s="548"/>
      <c r="H232" s="25"/>
      <c r="I232" s="538"/>
      <c r="J232" s="25"/>
      <c r="K232" s="538"/>
      <c r="Q232" s="3"/>
      <c r="AD232" s="66"/>
    </row>
    <row r="233" spans="1:30" x14ac:dyDescent="0.35">
      <c r="A233" s="554"/>
      <c r="B233" s="233">
        <f t="shared" si="18"/>
        <v>195</v>
      </c>
      <c r="C233" s="799"/>
      <c r="D233" s="25"/>
      <c r="E233" s="538"/>
      <c r="F233" s="25"/>
      <c r="G233" s="548"/>
      <c r="H233" s="25"/>
      <c r="I233" s="538"/>
      <c r="J233" s="25"/>
      <c r="K233" s="538"/>
      <c r="M233" s="64" t="b">
        <v>0</v>
      </c>
      <c r="N233" t="s">
        <v>305</v>
      </c>
      <c r="Q233" s="9"/>
      <c r="S233" s="45" t="b">
        <v>0</v>
      </c>
      <c r="T233" s="44" t="s">
        <v>306</v>
      </c>
      <c r="V233" s="115" t="b">
        <v>0</v>
      </c>
      <c r="W233" t="s">
        <v>307</v>
      </c>
      <c r="Y233" s="796" t="b">
        <v>0</v>
      </c>
      <c r="Z233" t="s">
        <v>308</v>
      </c>
      <c r="AD233" s="66"/>
    </row>
    <row r="234" spans="1:30" x14ac:dyDescent="0.35">
      <c r="A234" s="554"/>
      <c r="B234" s="233">
        <f t="shared" si="18"/>
        <v>196</v>
      </c>
      <c r="C234" s="799"/>
      <c r="D234" s="25"/>
      <c r="E234" s="538"/>
      <c r="F234" s="25"/>
      <c r="G234" s="548"/>
      <c r="H234" s="25"/>
      <c r="I234" s="538"/>
      <c r="J234" s="25"/>
      <c r="K234" s="538"/>
      <c r="Q234" s="9"/>
      <c r="S234" s="44"/>
      <c r="T234" s="44"/>
      <c r="Y234" s="796"/>
      <c r="AD234" s="66"/>
    </row>
    <row r="235" spans="1:30" x14ac:dyDescent="0.35">
      <c r="A235" s="554"/>
      <c r="B235" s="233">
        <f t="shared" si="18"/>
        <v>197</v>
      </c>
      <c r="C235" s="799"/>
      <c r="D235" s="25"/>
      <c r="E235" s="538"/>
      <c r="F235" s="25"/>
      <c r="G235" s="548"/>
      <c r="H235" s="25"/>
      <c r="I235" s="538"/>
      <c r="J235" s="25"/>
      <c r="K235" s="538"/>
      <c r="N235" s="73" t="s">
        <v>135</v>
      </c>
      <c r="S235" s="797" t="s">
        <v>309</v>
      </c>
      <c r="T235" s="797"/>
      <c r="V235" s="797" t="s">
        <v>310</v>
      </c>
      <c r="W235" s="797"/>
      <c r="Y235" s="796"/>
      <c r="AD235" s="66"/>
    </row>
    <row r="236" spans="1:30" x14ac:dyDescent="0.35">
      <c r="A236" s="554"/>
      <c r="B236" s="233">
        <f t="shared" si="18"/>
        <v>198</v>
      </c>
      <c r="C236" s="799"/>
      <c r="D236" s="25"/>
      <c r="E236" s="538"/>
      <c r="F236" s="25"/>
      <c r="G236" s="548"/>
      <c r="H236" s="25"/>
      <c r="I236" s="538"/>
      <c r="J236" s="25"/>
      <c r="K236" s="538"/>
      <c r="N236" s="666"/>
      <c r="S236" s="64" t="b">
        <v>0</v>
      </c>
      <c r="T236" t="s">
        <v>311</v>
      </c>
      <c r="W236" t="s">
        <v>312</v>
      </c>
      <c r="AD236" s="66"/>
    </row>
    <row r="237" spans="1:30" x14ac:dyDescent="0.35">
      <c r="A237" s="554"/>
      <c r="B237" s="233">
        <f t="shared" si="18"/>
        <v>199</v>
      </c>
      <c r="C237" s="799"/>
      <c r="D237" s="25"/>
      <c r="E237" s="538"/>
      <c r="F237" s="25"/>
      <c r="G237" s="548"/>
      <c r="H237" s="25"/>
      <c r="I237" s="538"/>
      <c r="J237" s="25"/>
      <c r="K237" s="538"/>
      <c r="N237" s="666"/>
      <c r="T237" s="73" t="s">
        <v>137</v>
      </c>
      <c r="W237" s="488" t="s">
        <v>137</v>
      </c>
      <c r="X237" s="73"/>
      <c r="Y237" s="73"/>
      <c r="Z237" s="73"/>
      <c r="AD237" s="66"/>
    </row>
    <row r="238" spans="1:30" x14ac:dyDescent="0.35">
      <c r="A238" s="554"/>
      <c r="B238" s="233">
        <f t="shared" si="18"/>
        <v>200</v>
      </c>
      <c r="C238" s="800"/>
      <c r="D238" s="25"/>
      <c r="E238" s="803"/>
      <c r="F238" s="25"/>
      <c r="G238" s="548"/>
      <c r="H238" s="25"/>
      <c r="I238" s="803"/>
      <c r="J238" s="25"/>
      <c r="K238" s="803"/>
      <c r="N238" s="482"/>
      <c r="T238" s="44"/>
      <c r="W238" s="10"/>
      <c r="X238" s="73"/>
      <c r="Y238" s="73"/>
      <c r="Z238" s="73"/>
      <c r="AD238" s="66"/>
    </row>
    <row r="239" spans="1:30" ht="8.15" customHeight="1" thickBot="1" x14ac:dyDescent="0.4">
      <c r="A239" s="555"/>
      <c r="B239" s="233"/>
      <c r="C239" s="801"/>
      <c r="D239" s="120"/>
      <c r="E239" s="804"/>
      <c r="F239" s="120"/>
      <c r="G239" s="549"/>
      <c r="H239" s="120"/>
      <c r="I239" s="804"/>
      <c r="J239" s="120"/>
      <c r="K239" s="804"/>
      <c r="L239" s="67"/>
      <c r="M239" s="67"/>
      <c r="N239" s="67"/>
      <c r="O239" s="67"/>
      <c r="P239" s="67"/>
      <c r="Q239" s="67"/>
      <c r="R239" s="67"/>
      <c r="S239" s="67"/>
      <c r="T239" s="67"/>
      <c r="U239" s="67"/>
      <c r="V239" s="99"/>
      <c r="W239" s="67"/>
      <c r="X239" s="74"/>
      <c r="Y239" s="74"/>
      <c r="Z239" s="74"/>
      <c r="AA239" s="67"/>
      <c r="AB239" s="67"/>
      <c r="AC239" s="67"/>
      <c r="AD239" s="70"/>
    </row>
    <row r="240" spans="1:30" ht="15" thickBot="1" x14ac:dyDescent="0.4">
      <c r="C240" s="31"/>
      <c r="D240" s="31"/>
      <c r="E240" s="31"/>
      <c r="F240" s="31"/>
      <c r="G240" s="31"/>
      <c r="H240" s="31"/>
      <c r="I240" s="31"/>
      <c r="J240" s="31"/>
      <c r="K240" s="31"/>
      <c r="L240" s="30"/>
      <c r="M240" s="30"/>
      <c r="N240" s="30"/>
      <c r="O240" s="30"/>
      <c r="P240" s="30"/>
      <c r="Q240" s="30"/>
      <c r="R240" s="30"/>
      <c r="S240" s="30"/>
      <c r="T240" s="30"/>
      <c r="U240" s="30"/>
      <c r="V240" s="103"/>
      <c r="W240" s="30"/>
      <c r="X240" s="30"/>
      <c r="Y240" s="30"/>
      <c r="Z240" s="30"/>
      <c r="AA240" s="30"/>
      <c r="AB240" s="30"/>
      <c r="AC240" s="30"/>
      <c r="AD240" s="30"/>
    </row>
    <row r="241" spans="1:30" x14ac:dyDescent="0.35">
      <c r="A241" s="553">
        <f>A229+1</f>
        <v>20</v>
      </c>
      <c r="B241" s="13">
        <f>(A241*10)+1</f>
        <v>201</v>
      </c>
      <c r="C241" s="798"/>
      <c r="D241" s="78"/>
      <c r="E241" s="802"/>
      <c r="F241" s="78"/>
      <c r="G241" s="547"/>
      <c r="H241" s="78"/>
      <c r="I241" s="802"/>
      <c r="J241" s="78"/>
      <c r="K241" s="802"/>
      <c r="L241" s="62"/>
      <c r="M241" s="60" t="b">
        <v>0</v>
      </c>
      <c r="N241" s="62" t="s">
        <v>297</v>
      </c>
      <c r="O241" s="62"/>
      <c r="P241" s="62"/>
      <c r="Q241" s="62" t="s">
        <v>298</v>
      </c>
      <c r="R241" s="62"/>
      <c r="S241" s="747"/>
      <c r="T241" s="62" t="s">
        <v>299</v>
      </c>
      <c r="U241" s="62"/>
      <c r="V241" s="747"/>
      <c r="W241" s="62" t="s">
        <v>300</v>
      </c>
      <c r="X241" s="62"/>
      <c r="Y241" s="747"/>
      <c r="Z241" s="62" t="s">
        <v>301</v>
      </c>
      <c r="AA241" s="62"/>
      <c r="AB241" s="747"/>
      <c r="AC241" s="62" t="s">
        <v>302</v>
      </c>
      <c r="AD241" s="71"/>
    </row>
    <row r="242" spans="1:30" x14ac:dyDescent="0.35">
      <c r="A242" s="554"/>
      <c r="B242" s="233">
        <f t="shared" ref="B242:B250" si="19">B241+1</f>
        <v>202</v>
      </c>
      <c r="C242" s="799"/>
      <c r="D242" s="25"/>
      <c r="E242" s="538"/>
      <c r="F242" s="25"/>
      <c r="G242" s="548"/>
      <c r="H242" s="25"/>
      <c r="I242" s="538"/>
      <c r="J242" s="25"/>
      <c r="K242" s="538"/>
      <c r="M242" s="64" t="b">
        <v>0</v>
      </c>
      <c r="N242" t="s">
        <v>303</v>
      </c>
      <c r="Q242" s="485" t="s">
        <v>135</v>
      </c>
      <c r="S242" s="748"/>
      <c r="T242" s="485" t="s">
        <v>135</v>
      </c>
      <c r="V242" s="748"/>
      <c r="W242" s="485" t="s">
        <v>135</v>
      </c>
      <c r="Y242" s="748"/>
      <c r="Z242" s="485" t="s">
        <v>135</v>
      </c>
      <c r="AB242" s="748"/>
      <c r="AC242" s="485" t="s">
        <v>135</v>
      </c>
      <c r="AD242" s="66"/>
    </row>
    <row r="243" spans="1:30" x14ac:dyDescent="0.35">
      <c r="A243" s="554"/>
      <c r="B243" s="233">
        <f t="shared" si="19"/>
        <v>203</v>
      </c>
      <c r="C243" s="799"/>
      <c r="D243" s="25"/>
      <c r="E243" s="538"/>
      <c r="F243" s="25"/>
      <c r="G243" s="548"/>
      <c r="H243" s="25"/>
      <c r="I243" s="538"/>
      <c r="J243" s="25"/>
      <c r="K243" s="538"/>
      <c r="M243" s="64" t="b">
        <v>0</v>
      </c>
      <c r="N243" t="s">
        <v>304</v>
      </c>
      <c r="Q243" s="5"/>
      <c r="T243" s="10"/>
      <c r="W243" s="10"/>
      <c r="Z243" s="10"/>
      <c r="AC243" s="10"/>
      <c r="AD243" s="66"/>
    </row>
    <row r="244" spans="1:30" x14ac:dyDescent="0.35">
      <c r="A244" s="554"/>
      <c r="B244" s="233">
        <f t="shared" si="19"/>
        <v>204</v>
      </c>
      <c r="C244" s="799"/>
      <c r="D244" s="25"/>
      <c r="E244" s="538"/>
      <c r="F244" s="25"/>
      <c r="G244" s="548"/>
      <c r="H244" s="25"/>
      <c r="I244" s="538"/>
      <c r="J244" s="25"/>
      <c r="K244" s="538"/>
      <c r="Q244" s="3"/>
      <c r="AD244" s="66"/>
    </row>
    <row r="245" spans="1:30" x14ac:dyDescent="0.35">
      <c r="A245" s="554"/>
      <c r="B245" s="233">
        <f t="shared" si="19"/>
        <v>205</v>
      </c>
      <c r="C245" s="799"/>
      <c r="D245" s="25"/>
      <c r="E245" s="538"/>
      <c r="F245" s="25"/>
      <c r="G245" s="548"/>
      <c r="H245" s="25"/>
      <c r="I245" s="538"/>
      <c r="J245" s="25"/>
      <c r="K245" s="538"/>
      <c r="M245" s="64" t="b">
        <v>0</v>
      </c>
      <c r="N245" t="s">
        <v>305</v>
      </c>
      <c r="Q245" s="9"/>
      <c r="S245" s="45" t="b">
        <v>0</v>
      </c>
      <c r="T245" s="44" t="s">
        <v>306</v>
      </c>
      <c r="V245" s="115" t="b">
        <v>0</v>
      </c>
      <c r="W245" t="s">
        <v>307</v>
      </c>
      <c r="Y245" s="796" t="b">
        <v>0</v>
      </c>
      <c r="Z245" t="s">
        <v>308</v>
      </c>
      <c r="AD245" s="66"/>
    </row>
    <row r="246" spans="1:30" x14ac:dyDescent="0.35">
      <c r="A246" s="554"/>
      <c r="B246" s="233">
        <f t="shared" si="19"/>
        <v>206</v>
      </c>
      <c r="C246" s="799"/>
      <c r="D246" s="25"/>
      <c r="E246" s="538"/>
      <c r="F246" s="25"/>
      <c r="G246" s="548"/>
      <c r="H246" s="25"/>
      <c r="I246" s="538"/>
      <c r="J246" s="25"/>
      <c r="K246" s="538"/>
      <c r="Q246" s="9"/>
      <c r="S246" s="44"/>
      <c r="T246" s="44"/>
      <c r="Y246" s="796"/>
      <c r="AD246" s="66"/>
    </row>
    <row r="247" spans="1:30" x14ac:dyDescent="0.35">
      <c r="A247" s="554"/>
      <c r="B247" s="233">
        <f t="shared" si="19"/>
        <v>207</v>
      </c>
      <c r="C247" s="799"/>
      <c r="D247" s="25"/>
      <c r="E247" s="538"/>
      <c r="F247" s="25"/>
      <c r="G247" s="548"/>
      <c r="H247" s="25"/>
      <c r="I247" s="538"/>
      <c r="J247" s="25"/>
      <c r="K247" s="538"/>
      <c r="N247" s="73" t="s">
        <v>135</v>
      </c>
      <c r="S247" s="797" t="s">
        <v>309</v>
      </c>
      <c r="T247" s="797"/>
      <c r="V247" s="797" t="s">
        <v>310</v>
      </c>
      <c r="W247" s="797"/>
      <c r="Y247" s="796"/>
      <c r="AD247" s="66"/>
    </row>
    <row r="248" spans="1:30" x14ac:dyDescent="0.35">
      <c r="A248" s="554"/>
      <c r="B248" s="233">
        <f t="shared" si="19"/>
        <v>208</v>
      </c>
      <c r="C248" s="799"/>
      <c r="D248" s="25"/>
      <c r="E248" s="538"/>
      <c r="F248" s="25"/>
      <c r="G248" s="548"/>
      <c r="H248" s="25"/>
      <c r="I248" s="538"/>
      <c r="J248" s="25"/>
      <c r="K248" s="538"/>
      <c r="N248" s="666"/>
      <c r="S248" s="64" t="b">
        <v>0</v>
      </c>
      <c r="T248" t="s">
        <v>311</v>
      </c>
      <c r="W248" t="s">
        <v>312</v>
      </c>
      <c r="AD248" s="66"/>
    </row>
    <row r="249" spans="1:30" x14ac:dyDescent="0.35">
      <c r="A249" s="554"/>
      <c r="B249" s="233">
        <f t="shared" si="19"/>
        <v>209</v>
      </c>
      <c r="C249" s="799"/>
      <c r="D249" s="25"/>
      <c r="E249" s="538"/>
      <c r="F249" s="25"/>
      <c r="G249" s="548"/>
      <c r="H249" s="25"/>
      <c r="I249" s="538"/>
      <c r="J249" s="25"/>
      <c r="K249" s="538"/>
      <c r="N249" s="666"/>
      <c r="T249" s="73" t="s">
        <v>137</v>
      </c>
      <c r="W249" s="488" t="s">
        <v>137</v>
      </c>
      <c r="X249" s="73"/>
      <c r="Y249" s="73"/>
      <c r="Z249" s="73"/>
      <c r="AD249" s="66"/>
    </row>
    <row r="250" spans="1:30" x14ac:dyDescent="0.35">
      <c r="A250" s="554"/>
      <c r="B250" s="233">
        <f t="shared" si="19"/>
        <v>210</v>
      </c>
      <c r="C250" s="800"/>
      <c r="D250" s="25"/>
      <c r="E250" s="803"/>
      <c r="F250" s="25"/>
      <c r="G250" s="548"/>
      <c r="H250" s="25"/>
      <c r="I250" s="803"/>
      <c r="J250" s="25"/>
      <c r="K250" s="803"/>
      <c r="N250" s="482"/>
      <c r="T250" s="44"/>
      <c r="W250" s="10"/>
      <c r="X250" s="73"/>
      <c r="Y250" s="73"/>
      <c r="Z250" s="73"/>
      <c r="AD250" s="66"/>
    </row>
    <row r="251" spans="1:30" ht="8.15" customHeight="1" thickBot="1" x14ac:dyDescent="0.4">
      <c r="A251" s="555"/>
      <c r="B251" s="233"/>
      <c r="C251" s="801"/>
      <c r="D251" s="120"/>
      <c r="E251" s="804"/>
      <c r="F251" s="120"/>
      <c r="G251" s="549"/>
      <c r="H251" s="120"/>
      <c r="I251" s="804"/>
      <c r="J251" s="120"/>
      <c r="K251" s="804"/>
      <c r="L251" s="67"/>
      <c r="M251" s="67"/>
      <c r="N251" s="67"/>
      <c r="O251" s="67"/>
      <c r="P251" s="67"/>
      <c r="Q251" s="67"/>
      <c r="R251" s="67"/>
      <c r="S251" s="67"/>
      <c r="T251" s="67"/>
      <c r="U251" s="67"/>
      <c r="V251" s="99"/>
      <c r="W251" s="67"/>
      <c r="X251" s="74"/>
      <c r="Y251" s="74"/>
      <c r="Z251" s="74"/>
      <c r="AA251" s="67"/>
      <c r="AB251" s="67"/>
      <c r="AC251" s="67"/>
      <c r="AD251" s="70"/>
    </row>
    <row r="252" spans="1:30" x14ac:dyDescent="0.35">
      <c r="C252" s="31"/>
      <c r="D252" s="31"/>
      <c r="E252" s="31"/>
      <c r="F252" s="31"/>
      <c r="G252" s="31"/>
      <c r="H252" s="31"/>
      <c r="I252" s="31"/>
      <c r="J252" s="31"/>
      <c r="K252" s="31"/>
      <c r="L252" s="30"/>
      <c r="M252" s="30"/>
      <c r="N252" s="30"/>
      <c r="O252" s="30"/>
      <c r="P252" s="30"/>
      <c r="Q252" s="30"/>
      <c r="R252" s="30"/>
      <c r="S252" s="30"/>
      <c r="T252" s="30"/>
      <c r="U252" s="30"/>
      <c r="V252" s="103"/>
      <c r="W252" s="30"/>
      <c r="X252" s="30"/>
      <c r="Y252" s="30"/>
      <c r="Z252" s="30"/>
      <c r="AA252" s="30"/>
      <c r="AB252" s="30"/>
      <c r="AC252" s="30"/>
      <c r="AD252" s="30"/>
    </row>
  </sheetData>
  <mergeCells count="328">
    <mergeCell ref="AB133:AB134"/>
    <mergeCell ref="Y133:Y134"/>
    <mergeCell ref="S169:S170"/>
    <mergeCell ref="V169:V170"/>
    <mergeCell ref="AB169:AB170"/>
    <mergeCell ref="A6:A10"/>
    <mergeCell ref="AB6:AC6"/>
    <mergeCell ref="Y6:Z6"/>
    <mergeCell ref="V6:W6"/>
    <mergeCell ref="S6:T6"/>
    <mergeCell ref="P6:Q6"/>
    <mergeCell ref="M6:N6"/>
    <mergeCell ref="M7:N7"/>
    <mergeCell ref="P7:Q7"/>
    <mergeCell ref="S7:T7"/>
    <mergeCell ref="V7:W7"/>
    <mergeCell ref="Y7:Z7"/>
    <mergeCell ref="AB7:AC7"/>
    <mergeCell ref="M9:N9"/>
    <mergeCell ref="P9:Q9"/>
    <mergeCell ref="S9:T9"/>
    <mergeCell ref="V9:W9"/>
    <mergeCell ref="Y9:Z9"/>
    <mergeCell ref="AB9:AC9"/>
    <mergeCell ref="E109:E119"/>
    <mergeCell ref="G109:G119"/>
    <mergeCell ref="I109:I119"/>
    <mergeCell ref="K109:K119"/>
    <mergeCell ref="S109:S110"/>
    <mergeCell ref="V109:V110"/>
    <mergeCell ref="A133:A143"/>
    <mergeCell ref="C133:C143"/>
    <mergeCell ref="E133:E143"/>
    <mergeCell ref="G133:G143"/>
    <mergeCell ref="I133:I143"/>
    <mergeCell ref="A109:A119"/>
    <mergeCell ref="C109:C119"/>
    <mergeCell ref="S133:S134"/>
    <mergeCell ref="V133:V134"/>
    <mergeCell ref="A121:A131"/>
    <mergeCell ref="C121:C131"/>
    <mergeCell ref="E121:E131"/>
    <mergeCell ref="G121:G131"/>
    <mergeCell ref="I121:I131"/>
    <mergeCell ref="K133:K143"/>
    <mergeCell ref="AB97:AB98"/>
    <mergeCell ref="Y25:Y26"/>
    <mergeCell ref="Y37:Y38"/>
    <mergeCell ref="AB25:AB26"/>
    <mergeCell ref="Y29:Y31"/>
    <mergeCell ref="AB37:AB38"/>
    <mergeCell ref="Y41:Y43"/>
    <mergeCell ref="AB49:AB50"/>
    <mergeCell ref="AB61:AB62"/>
    <mergeCell ref="Y73:Y74"/>
    <mergeCell ref="AB73:AB74"/>
    <mergeCell ref="Y77:Y79"/>
    <mergeCell ref="AB85:AB86"/>
    <mergeCell ref="Y49:Y50"/>
    <mergeCell ref="Y53:Y55"/>
    <mergeCell ref="Y101:Y103"/>
    <mergeCell ref="S103:T103"/>
    <mergeCell ref="V103:W103"/>
    <mergeCell ref="N104:N105"/>
    <mergeCell ref="Y97:Y98"/>
    <mergeCell ref="G73:G83"/>
    <mergeCell ref="I73:I83"/>
    <mergeCell ref="K73:K83"/>
    <mergeCell ref="S73:S74"/>
    <mergeCell ref="S97:S98"/>
    <mergeCell ref="V97:V98"/>
    <mergeCell ref="S79:T79"/>
    <mergeCell ref="V79:W79"/>
    <mergeCell ref="N80:N81"/>
    <mergeCell ref="V73:V74"/>
    <mergeCell ref="V85:V86"/>
    <mergeCell ref="Y85:Y86"/>
    <mergeCell ref="Y89:Y91"/>
    <mergeCell ref="S91:T91"/>
    <mergeCell ref="V91:W91"/>
    <mergeCell ref="N92:N93"/>
    <mergeCell ref="V37:V38"/>
    <mergeCell ref="S43:T43"/>
    <mergeCell ref="V43:W43"/>
    <mergeCell ref="N44:N45"/>
    <mergeCell ref="A97:A107"/>
    <mergeCell ref="C97:C107"/>
    <mergeCell ref="E97:E107"/>
    <mergeCell ref="G97:G107"/>
    <mergeCell ref="I97:I107"/>
    <mergeCell ref="K97:K107"/>
    <mergeCell ref="A73:A83"/>
    <mergeCell ref="C73:C83"/>
    <mergeCell ref="E73:E83"/>
    <mergeCell ref="A49:A59"/>
    <mergeCell ref="C49:C59"/>
    <mergeCell ref="E49:E59"/>
    <mergeCell ref="G49:G59"/>
    <mergeCell ref="I49:I59"/>
    <mergeCell ref="K49:K59"/>
    <mergeCell ref="S49:S50"/>
    <mergeCell ref="V49:V50"/>
    <mergeCell ref="S55:T55"/>
    <mergeCell ref="V55:W55"/>
    <mergeCell ref="N56:N57"/>
    <mergeCell ref="M5:N5"/>
    <mergeCell ref="V5:W5"/>
    <mergeCell ref="S8:T8"/>
    <mergeCell ref="V8:W8"/>
    <mergeCell ref="Y8:Z8"/>
    <mergeCell ref="Y10:Z10"/>
    <mergeCell ref="A37:A47"/>
    <mergeCell ref="C37:C47"/>
    <mergeCell ref="E37:E47"/>
    <mergeCell ref="G37:G47"/>
    <mergeCell ref="I37:I47"/>
    <mergeCell ref="S25:S26"/>
    <mergeCell ref="V25:V26"/>
    <mergeCell ref="A25:A35"/>
    <mergeCell ref="C25:C35"/>
    <mergeCell ref="E25:E35"/>
    <mergeCell ref="G25:G35"/>
    <mergeCell ref="I25:I35"/>
    <mergeCell ref="K25:K35"/>
    <mergeCell ref="S31:T31"/>
    <mergeCell ref="V31:W31"/>
    <mergeCell ref="N32:N33"/>
    <mergeCell ref="K37:K47"/>
    <mergeCell ref="S37:S38"/>
    <mergeCell ref="A13:A23"/>
    <mergeCell ref="C13:C23"/>
    <mergeCell ref="E13:E23"/>
    <mergeCell ref="I13:I23"/>
    <mergeCell ref="K13:K23"/>
    <mergeCell ref="G13:G23"/>
    <mergeCell ref="N20:N21"/>
    <mergeCell ref="S10:T10"/>
    <mergeCell ref="AB11:AC11"/>
    <mergeCell ref="Y11:Z11"/>
    <mergeCell ref="V19:W19"/>
    <mergeCell ref="M10:N10"/>
    <mergeCell ref="P10:Q10"/>
    <mergeCell ref="AB3:AC3"/>
    <mergeCell ref="S19:T19"/>
    <mergeCell ref="M3:N3"/>
    <mergeCell ref="P3:Q3"/>
    <mergeCell ref="S3:T3"/>
    <mergeCell ref="S13:S14"/>
    <mergeCell ref="V13:V14"/>
    <mergeCell ref="AB13:AB14"/>
    <mergeCell ref="V3:W3"/>
    <mergeCell ref="P11:Q11"/>
    <mergeCell ref="S11:T11"/>
    <mergeCell ref="V11:W11"/>
    <mergeCell ref="Y3:Z3"/>
    <mergeCell ref="Y13:Y14"/>
    <mergeCell ref="Y17:Y19"/>
    <mergeCell ref="P5:Q5"/>
    <mergeCell ref="S5:T5"/>
    <mergeCell ref="AB5:AC5"/>
    <mergeCell ref="Y5:Z5"/>
    <mergeCell ref="AB10:AC10"/>
    <mergeCell ref="M8:N8"/>
    <mergeCell ref="P8:Q8"/>
    <mergeCell ref="AB8:AC8"/>
    <mergeCell ref="V10:W10"/>
    <mergeCell ref="E61:E71"/>
    <mergeCell ref="G61:G71"/>
    <mergeCell ref="I61:I71"/>
    <mergeCell ref="K61:K71"/>
    <mergeCell ref="Y65:Y67"/>
    <mergeCell ref="S67:T67"/>
    <mergeCell ref="V67:W67"/>
    <mergeCell ref="N68:N69"/>
    <mergeCell ref="Y61:Y62"/>
    <mergeCell ref="S61:S62"/>
    <mergeCell ref="V61:V62"/>
    <mergeCell ref="A61:A71"/>
    <mergeCell ref="C61:C71"/>
    <mergeCell ref="AB109:AB110"/>
    <mergeCell ref="Y113:Y115"/>
    <mergeCell ref="S115:T115"/>
    <mergeCell ref="V115:W115"/>
    <mergeCell ref="N116:N117"/>
    <mergeCell ref="Y109:Y110"/>
    <mergeCell ref="K121:K131"/>
    <mergeCell ref="S121:S122"/>
    <mergeCell ref="V121:V122"/>
    <mergeCell ref="Y121:Y122"/>
    <mergeCell ref="AB121:AB122"/>
    <mergeCell ref="Y125:Y127"/>
    <mergeCell ref="S127:T127"/>
    <mergeCell ref="V127:W127"/>
    <mergeCell ref="N128:N129"/>
    <mergeCell ref="A85:A95"/>
    <mergeCell ref="C85:C95"/>
    <mergeCell ref="E85:E95"/>
    <mergeCell ref="G85:G95"/>
    <mergeCell ref="I85:I95"/>
    <mergeCell ref="K85:K95"/>
    <mergeCell ref="S85:S86"/>
    <mergeCell ref="Y137:Y139"/>
    <mergeCell ref="S139:T139"/>
    <mergeCell ref="V139:W139"/>
    <mergeCell ref="N140:N141"/>
    <mergeCell ref="A145:A155"/>
    <mergeCell ref="C145:C155"/>
    <mergeCell ref="E145:E155"/>
    <mergeCell ref="G145:G155"/>
    <mergeCell ref="I145:I155"/>
    <mergeCell ref="K145:K155"/>
    <mergeCell ref="S145:S146"/>
    <mergeCell ref="V145:V146"/>
    <mergeCell ref="AB145:AB146"/>
    <mergeCell ref="Y149:Y151"/>
    <mergeCell ref="S151:T151"/>
    <mergeCell ref="V151:W151"/>
    <mergeCell ref="N152:N153"/>
    <mergeCell ref="Y145:Y146"/>
    <mergeCell ref="AB157:AB158"/>
    <mergeCell ref="Y161:Y163"/>
    <mergeCell ref="S163:T163"/>
    <mergeCell ref="V163:W163"/>
    <mergeCell ref="N164:N165"/>
    <mergeCell ref="A169:A179"/>
    <mergeCell ref="C169:C179"/>
    <mergeCell ref="E169:E179"/>
    <mergeCell ref="G169:G179"/>
    <mergeCell ref="I169:I179"/>
    <mergeCell ref="K169:K179"/>
    <mergeCell ref="Y173:Y175"/>
    <mergeCell ref="S175:T175"/>
    <mergeCell ref="V175:W175"/>
    <mergeCell ref="N176:N177"/>
    <mergeCell ref="A157:A167"/>
    <mergeCell ref="C157:C167"/>
    <mergeCell ref="E157:E167"/>
    <mergeCell ref="G157:G167"/>
    <mergeCell ref="I157:I167"/>
    <mergeCell ref="K157:K167"/>
    <mergeCell ref="S157:S158"/>
    <mergeCell ref="V157:V158"/>
    <mergeCell ref="Y157:Y158"/>
    <mergeCell ref="Y169:Y170"/>
    <mergeCell ref="A181:A191"/>
    <mergeCell ref="C181:C191"/>
    <mergeCell ref="E181:E191"/>
    <mergeCell ref="G181:G191"/>
    <mergeCell ref="I181:I191"/>
    <mergeCell ref="K181:K191"/>
    <mergeCell ref="S181:S182"/>
    <mergeCell ref="V181:V182"/>
    <mergeCell ref="AB181:AB182"/>
    <mergeCell ref="Y185:Y187"/>
    <mergeCell ref="S187:T187"/>
    <mergeCell ref="V187:W187"/>
    <mergeCell ref="N188:N189"/>
    <mergeCell ref="Y181:Y182"/>
    <mergeCell ref="A193:A203"/>
    <mergeCell ref="C193:C203"/>
    <mergeCell ref="E193:E203"/>
    <mergeCell ref="G193:G203"/>
    <mergeCell ref="I193:I203"/>
    <mergeCell ref="K193:K203"/>
    <mergeCell ref="S193:S194"/>
    <mergeCell ref="V193:V194"/>
    <mergeCell ref="Y193:Y194"/>
    <mergeCell ref="A205:A215"/>
    <mergeCell ref="C205:C215"/>
    <mergeCell ref="E205:E215"/>
    <mergeCell ref="G205:G215"/>
    <mergeCell ref="I205:I215"/>
    <mergeCell ref="K205:K215"/>
    <mergeCell ref="S205:S206"/>
    <mergeCell ref="V205:V206"/>
    <mergeCell ref="Y205:Y206"/>
    <mergeCell ref="Y209:Y211"/>
    <mergeCell ref="S211:T211"/>
    <mergeCell ref="V211:W211"/>
    <mergeCell ref="N212:N213"/>
    <mergeCell ref="AB193:AB194"/>
    <mergeCell ref="Y197:Y199"/>
    <mergeCell ref="S199:T199"/>
    <mergeCell ref="V199:W199"/>
    <mergeCell ref="N200:N201"/>
    <mergeCell ref="AB205:AB206"/>
    <mergeCell ref="AB217:AB218"/>
    <mergeCell ref="Y221:Y223"/>
    <mergeCell ref="S223:T223"/>
    <mergeCell ref="V223:W223"/>
    <mergeCell ref="AB229:AB230"/>
    <mergeCell ref="Y233:Y235"/>
    <mergeCell ref="S235:T235"/>
    <mergeCell ref="V235:W235"/>
    <mergeCell ref="N236:N237"/>
    <mergeCell ref="A217:A227"/>
    <mergeCell ref="C217:C227"/>
    <mergeCell ref="E217:E227"/>
    <mergeCell ref="G217:G227"/>
    <mergeCell ref="I217:I227"/>
    <mergeCell ref="A229:A239"/>
    <mergeCell ref="C229:C239"/>
    <mergeCell ref="E229:E239"/>
    <mergeCell ref="G229:G239"/>
    <mergeCell ref="I229:I239"/>
    <mergeCell ref="K229:K239"/>
    <mergeCell ref="S229:S230"/>
    <mergeCell ref="V229:V230"/>
    <mergeCell ref="Y229:Y230"/>
    <mergeCell ref="K217:K227"/>
    <mergeCell ref="S217:S218"/>
    <mergeCell ref="V217:V218"/>
    <mergeCell ref="Y217:Y218"/>
    <mergeCell ref="N224:N225"/>
    <mergeCell ref="AB241:AB242"/>
    <mergeCell ref="Y245:Y247"/>
    <mergeCell ref="S247:T247"/>
    <mergeCell ref="V247:W247"/>
    <mergeCell ref="N248:N249"/>
    <mergeCell ref="A241:A251"/>
    <mergeCell ref="C241:C251"/>
    <mergeCell ref="E241:E251"/>
    <mergeCell ref="G241:G251"/>
    <mergeCell ref="I241:I251"/>
    <mergeCell ref="K241:K251"/>
    <mergeCell ref="S241:S242"/>
    <mergeCell ref="V241:V242"/>
    <mergeCell ref="Y241:Y242"/>
  </mergeCells>
  <conditionalFormatting sqref="N19">
    <cfRule type="expression" dxfId="746" priority="6979">
      <formula>M17=TRUE</formula>
    </cfRule>
  </conditionalFormatting>
  <conditionalFormatting sqref="N20:N21">
    <cfRule type="expression" dxfId="745" priority="79">
      <formula>$M17=TRUE</formula>
    </cfRule>
  </conditionalFormatting>
  <conditionalFormatting sqref="N31">
    <cfRule type="expression" dxfId="744" priority="40">
      <formula>M29=TRUE</formula>
    </cfRule>
  </conditionalFormatting>
  <conditionalFormatting sqref="N32:N33">
    <cfRule type="expression" dxfId="743" priority="39">
      <formula>$M29=TRUE</formula>
    </cfRule>
  </conditionalFormatting>
  <conditionalFormatting sqref="N43">
    <cfRule type="expression" dxfId="742" priority="36">
      <formula>M41=TRUE</formula>
    </cfRule>
  </conditionalFormatting>
  <conditionalFormatting sqref="N44:N45">
    <cfRule type="expression" dxfId="741" priority="35">
      <formula>$M41=TRUE</formula>
    </cfRule>
  </conditionalFormatting>
  <conditionalFormatting sqref="N55">
    <cfRule type="expression" dxfId="740" priority="34">
      <formula>M53=TRUE</formula>
    </cfRule>
  </conditionalFormatting>
  <conditionalFormatting sqref="N56:N57">
    <cfRule type="expression" dxfId="739" priority="33">
      <formula>$M53=TRUE</formula>
    </cfRule>
  </conditionalFormatting>
  <conditionalFormatting sqref="N67">
    <cfRule type="expression" dxfId="738" priority="32">
      <formula>M65=TRUE</formula>
    </cfRule>
  </conditionalFormatting>
  <conditionalFormatting sqref="N68:N69">
    <cfRule type="expression" dxfId="737" priority="31">
      <formula>$M65=TRUE</formula>
    </cfRule>
  </conditionalFormatting>
  <conditionalFormatting sqref="N79">
    <cfRule type="expression" dxfId="736" priority="30">
      <formula>M77=TRUE</formula>
    </cfRule>
  </conditionalFormatting>
  <conditionalFormatting sqref="N80:N81">
    <cfRule type="expression" dxfId="735" priority="29">
      <formula>$M77=TRUE</formula>
    </cfRule>
  </conditionalFormatting>
  <conditionalFormatting sqref="N91">
    <cfRule type="expression" dxfId="734" priority="28">
      <formula>M89=TRUE</formula>
    </cfRule>
  </conditionalFormatting>
  <conditionalFormatting sqref="N92:N93">
    <cfRule type="expression" dxfId="733" priority="27">
      <formula>$M89=TRUE</formula>
    </cfRule>
  </conditionalFormatting>
  <conditionalFormatting sqref="N103">
    <cfRule type="expression" dxfId="732" priority="26">
      <formula>M101=TRUE</formula>
    </cfRule>
  </conditionalFormatting>
  <conditionalFormatting sqref="N104:N105">
    <cfRule type="expression" dxfId="731" priority="25">
      <formula>$M101=TRUE</formula>
    </cfRule>
  </conditionalFormatting>
  <conditionalFormatting sqref="N115">
    <cfRule type="expression" dxfId="730" priority="24">
      <formula>M113=TRUE</formula>
    </cfRule>
  </conditionalFormatting>
  <conditionalFormatting sqref="N116:N117">
    <cfRule type="expression" dxfId="729" priority="23">
      <formula>$M113=TRUE</formula>
    </cfRule>
  </conditionalFormatting>
  <conditionalFormatting sqref="N127">
    <cfRule type="expression" dxfId="728" priority="22">
      <formula>M125=TRUE</formula>
    </cfRule>
  </conditionalFormatting>
  <conditionalFormatting sqref="N128:N129">
    <cfRule type="expression" dxfId="727" priority="21">
      <formula>$M125=TRUE</formula>
    </cfRule>
  </conditionalFormatting>
  <conditionalFormatting sqref="N139">
    <cfRule type="expression" dxfId="726" priority="20">
      <formula>M137=TRUE</formula>
    </cfRule>
  </conditionalFormatting>
  <conditionalFormatting sqref="N140:N141">
    <cfRule type="expression" dxfId="725" priority="19">
      <formula>$M137=TRUE</formula>
    </cfRule>
  </conditionalFormatting>
  <conditionalFormatting sqref="N151">
    <cfRule type="expression" dxfId="724" priority="18">
      <formula>M149=TRUE</formula>
    </cfRule>
  </conditionalFormatting>
  <conditionalFormatting sqref="N152:N153">
    <cfRule type="expression" dxfId="723" priority="17">
      <formula>$M149=TRUE</formula>
    </cfRule>
  </conditionalFormatting>
  <conditionalFormatting sqref="N163">
    <cfRule type="expression" dxfId="722" priority="16">
      <formula>M161=TRUE</formula>
    </cfRule>
  </conditionalFormatting>
  <conditionalFormatting sqref="N164:N165">
    <cfRule type="expression" dxfId="721" priority="15">
      <formula>$M161=TRUE</formula>
    </cfRule>
  </conditionalFormatting>
  <conditionalFormatting sqref="N175">
    <cfRule type="expression" dxfId="720" priority="14">
      <formula>M173=TRUE</formula>
    </cfRule>
  </conditionalFormatting>
  <conditionalFormatting sqref="N176:N177">
    <cfRule type="expression" dxfId="719" priority="13">
      <formula>$M173=TRUE</formula>
    </cfRule>
  </conditionalFormatting>
  <conditionalFormatting sqref="N187">
    <cfRule type="expression" dxfId="718" priority="12">
      <formula>M185=TRUE</formula>
    </cfRule>
  </conditionalFormatting>
  <conditionalFormatting sqref="N188:N189">
    <cfRule type="expression" dxfId="717" priority="11">
      <formula>$M185=TRUE</formula>
    </cfRule>
  </conditionalFormatting>
  <conditionalFormatting sqref="N199">
    <cfRule type="expression" dxfId="716" priority="10">
      <formula>M197=TRUE</formula>
    </cfRule>
  </conditionalFormatting>
  <conditionalFormatting sqref="N200:N201">
    <cfRule type="expression" dxfId="715" priority="9">
      <formula>$M197=TRUE</formula>
    </cfRule>
  </conditionalFormatting>
  <conditionalFormatting sqref="N211">
    <cfRule type="expression" dxfId="714" priority="8">
      <formula>M209=TRUE</formula>
    </cfRule>
  </conditionalFormatting>
  <conditionalFormatting sqref="N212:N213">
    <cfRule type="expression" dxfId="713" priority="7">
      <formula>$M209=TRUE</formula>
    </cfRule>
  </conditionalFormatting>
  <conditionalFormatting sqref="N223">
    <cfRule type="expression" dxfId="712" priority="6">
      <formula>M221=TRUE</formula>
    </cfRule>
  </conditionalFormatting>
  <conditionalFormatting sqref="N224:N225">
    <cfRule type="expression" dxfId="711" priority="5">
      <formula>$M221=TRUE</formula>
    </cfRule>
  </conditionalFormatting>
  <conditionalFormatting sqref="N235">
    <cfRule type="expression" dxfId="710" priority="4">
      <formula>M233=TRUE</formula>
    </cfRule>
  </conditionalFormatting>
  <conditionalFormatting sqref="N236:N237">
    <cfRule type="expression" dxfId="709" priority="3">
      <formula>$M233=TRUE</formula>
    </cfRule>
  </conditionalFormatting>
  <conditionalFormatting sqref="N247">
    <cfRule type="expression" dxfId="708" priority="2">
      <formula>M245=TRUE</formula>
    </cfRule>
  </conditionalFormatting>
  <conditionalFormatting sqref="N248:N249">
    <cfRule type="expression" dxfId="707" priority="1">
      <formula>$M245=TRUE</formula>
    </cfRule>
  </conditionalFormatting>
  <conditionalFormatting sqref="S17:S18">
    <cfRule type="expression" dxfId="706" priority="690">
      <formula>M14=TRUE</formula>
    </cfRule>
  </conditionalFormatting>
  <conditionalFormatting sqref="S20">
    <cfRule type="expression" dxfId="705" priority="547">
      <formula>M17=TRUE</formula>
    </cfRule>
  </conditionalFormatting>
  <conditionalFormatting sqref="S29">
    <cfRule type="expression" dxfId="704" priority="116">
      <formula>M26=TRUE</formula>
    </cfRule>
  </conditionalFormatting>
  <conditionalFormatting sqref="S32">
    <cfRule type="expression" dxfId="703" priority="318">
      <formula>M29=TRUE</formula>
    </cfRule>
  </conditionalFormatting>
  <conditionalFormatting sqref="S41:S42">
    <cfRule type="expression" dxfId="702" priority="114">
      <formula>M38=TRUE</formula>
    </cfRule>
  </conditionalFormatting>
  <conditionalFormatting sqref="S44">
    <cfRule type="expression" dxfId="701" priority="307">
      <formula>M41=TRUE</formula>
    </cfRule>
  </conditionalFormatting>
  <conditionalFormatting sqref="S53:S54">
    <cfRule type="expression" dxfId="700" priority="112">
      <formula>M50=TRUE</formula>
    </cfRule>
  </conditionalFormatting>
  <conditionalFormatting sqref="S56">
    <cfRule type="expression" dxfId="699" priority="296">
      <formula>M53=TRUE</formula>
    </cfRule>
  </conditionalFormatting>
  <conditionalFormatting sqref="S65:S66">
    <cfRule type="expression" dxfId="698" priority="110">
      <formula>M62=TRUE</formula>
    </cfRule>
  </conditionalFormatting>
  <conditionalFormatting sqref="S68">
    <cfRule type="expression" dxfId="697" priority="285">
      <formula>M65=TRUE</formula>
    </cfRule>
  </conditionalFormatting>
  <conditionalFormatting sqref="S77:S78">
    <cfRule type="expression" dxfId="696" priority="108">
      <formula>M74=TRUE</formula>
    </cfRule>
  </conditionalFormatting>
  <conditionalFormatting sqref="S80">
    <cfRule type="expression" dxfId="695" priority="274">
      <formula>M77=TRUE</formula>
    </cfRule>
  </conditionalFormatting>
  <conditionalFormatting sqref="S89:S90">
    <cfRule type="expression" dxfId="694" priority="106">
      <formula>M86=TRUE</formula>
    </cfRule>
  </conditionalFormatting>
  <conditionalFormatting sqref="S92">
    <cfRule type="expression" dxfId="693" priority="263">
      <formula>M89=TRUE</formula>
    </cfRule>
  </conditionalFormatting>
  <conditionalFormatting sqref="S101:S102">
    <cfRule type="expression" dxfId="692" priority="104">
      <formula>M98=TRUE</formula>
    </cfRule>
  </conditionalFormatting>
  <conditionalFormatting sqref="S104">
    <cfRule type="expression" dxfId="691" priority="252">
      <formula>M101=TRUE</formula>
    </cfRule>
  </conditionalFormatting>
  <conditionalFormatting sqref="S113:S114">
    <cfRule type="expression" dxfId="690" priority="102">
      <formula>M110=TRUE</formula>
    </cfRule>
  </conditionalFormatting>
  <conditionalFormatting sqref="S116">
    <cfRule type="expression" dxfId="689" priority="241">
      <formula>M113=TRUE</formula>
    </cfRule>
  </conditionalFormatting>
  <conditionalFormatting sqref="S125:S126">
    <cfRule type="expression" dxfId="688" priority="100">
      <formula>M122=TRUE</formula>
    </cfRule>
  </conditionalFormatting>
  <conditionalFormatting sqref="S128">
    <cfRule type="expression" dxfId="687" priority="230">
      <formula>M125=TRUE</formula>
    </cfRule>
  </conditionalFormatting>
  <conditionalFormatting sqref="S137:S138">
    <cfRule type="expression" dxfId="686" priority="98">
      <formula>M134=TRUE</formula>
    </cfRule>
  </conditionalFormatting>
  <conditionalFormatting sqref="S140">
    <cfRule type="expression" dxfId="685" priority="219">
      <formula>M137=TRUE</formula>
    </cfRule>
  </conditionalFormatting>
  <conditionalFormatting sqref="S149:S150">
    <cfRule type="expression" dxfId="684" priority="96">
      <formula>M146=TRUE</formula>
    </cfRule>
  </conditionalFormatting>
  <conditionalFormatting sqref="S152">
    <cfRule type="expression" dxfId="683" priority="208">
      <formula>M149=TRUE</formula>
    </cfRule>
  </conditionalFormatting>
  <conditionalFormatting sqref="S161:S162">
    <cfRule type="expression" dxfId="682" priority="94">
      <formula>M158=TRUE</formula>
    </cfRule>
  </conditionalFormatting>
  <conditionalFormatting sqref="S164">
    <cfRule type="expression" dxfId="681" priority="197">
      <formula>M161=TRUE</formula>
    </cfRule>
  </conditionalFormatting>
  <conditionalFormatting sqref="S173:S174">
    <cfRule type="expression" dxfId="680" priority="92">
      <formula>M170=TRUE</formula>
    </cfRule>
  </conditionalFormatting>
  <conditionalFormatting sqref="S176">
    <cfRule type="expression" dxfId="679" priority="186">
      <formula>M173=TRUE</formula>
    </cfRule>
  </conditionalFormatting>
  <conditionalFormatting sqref="S185:S186">
    <cfRule type="expression" dxfId="678" priority="90">
      <formula>M182=TRUE</formula>
    </cfRule>
  </conditionalFormatting>
  <conditionalFormatting sqref="S188">
    <cfRule type="expression" dxfId="677" priority="175">
      <formula>M185=TRUE</formula>
    </cfRule>
  </conditionalFormatting>
  <conditionalFormatting sqref="S197:S198">
    <cfRule type="expression" dxfId="676" priority="88">
      <formula>M194=TRUE</formula>
    </cfRule>
  </conditionalFormatting>
  <conditionalFormatting sqref="S200">
    <cfRule type="expression" dxfId="675" priority="164">
      <formula>M197=TRUE</formula>
    </cfRule>
  </conditionalFormatting>
  <conditionalFormatting sqref="S209:S210">
    <cfRule type="expression" dxfId="674" priority="86">
      <formula>M206=TRUE</formula>
    </cfRule>
  </conditionalFormatting>
  <conditionalFormatting sqref="S212">
    <cfRule type="expression" dxfId="673" priority="153">
      <formula>M209=TRUE</formula>
    </cfRule>
  </conditionalFormatting>
  <conditionalFormatting sqref="S221:S222">
    <cfRule type="expression" dxfId="672" priority="84">
      <formula>M218=TRUE</formula>
    </cfRule>
  </conditionalFormatting>
  <conditionalFormatting sqref="S224">
    <cfRule type="expression" dxfId="671" priority="142">
      <formula>M221=TRUE</formula>
    </cfRule>
  </conditionalFormatting>
  <conditionalFormatting sqref="S233:S234">
    <cfRule type="expression" dxfId="670" priority="82">
      <formula>M230=TRUE</formula>
    </cfRule>
  </conditionalFormatting>
  <conditionalFormatting sqref="S236">
    <cfRule type="expression" dxfId="669" priority="131">
      <formula>M233=TRUE</formula>
    </cfRule>
  </conditionalFormatting>
  <conditionalFormatting sqref="S245:S246">
    <cfRule type="expression" dxfId="668" priority="80">
      <formula>M242=TRUE</formula>
    </cfRule>
  </conditionalFormatting>
  <conditionalFormatting sqref="S248">
    <cfRule type="expression" dxfId="667" priority="120">
      <formula>M245=TRUE</formula>
    </cfRule>
  </conditionalFormatting>
  <conditionalFormatting sqref="T17:T18">
    <cfRule type="expression" dxfId="666" priority="691">
      <formula>M14=TRUE</formula>
    </cfRule>
  </conditionalFormatting>
  <conditionalFormatting sqref="T21:T22">
    <cfRule type="expression" dxfId="665" priority="544">
      <formula>S20=TRUE</formula>
    </cfRule>
    <cfRule type="expression" dxfId="664" priority="2088">
      <formula>#REF!=TRUE</formula>
    </cfRule>
  </conditionalFormatting>
  <conditionalFormatting sqref="T22">
    <cfRule type="expression" dxfId="663" priority="822">
      <formula>S20=TRUE</formula>
    </cfRule>
  </conditionalFormatting>
  <conditionalFormatting sqref="T29:T30">
    <cfRule type="expression" dxfId="662" priority="117">
      <formula>M26=TRUE</formula>
    </cfRule>
  </conditionalFormatting>
  <conditionalFormatting sqref="T33:T34">
    <cfRule type="expression" dxfId="661" priority="317">
      <formula>S32=TRUE</formula>
    </cfRule>
    <cfRule type="expression" dxfId="660" priority="323">
      <formula>#REF!=TRUE</formula>
    </cfRule>
  </conditionalFormatting>
  <conditionalFormatting sqref="T34">
    <cfRule type="expression" dxfId="659" priority="321">
      <formula>S32=TRUE</formula>
    </cfRule>
  </conditionalFormatting>
  <conditionalFormatting sqref="T41:T42">
    <cfRule type="expression" dxfId="658" priority="115">
      <formula>M38=TRUE</formula>
    </cfRule>
  </conditionalFormatting>
  <conditionalFormatting sqref="T45:T46">
    <cfRule type="expression" dxfId="657" priority="306">
      <formula>S44=TRUE</formula>
    </cfRule>
    <cfRule type="expression" dxfId="656" priority="312">
      <formula>#REF!=TRUE</formula>
    </cfRule>
  </conditionalFormatting>
  <conditionalFormatting sqref="T46">
    <cfRule type="expression" dxfId="655" priority="310">
      <formula>S44=TRUE</formula>
    </cfRule>
  </conditionalFormatting>
  <conditionalFormatting sqref="T53:T54">
    <cfRule type="expression" dxfId="654" priority="113">
      <formula>M50=TRUE</formula>
    </cfRule>
  </conditionalFormatting>
  <conditionalFormatting sqref="T57:T58">
    <cfRule type="expression" dxfId="653" priority="295">
      <formula>S56=TRUE</formula>
    </cfRule>
    <cfRule type="expression" dxfId="652" priority="301">
      <formula>#REF!=TRUE</formula>
    </cfRule>
  </conditionalFormatting>
  <conditionalFormatting sqref="T58">
    <cfRule type="expression" dxfId="651" priority="299">
      <formula>S56=TRUE</formula>
    </cfRule>
  </conditionalFormatting>
  <conditionalFormatting sqref="T65:T66">
    <cfRule type="expression" dxfId="650" priority="111">
      <formula>M62=TRUE</formula>
    </cfRule>
  </conditionalFormatting>
  <conditionalFormatting sqref="T69:T70">
    <cfRule type="expression" dxfId="649" priority="284">
      <formula>S68=TRUE</formula>
    </cfRule>
    <cfRule type="expression" dxfId="648" priority="290">
      <formula>#REF!=TRUE</formula>
    </cfRule>
  </conditionalFormatting>
  <conditionalFormatting sqref="T70">
    <cfRule type="expression" dxfId="647" priority="288">
      <formula>S68=TRUE</formula>
    </cfRule>
  </conditionalFormatting>
  <conditionalFormatting sqref="T77:T78">
    <cfRule type="expression" dxfId="646" priority="109">
      <formula>M74=TRUE</formula>
    </cfRule>
  </conditionalFormatting>
  <conditionalFormatting sqref="T81:T82">
    <cfRule type="expression" dxfId="645" priority="279">
      <formula>#REF!=TRUE</formula>
    </cfRule>
    <cfRule type="expression" dxfId="644" priority="273">
      <formula>S80=TRUE</formula>
    </cfRule>
  </conditionalFormatting>
  <conditionalFormatting sqref="T82">
    <cfRule type="expression" dxfId="643" priority="277">
      <formula>S80=TRUE</formula>
    </cfRule>
  </conditionalFormatting>
  <conditionalFormatting sqref="T89:T90">
    <cfRule type="expression" dxfId="642" priority="107">
      <formula>M86=TRUE</formula>
    </cfRule>
  </conditionalFormatting>
  <conditionalFormatting sqref="T93:T94">
    <cfRule type="expression" dxfId="641" priority="268">
      <formula>#REF!=TRUE</formula>
    </cfRule>
    <cfRule type="expression" dxfId="640" priority="262">
      <formula>S92=TRUE</formula>
    </cfRule>
  </conditionalFormatting>
  <conditionalFormatting sqref="T94">
    <cfRule type="expression" dxfId="639" priority="266">
      <formula>S92=TRUE</formula>
    </cfRule>
  </conditionalFormatting>
  <conditionalFormatting sqref="T101:T102">
    <cfRule type="expression" dxfId="638" priority="105">
      <formula>M98=TRUE</formula>
    </cfRule>
  </conditionalFormatting>
  <conditionalFormatting sqref="T105:T106">
    <cfRule type="expression" dxfId="637" priority="251">
      <formula>S104=TRUE</formula>
    </cfRule>
    <cfRule type="expression" dxfId="636" priority="257">
      <formula>#REF!=TRUE</formula>
    </cfRule>
  </conditionalFormatting>
  <conditionalFormatting sqref="T106">
    <cfRule type="expression" dxfId="635" priority="255">
      <formula>S104=TRUE</formula>
    </cfRule>
  </conditionalFormatting>
  <conditionalFormatting sqref="T113:T114">
    <cfRule type="expression" dxfId="634" priority="103">
      <formula>M110=TRUE</formula>
    </cfRule>
  </conditionalFormatting>
  <conditionalFormatting sqref="T117:T118">
    <cfRule type="expression" dxfId="633" priority="240">
      <formula>S116=TRUE</formula>
    </cfRule>
    <cfRule type="expression" dxfId="632" priority="246">
      <formula>#REF!=TRUE</formula>
    </cfRule>
  </conditionalFormatting>
  <conditionalFormatting sqref="T118">
    <cfRule type="expression" dxfId="631" priority="244">
      <formula>S116=TRUE</formula>
    </cfRule>
  </conditionalFormatting>
  <conditionalFormatting sqref="T125:T126">
    <cfRule type="expression" dxfId="630" priority="101">
      <formula>M122=TRUE</formula>
    </cfRule>
  </conditionalFormatting>
  <conditionalFormatting sqref="T129:T130">
    <cfRule type="expression" dxfId="629" priority="229">
      <formula>S128=TRUE</formula>
    </cfRule>
    <cfRule type="expression" dxfId="628" priority="235">
      <formula>#REF!=TRUE</formula>
    </cfRule>
  </conditionalFormatting>
  <conditionalFormatting sqref="T130">
    <cfRule type="expression" dxfId="627" priority="233">
      <formula>S128=TRUE</formula>
    </cfRule>
  </conditionalFormatting>
  <conditionalFormatting sqref="T137:T138">
    <cfRule type="expression" dxfId="626" priority="99">
      <formula>M134=TRUE</formula>
    </cfRule>
  </conditionalFormatting>
  <conditionalFormatting sqref="T141:T142">
    <cfRule type="expression" dxfId="625" priority="218">
      <formula>S140=TRUE</formula>
    </cfRule>
    <cfRule type="expression" dxfId="624" priority="224">
      <formula>#REF!=TRUE</formula>
    </cfRule>
  </conditionalFormatting>
  <conditionalFormatting sqref="T142">
    <cfRule type="expression" dxfId="623" priority="222">
      <formula>S140=TRUE</formula>
    </cfRule>
  </conditionalFormatting>
  <conditionalFormatting sqref="T149:T150">
    <cfRule type="expression" dxfId="622" priority="97">
      <formula>M146=TRUE</formula>
    </cfRule>
  </conditionalFormatting>
  <conditionalFormatting sqref="T153:T154">
    <cfRule type="expression" dxfId="621" priority="213">
      <formula>#REF!=TRUE</formula>
    </cfRule>
    <cfRule type="expression" dxfId="620" priority="207">
      <formula>S152=TRUE</formula>
    </cfRule>
  </conditionalFormatting>
  <conditionalFormatting sqref="T154">
    <cfRule type="expression" dxfId="619" priority="211">
      <formula>S152=TRUE</formula>
    </cfRule>
  </conditionalFormatting>
  <conditionalFormatting sqref="T161:T162">
    <cfRule type="expression" dxfId="618" priority="95">
      <formula>M158=TRUE</formula>
    </cfRule>
  </conditionalFormatting>
  <conditionalFormatting sqref="T165:T166">
    <cfRule type="expression" dxfId="617" priority="202">
      <formula>#REF!=TRUE</formula>
    </cfRule>
    <cfRule type="expression" dxfId="616" priority="196">
      <formula>S164=TRUE</formula>
    </cfRule>
  </conditionalFormatting>
  <conditionalFormatting sqref="T166">
    <cfRule type="expression" dxfId="615" priority="200">
      <formula>S164=TRUE</formula>
    </cfRule>
  </conditionalFormatting>
  <conditionalFormatting sqref="T173:T174">
    <cfRule type="expression" dxfId="614" priority="93">
      <formula>M170=TRUE</formula>
    </cfRule>
  </conditionalFormatting>
  <conditionalFormatting sqref="T177:T178">
    <cfRule type="expression" dxfId="613" priority="185">
      <formula>S176=TRUE</formula>
    </cfRule>
    <cfRule type="expression" dxfId="612" priority="191">
      <formula>#REF!=TRUE</formula>
    </cfRule>
  </conditionalFormatting>
  <conditionalFormatting sqref="T178">
    <cfRule type="expression" dxfId="611" priority="189">
      <formula>S176=TRUE</formula>
    </cfRule>
  </conditionalFormatting>
  <conditionalFormatting sqref="T185:T186">
    <cfRule type="expression" dxfId="610" priority="91">
      <formula>M182=TRUE</formula>
    </cfRule>
  </conditionalFormatting>
  <conditionalFormatting sqref="T189:T190">
    <cfRule type="expression" dxfId="609" priority="180">
      <formula>#REF!=TRUE</formula>
    </cfRule>
    <cfRule type="expression" dxfId="608" priority="174">
      <formula>S188=TRUE</formula>
    </cfRule>
  </conditionalFormatting>
  <conditionalFormatting sqref="T190">
    <cfRule type="expression" dxfId="607" priority="178">
      <formula>S188=TRUE</formula>
    </cfRule>
  </conditionalFormatting>
  <conditionalFormatting sqref="T197:T198">
    <cfRule type="expression" dxfId="606" priority="89">
      <formula>M194=TRUE</formula>
    </cfRule>
  </conditionalFormatting>
  <conditionalFormatting sqref="T201:T202">
    <cfRule type="expression" dxfId="605" priority="169">
      <formula>#REF!=TRUE</formula>
    </cfRule>
    <cfRule type="expression" dxfId="604" priority="163">
      <formula>S200=TRUE</formula>
    </cfRule>
  </conditionalFormatting>
  <conditionalFormatting sqref="T202">
    <cfRule type="expression" dxfId="603" priority="167">
      <formula>S200=TRUE</formula>
    </cfRule>
  </conditionalFormatting>
  <conditionalFormatting sqref="T209:T210">
    <cfRule type="expression" dxfId="602" priority="87">
      <formula>M206=TRUE</formula>
    </cfRule>
  </conditionalFormatting>
  <conditionalFormatting sqref="T213:T214">
    <cfRule type="expression" dxfId="601" priority="158">
      <formula>#REF!=TRUE</formula>
    </cfRule>
    <cfRule type="expression" dxfId="600" priority="152">
      <formula>S212=TRUE</formula>
    </cfRule>
  </conditionalFormatting>
  <conditionalFormatting sqref="T214">
    <cfRule type="expression" dxfId="599" priority="156">
      <formula>S212=TRUE</formula>
    </cfRule>
  </conditionalFormatting>
  <conditionalFormatting sqref="T221:T222">
    <cfRule type="expression" dxfId="598" priority="85">
      <formula>M218=TRUE</formula>
    </cfRule>
  </conditionalFormatting>
  <conditionalFormatting sqref="T225:T226">
    <cfRule type="expression" dxfId="597" priority="147">
      <formula>#REF!=TRUE</formula>
    </cfRule>
    <cfRule type="expression" dxfId="596" priority="141">
      <formula>S224=TRUE</formula>
    </cfRule>
  </conditionalFormatting>
  <conditionalFormatting sqref="T226">
    <cfRule type="expression" dxfId="595" priority="145">
      <formula>S224=TRUE</formula>
    </cfRule>
  </conditionalFormatting>
  <conditionalFormatting sqref="T233:T234">
    <cfRule type="expression" dxfId="594" priority="83">
      <formula>M230=TRUE</formula>
    </cfRule>
  </conditionalFormatting>
  <conditionalFormatting sqref="T237:T238">
    <cfRule type="expression" dxfId="593" priority="130">
      <formula>S236=TRUE</formula>
    </cfRule>
    <cfRule type="expression" dxfId="592" priority="136">
      <formula>#REF!=TRUE</formula>
    </cfRule>
  </conditionalFormatting>
  <conditionalFormatting sqref="T238">
    <cfRule type="expression" dxfId="591" priority="134">
      <formula>S236=TRUE</formula>
    </cfRule>
  </conditionalFormatting>
  <conditionalFormatting sqref="T245:T246">
    <cfRule type="expression" dxfId="590" priority="81">
      <formula>M242=TRUE</formula>
    </cfRule>
  </conditionalFormatting>
  <conditionalFormatting sqref="T249:T250">
    <cfRule type="expression" dxfId="589" priority="125">
      <formula>#REF!=TRUE</formula>
    </cfRule>
    <cfRule type="expression" dxfId="588" priority="119">
      <formula>S248=TRUE</formula>
    </cfRule>
  </conditionalFormatting>
  <conditionalFormatting sqref="T250">
    <cfRule type="expression" dxfId="587" priority="123">
      <formula>S248=TRUE</formula>
    </cfRule>
  </conditionalFormatting>
  <conditionalFormatting sqref="X21:X22">
    <cfRule type="expression" dxfId="586" priority="827">
      <formula>W20=TRUE</formula>
    </cfRule>
  </conditionalFormatting>
  <conditionalFormatting sqref="X23">
    <cfRule type="expression" dxfId="585" priority="6976">
      <formula>W20=TRUE</formula>
    </cfRule>
  </conditionalFormatting>
  <conditionalFormatting sqref="X33:X34">
    <cfRule type="expression" dxfId="584" priority="322">
      <formula>W32=TRUE</formula>
    </cfRule>
  </conditionalFormatting>
  <conditionalFormatting sqref="X35">
    <cfRule type="expression" dxfId="583" priority="325">
      <formula>W32=TRUE</formula>
    </cfRule>
  </conditionalFormatting>
  <conditionalFormatting sqref="X45:X46">
    <cfRule type="expression" dxfId="582" priority="311">
      <formula>W44=TRUE</formula>
    </cfRule>
  </conditionalFormatting>
  <conditionalFormatting sqref="X47">
    <cfRule type="expression" dxfId="581" priority="314">
      <formula>W44=TRUE</formula>
    </cfRule>
  </conditionalFormatting>
  <conditionalFormatting sqref="X57:X58">
    <cfRule type="expression" dxfId="580" priority="300">
      <formula>W56=TRUE</formula>
    </cfRule>
  </conditionalFormatting>
  <conditionalFormatting sqref="X59">
    <cfRule type="expression" dxfId="579" priority="303">
      <formula>W56=TRUE</formula>
    </cfRule>
  </conditionalFormatting>
  <conditionalFormatting sqref="X69:X70">
    <cfRule type="expression" dxfId="578" priority="289">
      <formula>W68=TRUE</formula>
    </cfRule>
  </conditionalFormatting>
  <conditionalFormatting sqref="X71">
    <cfRule type="expression" dxfId="577" priority="292">
      <formula>W68=TRUE</formula>
    </cfRule>
  </conditionalFormatting>
  <conditionalFormatting sqref="X81:X82">
    <cfRule type="expression" dxfId="576" priority="278">
      <formula>W80=TRUE</formula>
    </cfRule>
  </conditionalFormatting>
  <conditionalFormatting sqref="X83">
    <cfRule type="expression" dxfId="575" priority="281">
      <formula>W80=TRUE</formula>
    </cfRule>
  </conditionalFormatting>
  <conditionalFormatting sqref="X93:X94">
    <cfRule type="expression" dxfId="574" priority="267">
      <formula>W92=TRUE</formula>
    </cfRule>
  </conditionalFormatting>
  <conditionalFormatting sqref="X95">
    <cfRule type="expression" dxfId="573" priority="270">
      <formula>W92=TRUE</formula>
    </cfRule>
  </conditionalFormatting>
  <conditionalFormatting sqref="X105:X106">
    <cfRule type="expression" dxfId="572" priority="256">
      <formula>W104=TRUE</formula>
    </cfRule>
  </conditionalFormatting>
  <conditionalFormatting sqref="X107">
    <cfRule type="expression" dxfId="571" priority="259">
      <formula>W104=TRUE</formula>
    </cfRule>
  </conditionalFormatting>
  <conditionalFormatting sqref="X117:X118">
    <cfRule type="expression" dxfId="570" priority="245">
      <formula>W116=TRUE</formula>
    </cfRule>
  </conditionalFormatting>
  <conditionalFormatting sqref="X119">
    <cfRule type="expression" dxfId="569" priority="248">
      <formula>W116=TRUE</formula>
    </cfRule>
  </conditionalFormatting>
  <conditionalFormatting sqref="X129:X130">
    <cfRule type="expression" dxfId="568" priority="234">
      <formula>W128=TRUE</formula>
    </cfRule>
  </conditionalFormatting>
  <conditionalFormatting sqref="X131">
    <cfRule type="expression" dxfId="567" priority="237">
      <formula>W128=TRUE</formula>
    </cfRule>
  </conditionalFormatting>
  <conditionalFormatting sqref="X141:X142">
    <cfRule type="expression" dxfId="566" priority="223">
      <formula>W140=TRUE</formula>
    </cfRule>
  </conditionalFormatting>
  <conditionalFormatting sqref="X143">
    <cfRule type="expression" dxfId="565" priority="226">
      <formula>W140=TRUE</formula>
    </cfRule>
  </conditionalFormatting>
  <conditionalFormatting sqref="X153:X154">
    <cfRule type="expression" dxfId="564" priority="212">
      <formula>W152=TRUE</formula>
    </cfRule>
  </conditionalFormatting>
  <conditionalFormatting sqref="X155">
    <cfRule type="expression" dxfId="563" priority="215">
      <formula>W152=TRUE</formula>
    </cfRule>
  </conditionalFormatting>
  <conditionalFormatting sqref="X165:X166">
    <cfRule type="expression" dxfId="562" priority="201">
      <formula>W164=TRUE</formula>
    </cfRule>
  </conditionalFormatting>
  <conditionalFormatting sqref="X167">
    <cfRule type="expression" dxfId="561" priority="204">
      <formula>W164=TRUE</formula>
    </cfRule>
  </conditionalFormatting>
  <conditionalFormatting sqref="X177:X178">
    <cfRule type="expression" dxfId="560" priority="190">
      <formula>W176=TRUE</formula>
    </cfRule>
  </conditionalFormatting>
  <conditionalFormatting sqref="X179">
    <cfRule type="expression" dxfId="559" priority="193">
      <formula>W176=TRUE</formula>
    </cfRule>
  </conditionalFormatting>
  <conditionalFormatting sqref="X189:X190">
    <cfRule type="expression" dxfId="558" priority="179">
      <formula>W188=TRUE</formula>
    </cfRule>
  </conditionalFormatting>
  <conditionalFormatting sqref="X191">
    <cfRule type="expression" dxfId="557" priority="182">
      <formula>W188=TRUE</formula>
    </cfRule>
  </conditionalFormatting>
  <conditionalFormatting sqref="X201:X202">
    <cfRule type="expression" dxfId="556" priority="168">
      <formula>W200=TRUE</formula>
    </cfRule>
  </conditionalFormatting>
  <conditionalFormatting sqref="X203">
    <cfRule type="expression" dxfId="555" priority="171">
      <formula>W200=TRUE</formula>
    </cfRule>
  </conditionalFormatting>
  <conditionalFormatting sqref="X213:X214">
    <cfRule type="expression" dxfId="554" priority="157">
      <formula>W212=TRUE</formula>
    </cfRule>
  </conditionalFormatting>
  <conditionalFormatting sqref="X215">
    <cfRule type="expression" dxfId="553" priority="160">
      <formula>W212=TRUE</formula>
    </cfRule>
  </conditionalFormatting>
  <conditionalFormatting sqref="X225:X226">
    <cfRule type="expression" dxfId="552" priority="146">
      <formula>W224=TRUE</formula>
    </cfRule>
  </conditionalFormatting>
  <conditionalFormatting sqref="X227">
    <cfRule type="expression" dxfId="551" priority="149">
      <formula>W224=TRUE</formula>
    </cfRule>
  </conditionalFormatting>
  <conditionalFormatting sqref="X237:X238">
    <cfRule type="expression" dxfId="550" priority="135">
      <formula>W236=TRUE</formula>
    </cfRule>
  </conditionalFormatting>
  <conditionalFormatting sqref="X239">
    <cfRule type="expression" dxfId="549" priority="138">
      <formula>W236=TRUE</formula>
    </cfRule>
  </conditionalFormatting>
  <conditionalFormatting sqref="X249:X250">
    <cfRule type="expression" dxfId="548" priority="124">
      <formula>W248=TRUE</formula>
    </cfRule>
  </conditionalFormatting>
  <conditionalFormatting sqref="X251">
    <cfRule type="expression" dxfId="547" priority="127">
      <formula>W248=TRUE</formula>
    </cfRule>
  </conditionalFormatting>
  <conditionalFormatting sqref="Y21:Z22">
    <cfRule type="expression" dxfId="546" priority="2092">
      <formula>W20=TRUE</formula>
    </cfRule>
  </conditionalFormatting>
  <conditionalFormatting sqref="Y23:Z23">
    <cfRule type="expression" dxfId="545" priority="6978">
      <formula>W20=TRUE</formula>
    </cfRule>
  </conditionalFormatting>
  <conditionalFormatting sqref="Y33:Z34">
    <cfRule type="expression" dxfId="544" priority="324">
      <formula>W32=TRUE</formula>
    </cfRule>
  </conditionalFormatting>
  <conditionalFormatting sqref="Y35:Z35">
    <cfRule type="expression" dxfId="543" priority="326">
      <formula>W32=TRUE</formula>
    </cfRule>
  </conditionalFormatting>
  <conditionalFormatting sqref="Y45:Z46">
    <cfRule type="expression" dxfId="542" priority="313">
      <formula>W44=TRUE</formula>
    </cfRule>
  </conditionalFormatting>
  <conditionalFormatting sqref="Y47:Z47">
    <cfRule type="expression" dxfId="541" priority="315">
      <formula>W44=TRUE</formula>
    </cfRule>
  </conditionalFormatting>
  <conditionalFormatting sqref="Y57:Z58">
    <cfRule type="expression" dxfId="540" priority="302">
      <formula>W56=TRUE</formula>
    </cfRule>
  </conditionalFormatting>
  <conditionalFormatting sqref="Y59:Z59">
    <cfRule type="expression" dxfId="539" priority="304">
      <formula>W56=TRUE</formula>
    </cfRule>
  </conditionalFormatting>
  <conditionalFormatting sqref="Y69:Z70">
    <cfRule type="expression" dxfId="538" priority="291">
      <formula>W68=TRUE</formula>
    </cfRule>
  </conditionalFormatting>
  <conditionalFormatting sqref="Y71:Z71">
    <cfRule type="expression" dxfId="537" priority="293">
      <formula>W68=TRUE</formula>
    </cfRule>
  </conditionalFormatting>
  <conditionalFormatting sqref="Y81:Z82">
    <cfRule type="expression" dxfId="536" priority="280">
      <formula>W80=TRUE</formula>
    </cfRule>
  </conditionalFormatting>
  <conditionalFormatting sqref="Y83:Z83">
    <cfRule type="expression" dxfId="535" priority="282">
      <formula>W80=TRUE</formula>
    </cfRule>
  </conditionalFormatting>
  <conditionalFormatting sqref="Y93:Z94">
    <cfRule type="expression" dxfId="534" priority="269">
      <formula>W92=TRUE</formula>
    </cfRule>
  </conditionalFormatting>
  <conditionalFormatting sqref="Y95:Z95">
    <cfRule type="expression" dxfId="533" priority="271">
      <formula>W92=TRUE</formula>
    </cfRule>
  </conditionalFormatting>
  <conditionalFormatting sqref="Y105:Z106">
    <cfRule type="expression" dxfId="532" priority="258">
      <formula>W104=TRUE</formula>
    </cfRule>
  </conditionalFormatting>
  <conditionalFormatting sqref="Y107:Z107">
    <cfRule type="expression" dxfId="531" priority="260">
      <formula>W104=TRUE</formula>
    </cfRule>
  </conditionalFormatting>
  <conditionalFormatting sqref="Y117:Z118">
    <cfRule type="expression" dxfId="530" priority="247">
      <formula>W116=TRUE</formula>
    </cfRule>
  </conditionalFormatting>
  <conditionalFormatting sqref="Y119:Z119">
    <cfRule type="expression" dxfId="529" priority="249">
      <formula>W116=TRUE</formula>
    </cfRule>
  </conditionalFormatting>
  <conditionalFormatting sqref="Y129:Z130">
    <cfRule type="expression" dxfId="528" priority="236">
      <formula>W128=TRUE</formula>
    </cfRule>
  </conditionalFormatting>
  <conditionalFormatting sqref="Y131:Z131">
    <cfRule type="expression" dxfId="527" priority="238">
      <formula>W128=TRUE</formula>
    </cfRule>
  </conditionalFormatting>
  <conditionalFormatting sqref="Y141:Z142">
    <cfRule type="expression" dxfId="526" priority="225">
      <formula>W140=TRUE</formula>
    </cfRule>
  </conditionalFormatting>
  <conditionalFormatting sqref="Y143:Z143">
    <cfRule type="expression" dxfId="525" priority="227">
      <formula>W140=TRUE</formula>
    </cfRule>
  </conditionalFormatting>
  <conditionalFormatting sqref="Y153:Z154">
    <cfRule type="expression" dxfId="524" priority="214">
      <formula>W152=TRUE</formula>
    </cfRule>
  </conditionalFormatting>
  <conditionalFormatting sqref="Y155:Z155">
    <cfRule type="expression" dxfId="523" priority="216">
      <formula>W152=TRUE</formula>
    </cfRule>
  </conditionalFormatting>
  <conditionalFormatting sqref="Y165:Z166">
    <cfRule type="expression" dxfId="522" priority="203">
      <formula>W164=TRUE</formula>
    </cfRule>
  </conditionalFormatting>
  <conditionalFormatting sqref="Y167:Z167">
    <cfRule type="expression" dxfId="521" priority="205">
      <formula>W164=TRUE</formula>
    </cfRule>
  </conditionalFormatting>
  <conditionalFormatting sqref="Y177:Z178">
    <cfRule type="expression" dxfId="520" priority="192">
      <formula>W176=TRUE</formula>
    </cfRule>
  </conditionalFormatting>
  <conditionalFormatting sqref="Y179:Z179">
    <cfRule type="expression" dxfId="519" priority="194">
      <formula>W176=TRUE</formula>
    </cfRule>
  </conditionalFormatting>
  <conditionalFormatting sqref="Y189:Z190">
    <cfRule type="expression" dxfId="518" priority="181">
      <formula>W188=TRUE</formula>
    </cfRule>
  </conditionalFormatting>
  <conditionalFormatting sqref="Y191:Z191">
    <cfRule type="expression" dxfId="517" priority="183">
      <formula>W188=TRUE</formula>
    </cfRule>
  </conditionalFormatting>
  <conditionalFormatting sqref="Y201:Z202">
    <cfRule type="expression" dxfId="516" priority="170">
      <formula>W200=TRUE</formula>
    </cfRule>
  </conditionalFormatting>
  <conditionalFormatting sqref="Y203:Z203">
    <cfRule type="expression" dxfId="515" priority="172">
      <formula>W200=TRUE</formula>
    </cfRule>
  </conditionalFormatting>
  <conditionalFormatting sqref="Y213:Z214">
    <cfRule type="expression" dxfId="514" priority="159">
      <formula>W212=TRUE</formula>
    </cfRule>
  </conditionalFormatting>
  <conditionalFormatting sqref="Y215:Z215">
    <cfRule type="expression" dxfId="513" priority="161">
      <formula>W212=TRUE</formula>
    </cfRule>
  </conditionalFormatting>
  <conditionalFormatting sqref="Y225:Z226">
    <cfRule type="expression" dxfId="512" priority="148">
      <formula>W224=TRUE</formula>
    </cfRule>
  </conditionalFormatting>
  <conditionalFormatting sqref="Y227:Z227">
    <cfRule type="expression" dxfId="511" priority="150">
      <formula>W224=TRUE</formula>
    </cfRule>
  </conditionalFormatting>
  <conditionalFormatting sqref="Y237:Z238">
    <cfRule type="expression" dxfId="510" priority="137">
      <formula>W236=TRUE</formula>
    </cfRule>
  </conditionalFormatting>
  <conditionalFormatting sqref="Y239:Z239">
    <cfRule type="expression" dxfId="509" priority="139">
      <formula>W236=TRUE</formula>
    </cfRule>
  </conditionalFormatting>
  <conditionalFormatting sqref="Y249:Z250">
    <cfRule type="expression" dxfId="508" priority="126">
      <formula>W248=TRUE</formula>
    </cfRule>
  </conditionalFormatting>
  <conditionalFormatting sqref="Y251:Z251">
    <cfRule type="expression" dxfId="507" priority="128">
      <formula>W248=TRUE</formula>
    </cfRule>
  </conditionalFormatting>
  <dataValidations count="1">
    <dataValidation type="list" allowBlank="1" showInputMessage="1" showErrorMessage="1" sqref="X23:Z23 W22 T22 X35:Z35 T250 T34 X47:Z47 W34 T46 X59:Z59 W46 T58 X71:Z71 W58 T70 X83:Z83 W70 T82 X95:Z95 W82 T94 X107:Z107 W94 T106 X119:Z119 W106 T118 X131:Z131 W118 T130 X143:Z143 W130 T142 X155:Z155 W142 T154 X167:Z167 W154 T166 X179:Z179 W166 T178 X191:Z191 W178 T190 X203:Z203 W190 T202 X215:Z215 W202 T214 X227:Z227 W214 T226 X239:Z239 W226 T238 X251:Z251 W238 W250" xr:uid="{D32369DA-70E2-437B-88DA-896FB251FE21}">
      <formula1>publabel</formula1>
    </dataValidation>
  </dataValidations>
  <hyperlinks>
    <hyperlink ref="I6" r:id="rId1" xr:uid="{C16E3B18-73CB-4706-83E5-D11707E18546}"/>
    <hyperlink ref="K6" r:id="rId2" location="role-groups-in-the-security--compliance-center" xr:uid="{2DC84C83-1AE3-4147-A29A-D329FD6EB3C8}"/>
    <hyperlink ref="M7:N7" r:id="rId3" location="end-user-documentation-for-sensitivity-labels" display="End-user documentation for sensitivity labels" xr:uid="{A43A2EC7-E58E-4352-A67A-9F7F6CCFD5C7}"/>
    <hyperlink ref="M6:N6" r:id="rId4" location="publish-sensitivity-labels-by-creating-a-label-policy" display="Publish sensitivity labels by creating a label policy" xr:uid="{8C016B43-57FC-4BC8-9F42-94EEEAE02EFD}"/>
    <hyperlink ref="C6" r:id="rId5" location="publish-sensitivity-labels-by-creating-a-label-policy" xr:uid="{06C7F066-1AD6-4C65-B95B-13F3406198E6}"/>
    <hyperlink ref="M8:N8" r:id="rId6" location="require-users-to-apply-a-label-to-their-email-and-documents" display="Require users to apply a label to their email and documents" xr:uid="{BD7FA4E1-9881-4EA1-A9F8-2C4C4C055CA4}"/>
    <hyperlink ref="M9:N9" r:id="rId7" display="Mandatory label policy for Fabric and Power BI" xr:uid="{93879B26-0A65-4269-B89D-4C4D2C256F4E}"/>
    <hyperlink ref="M10:N10" r:id="rId8" location="end-user-documentation-for-sensitivity-labels" display="End-user documentation for sensitivity labels" xr:uid="{142ABA01-993D-481C-A4A5-4F377ECF96F0}"/>
    <hyperlink ref="P6:Q6" r:id="rId9" location="sensitivity-label-capabilities-in-word-excel-and-powerpoint" display="Manage sensitivity labels in Office apps" xr:uid="{932A9767-C9A0-402A-AD17-E51110A14F42}"/>
    <hyperlink ref="S6:T6" r:id="rId10" location="sensitivity-label-capabilities-in-word-excel-and-powerpoint" display="Manage sensitivity labels in Office apps" xr:uid="{6EEC4B05-71EC-43E9-826B-7FC2ECE39B65}"/>
    <hyperlink ref="S7:T7" r:id="rId11" location="configure-label-inheritance-from-email-attachments" display="Configure label inheritance from email attachments" xr:uid="{8BC85574-38C2-4323-9B4F-B087F9CA46DC}"/>
    <hyperlink ref="V6:W6" r:id="rId12" display="Use sensitivity labels to protect calendar items, Teams meetings, and chat" xr:uid="{FB8D5F80-3465-4701-8665-EA6559CBD77F}"/>
    <hyperlink ref="Y6:Z6" r:id="rId13" display="Configure a default sensitivity label for a SharePoint document library" xr:uid="{29DB9E9B-ECDE-4B26-964E-D5A06368BA52}"/>
    <hyperlink ref="AB6:AC6" r:id="rId14" display="Default label policy for Fabric and Power BI" xr:uid="{0D0AF818-4DEE-4660-BA9C-D6FD7578BE7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689DB-AAF7-4990-BCA9-43EB5EDD9D20}">
  <sheetPr>
    <tabColor rgb="FFFFFF00"/>
  </sheetPr>
  <dimension ref="A1:AE160"/>
  <sheetViews>
    <sheetView showGridLines="0" workbookViewId="0">
      <pane xSplit="2" ySplit="10" topLeftCell="C11" activePane="bottomRight" state="frozen"/>
      <selection pane="topRight" activeCell="C1" sqref="C1"/>
      <selection pane="bottomLeft" activeCell="A11" sqref="A11"/>
      <selection pane="bottomRight" activeCell="C12" sqref="C12:C14"/>
    </sheetView>
  </sheetViews>
  <sheetFormatPr defaultRowHeight="14.5" outlineLevelRow="1" x14ac:dyDescent="0.35"/>
  <cols>
    <col min="1" max="1" width="9.81640625" style="91" customWidth="1"/>
    <col min="2" max="2" width="7" style="237" hidden="1" customWidth="1"/>
    <col min="3" max="3" width="50.81640625" bestFit="1" customWidth="1"/>
    <col min="4" max="4" width="2.1796875" customWidth="1"/>
    <col min="5" max="5" width="49.26953125" customWidth="1"/>
    <col min="6" max="6" width="2.1796875" customWidth="1"/>
    <col min="7" max="7" width="40.1796875" customWidth="1"/>
    <col min="8" max="8" width="2.1796875" customWidth="1"/>
    <col min="9" max="9" width="27.453125" customWidth="1"/>
    <col min="10" max="10" width="2.1796875" customWidth="1"/>
    <col min="11" max="11" width="32.81640625" customWidth="1"/>
    <col min="12" max="12" width="2.1796875" customWidth="1"/>
    <col min="13" max="13" width="5.26953125" bestFit="1" customWidth="1"/>
    <col min="14" max="14" width="48" customWidth="1"/>
    <col min="15" max="15" width="2.1796875" customWidth="1"/>
    <col min="16" max="16" width="24.81640625" customWidth="1"/>
    <col min="17" max="17" width="2.1796875" customWidth="1"/>
    <col min="18" max="18" width="34.1796875" style="2" customWidth="1"/>
    <col min="19" max="19" width="2.1796875" customWidth="1"/>
    <col min="20" max="20" width="23.26953125" customWidth="1"/>
    <col min="21" max="21" width="2.1796875" customWidth="1"/>
    <col min="22" max="22" width="32" customWidth="1"/>
    <col min="23" max="23" width="2.1796875" customWidth="1"/>
    <col min="24" max="24" width="31.453125" customWidth="1"/>
    <col min="25" max="25" width="2.1796875" customWidth="1"/>
    <col min="26" max="26" width="30.54296875" customWidth="1"/>
    <col min="27" max="27" width="2.1796875" customWidth="1"/>
    <col min="28" max="28" width="3.1796875" customWidth="1"/>
    <col min="29" max="30" width="46.54296875" customWidth="1"/>
    <col min="31" max="31" width="3.1796875" customWidth="1"/>
  </cols>
  <sheetData>
    <row r="1" spans="1:31" ht="24" thickBot="1" x14ac:dyDescent="0.4">
      <c r="C1" s="42" t="s">
        <v>313</v>
      </c>
      <c r="D1" s="42"/>
      <c r="E1" s="42"/>
      <c r="T1" s="110">
        <f>COUNTIF(R12:R109,INputs!AX3)</f>
        <v>0</v>
      </c>
    </row>
    <row r="2" spans="1:31" ht="19" thickBot="1" x14ac:dyDescent="0.5">
      <c r="C2" s="96" t="s">
        <v>314</v>
      </c>
      <c r="D2" s="12"/>
      <c r="E2" s="96" t="s">
        <v>315</v>
      </c>
      <c r="F2" s="12"/>
      <c r="G2" s="96" t="s">
        <v>316</v>
      </c>
      <c r="H2" s="12"/>
      <c r="I2" s="96" t="s">
        <v>317</v>
      </c>
      <c r="J2" s="12"/>
      <c r="K2" s="96" t="s">
        <v>268</v>
      </c>
      <c r="L2" s="12"/>
      <c r="M2" s="618" t="s">
        <v>318</v>
      </c>
      <c r="N2" s="619"/>
      <c r="O2" s="12"/>
      <c r="P2" s="97" t="s">
        <v>115</v>
      </c>
      <c r="Q2" s="12"/>
      <c r="R2" s="96" t="s">
        <v>319</v>
      </c>
      <c r="S2" s="12"/>
      <c r="T2" s="98" t="s">
        <v>320</v>
      </c>
      <c r="U2" s="12"/>
      <c r="V2" s="98" t="s">
        <v>321</v>
      </c>
      <c r="W2" s="146"/>
      <c r="X2" s="98" t="s">
        <v>322</v>
      </c>
      <c r="Y2" s="146"/>
      <c r="Z2" s="98" t="s">
        <v>323</v>
      </c>
      <c r="AA2" s="12"/>
      <c r="AB2" s="670" t="s">
        <v>324</v>
      </c>
      <c r="AC2" s="810"/>
      <c r="AD2" s="810"/>
      <c r="AE2" s="671"/>
    </row>
    <row r="3" spans="1:31" s="3" customFormat="1" ht="342" hidden="1" customHeight="1" outlineLevel="1" x14ac:dyDescent="0.35">
      <c r="A3" s="363" t="s">
        <v>119</v>
      </c>
      <c r="B3" s="238"/>
      <c r="C3" s="171" t="s">
        <v>325</v>
      </c>
      <c r="D3" s="173"/>
      <c r="E3" s="152" t="s">
        <v>326</v>
      </c>
      <c r="F3" s="154"/>
      <c r="G3" s="157"/>
      <c r="H3" s="154"/>
      <c r="I3" s="152" t="s">
        <v>327</v>
      </c>
      <c r="J3" s="154"/>
      <c r="K3" s="152" t="s">
        <v>328</v>
      </c>
      <c r="L3" s="154"/>
      <c r="M3" s="625" t="s">
        <v>329</v>
      </c>
      <c r="N3" s="625"/>
      <c r="O3" s="154"/>
      <c r="P3" s="152" t="s">
        <v>330</v>
      </c>
      <c r="Q3" s="154"/>
      <c r="R3" s="157" t="s">
        <v>331</v>
      </c>
      <c r="S3" s="154"/>
      <c r="T3" s="153" t="s">
        <v>332</v>
      </c>
      <c r="U3" s="170"/>
      <c r="V3" s="151" t="s">
        <v>333</v>
      </c>
      <c r="W3" s="154"/>
      <c r="X3" s="152" t="s">
        <v>334</v>
      </c>
      <c r="Y3" s="154"/>
      <c r="Z3" s="153" t="s">
        <v>335</v>
      </c>
      <c r="AA3" s="170"/>
      <c r="AB3" s="624" t="s">
        <v>336</v>
      </c>
      <c r="AC3" s="625"/>
      <c r="AD3" s="625"/>
      <c r="AE3" s="626"/>
    </row>
    <row r="4" spans="1:31" s="3" customFormat="1" ht="43.5" hidden="1" customHeight="1" outlineLevel="1" x14ac:dyDescent="0.35">
      <c r="A4" s="683" t="s">
        <v>127</v>
      </c>
      <c r="B4" s="239"/>
      <c r="C4" s="160" t="s">
        <v>172</v>
      </c>
      <c r="D4" s="124"/>
      <c r="E4" s="160" t="s">
        <v>337</v>
      </c>
      <c r="F4" s="124"/>
      <c r="G4" s="163"/>
      <c r="H4" s="124"/>
      <c r="I4" s="160" t="s">
        <v>338</v>
      </c>
      <c r="J4" s="124"/>
      <c r="K4" s="160" t="s">
        <v>288</v>
      </c>
      <c r="L4" s="124"/>
      <c r="M4" s="596" t="s">
        <v>289</v>
      </c>
      <c r="N4" s="596"/>
      <c r="O4" s="124"/>
      <c r="P4" s="163"/>
      <c r="Q4" s="124"/>
      <c r="R4" s="163"/>
      <c r="S4" s="124"/>
      <c r="T4" s="163"/>
      <c r="U4" s="124"/>
      <c r="V4" s="163"/>
      <c r="W4" s="124"/>
      <c r="X4" s="163"/>
      <c r="Y4" s="124"/>
      <c r="Z4" s="163"/>
      <c r="AA4" s="124"/>
      <c r="AB4" s="596" t="s">
        <v>133</v>
      </c>
      <c r="AC4" s="596"/>
      <c r="AD4" s="596"/>
      <c r="AE4" s="596"/>
    </row>
    <row r="5" spans="1:31" s="3" customFormat="1" ht="14.5" hidden="1" customHeight="1" outlineLevel="1" x14ac:dyDescent="0.35">
      <c r="A5" s="683"/>
      <c r="B5" s="239"/>
      <c r="C5" s="163"/>
      <c r="D5" s="124"/>
      <c r="E5" s="163"/>
      <c r="F5" s="124"/>
      <c r="G5" s="163"/>
      <c r="H5" s="124"/>
      <c r="I5" s="163"/>
      <c r="J5" s="124"/>
      <c r="K5" s="163"/>
      <c r="L5" s="124"/>
      <c r="M5" s="596" t="s">
        <v>339</v>
      </c>
      <c r="N5" s="596"/>
      <c r="O5" s="124"/>
      <c r="P5" s="163"/>
      <c r="Q5" s="124"/>
      <c r="R5" s="163"/>
      <c r="S5" s="124"/>
      <c r="T5" s="163"/>
      <c r="U5" s="124"/>
      <c r="V5" s="163"/>
      <c r="W5" s="124"/>
      <c r="X5" s="163"/>
      <c r="Y5" s="124"/>
      <c r="Z5" s="163"/>
      <c r="AA5" s="124"/>
      <c r="AB5" s="596" t="s">
        <v>340</v>
      </c>
      <c r="AC5" s="596"/>
      <c r="AD5" s="596"/>
      <c r="AE5" s="596"/>
    </row>
    <row r="6" spans="1:31" s="3" customFormat="1" ht="14.5" hidden="1" customHeight="1" outlineLevel="1" x14ac:dyDescent="0.35">
      <c r="A6" s="683"/>
      <c r="B6" s="239"/>
      <c r="C6" s="163"/>
      <c r="D6" s="124"/>
      <c r="E6" s="163"/>
      <c r="F6" s="124"/>
      <c r="G6" s="163"/>
      <c r="H6" s="124"/>
      <c r="I6" s="163"/>
      <c r="J6" s="124"/>
      <c r="K6" s="163"/>
      <c r="L6" s="124"/>
      <c r="M6" s="606"/>
      <c r="N6" s="606"/>
      <c r="O6" s="124"/>
      <c r="P6" s="163"/>
      <c r="Q6" s="124"/>
      <c r="R6" s="163"/>
      <c r="S6" s="124"/>
      <c r="T6" s="163"/>
      <c r="U6" s="124"/>
      <c r="V6" s="163"/>
      <c r="W6" s="124"/>
      <c r="X6" s="163"/>
      <c r="Y6" s="124"/>
      <c r="Z6" s="163"/>
      <c r="AA6" s="124"/>
      <c r="AB6" s="606"/>
      <c r="AC6" s="606"/>
      <c r="AD6" s="606"/>
      <c r="AE6" s="606"/>
    </row>
    <row r="7" spans="1:31" s="3" customFormat="1" ht="14.5" hidden="1" customHeight="1" outlineLevel="1" x14ac:dyDescent="0.35">
      <c r="A7" s="683"/>
      <c r="B7" s="239"/>
      <c r="C7" s="163"/>
      <c r="D7" s="124"/>
      <c r="E7" s="163"/>
      <c r="F7" s="124"/>
      <c r="G7" s="163"/>
      <c r="H7" s="124"/>
      <c r="I7" s="163"/>
      <c r="J7" s="124"/>
      <c r="K7" s="163"/>
      <c r="L7" s="124"/>
      <c r="M7" s="606"/>
      <c r="N7" s="606"/>
      <c r="O7" s="124"/>
      <c r="P7" s="163"/>
      <c r="Q7" s="124"/>
      <c r="R7" s="163"/>
      <c r="S7" s="124"/>
      <c r="T7" s="163"/>
      <c r="U7" s="124"/>
      <c r="V7" s="163"/>
      <c r="W7" s="124"/>
      <c r="X7" s="163"/>
      <c r="Y7" s="124"/>
      <c r="Z7" s="163"/>
      <c r="AA7" s="124"/>
      <c r="AB7" s="606"/>
      <c r="AC7" s="606"/>
      <c r="AD7" s="606"/>
      <c r="AE7" s="606"/>
    </row>
    <row r="8" spans="1:31" s="3" customFormat="1" ht="14.5" hidden="1" customHeight="1" outlineLevel="1" x14ac:dyDescent="0.35">
      <c r="A8" s="683"/>
      <c r="B8" s="238"/>
      <c r="C8" s="164"/>
      <c r="D8" s="124"/>
      <c r="E8" s="163"/>
      <c r="F8" s="124"/>
      <c r="G8" s="163"/>
      <c r="H8" s="124"/>
      <c r="I8" s="163"/>
      <c r="J8" s="124"/>
      <c r="K8" s="163"/>
      <c r="L8" s="124"/>
      <c r="M8" s="606"/>
      <c r="N8" s="606"/>
      <c r="O8" s="124"/>
      <c r="P8" s="163"/>
      <c r="Q8" s="124"/>
      <c r="R8" s="163"/>
      <c r="S8" s="124"/>
      <c r="T8" s="163"/>
      <c r="U8" s="124"/>
      <c r="V8" s="163"/>
      <c r="W8" s="124"/>
      <c r="X8" s="163"/>
      <c r="Y8" s="124"/>
      <c r="Z8" s="163"/>
      <c r="AA8" s="124"/>
      <c r="AB8" s="606"/>
      <c r="AC8" s="606"/>
      <c r="AD8" s="606"/>
      <c r="AE8" s="606"/>
    </row>
    <row r="9" spans="1:31" collapsed="1" x14ac:dyDescent="0.35">
      <c r="C9" s="7" t="s">
        <v>135</v>
      </c>
      <c r="D9" s="7"/>
      <c r="E9" s="8" t="s">
        <v>137</v>
      </c>
      <c r="F9" s="7"/>
      <c r="G9" s="7" t="s">
        <v>135</v>
      </c>
      <c r="H9" s="7"/>
      <c r="I9" s="8" t="s">
        <v>137</v>
      </c>
      <c r="J9" s="7"/>
      <c r="K9" s="7" t="s">
        <v>135</v>
      </c>
      <c r="L9" s="7"/>
      <c r="M9" s="651" t="s">
        <v>136</v>
      </c>
      <c r="N9" s="651"/>
      <c r="O9" s="7"/>
      <c r="P9" s="7" t="s">
        <v>135</v>
      </c>
      <c r="Q9" s="7"/>
      <c r="R9" s="8" t="s">
        <v>137</v>
      </c>
      <c r="S9" s="7"/>
      <c r="T9" s="23" t="s">
        <v>135</v>
      </c>
      <c r="U9" s="7"/>
      <c r="V9" s="23" t="s">
        <v>135</v>
      </c>
      <c r="W9" s="7"/>
      <c r="X9" s="23" t="s">
        <v>135</v>
      </c>
      <c r="Y9" s="7"/>
      <c r="Z9" s="23" t="s">
        <v>135</v>
      </c>
      <c r="AA9" s="7"/>
      <c r="AB9" s="7"/>
      <c r="AC9" s="24" t="s">
        <v>136</v>
      </c>
      <c r="AD9" s="24"/>
    </row>
    <row r="10" spans="1:31" ht="4" customHeight="1" thickBot="1" x14ac:dyDescent="0.4">
      <c r="A10" s="87"/>
      <c r="C10" s="107"/>
      <c r="D10" s="106"/>
      <c r="E10" s="106"/>
      <c r="F10" s="106"/>
      <c r="G10" s="106"/>
      <c r="H10" s="106"/>
      <c r="I10" s="106"/>
      <c r="J10" s="106"/>
      <c r="K10" s="106"/>
      <c r="L10" s="106"/>
      <c r="M10" s="106"/>
      <c r="N10" s="106"/>
      <c r="O10" s="106"/>
      <c r="P10" s="106"/>
      <c r="Q10" s="106"/>
      <c r="R10" s="266"/>
      <c r="S10" s="106"/>
      <c r="T10" s="106"/>
      <c r="U10" s="106"/>
      <c r="V10" s="106"/>
      <c r="W10" s="106"/>
      <c r="X10" s="106"/>
      <c r="Y10" s="106"/>
      <c r="Z10" s="106"/>
      <c r="AA10" s="106"/>
      <c r="AB10" s="106"/>
      <c r="AC10" s="106"/>
      <c r="AD10" s="106"/>
      <c r="AE10" s="108"/>
    </row>
    <row r="11" spans="1:31" ht="4.5" customHeight="1" x14ac:dyDescent="0.35">
      <c r="A11" s="550">
        <v>1</v>
      </c>
      <c r="B11" s="240">
        <f>A12+10</f>
        <v>10</v>
      </c>
      <c r="C11" s="122"/>
      <c r="D11" s="62"/>
      <c r="E11" s="62"/>
      <c r="F11" s="62"/>
      <c r="G11" s="62"/>
      <c r="H11" s="62"/>
      <c r="I11" s="62"/>
      <c r="J11" s="62"/>
      <c r="K11" s="122"/>
      <c r="L11" s="62"/>
      <c r="M11" s="62"/>
      <c r="N11" s="62"/>
      <c r="O11" s="62"/>
      <c r="P11" s="62"/>
      <c r="Q11" s="62"/>
      <c r="R11" s="235"/>
      <c r="S11" s="62"/>
      <c r="T11" s="62"/>
      <c r="U11" s="62"/>
      <c r="V11" s="62"/>
      <c r="W11" s="62"/>
      <c r="X11" s="62"/>
      <c r="Y11" s="62"/>
      <c r="Z11" s="62"/>
      <c r="AA11" s="62"/>
      <c r="AB11" s="62"/>
      <c r="AC11" s="62"/>
      <c r="AD11" s="122"/>
      <c r="AE11" s="71"/>
    </row>
    <row r="12" spans="1:31" ht="29" x14ac:dyDescent="0.35">
      <c r="A12" s="551"/>
      <c r="B12" s="13">
        <f>B11+1</f>
        <v>11</v>
      </c>
      <c r="C12" s="803"/>
      <c r="D12" s="3"/>
      <c r="E12" s="10"/>
      <c r="F12" s="3"/>
      <c r="G12" s="803"/>
      <c r="H12" s="3"/>
      <c r="I12" s="808"/>
      <c r="J12" s="3"/>
      <c r="K12" s="803"/>
      <c r="L12" s="3"/>
      <c r="M12" s="64" t="b">
        <v>0</v>
      </c>
      <c r="N12" t="s">
        <v>341</v>
      </c>
      <c r="O12" s="3"/>
      <c r="P12" s="3" t="s">
        <v>342</v>
      </c>
      <c r="Q12" s="3"/>
      <c r="R12" s="226"/>
      <c r="S12" s="3"/>
      <c r="T12" s="458"/>
      <c r="U12" s="124"/>
      <c r="V12" s="450"/>
      <c r="W12" s="124"/>
      <c r="X12" s="131"/>
      <c r="Y12" s="124"/>
      <c r="Z12" s="449"/>
      <c r="AA12" s="3"/>
      <c r="AB12" s="45" t="b">
        <v>0</v>
      </c>
      <c r="AC12" s="9" t="s">
        <v>343</v>
      </c>
      <c r="AD12" s="130" t="s">
        <v>135</v>
      </c>
      <c r="AE12" s="66"/>
    </row>
    <row r="13" spans="1:31" ht="29" x14ac:dyDescent="0.35">
      <c r="A13" s="551"/>
      <c r="B13" s="241">
        <f>B12+1</f>
        <v>12</v>
      </c>
      <c r="C13" s="542"/>
      <c r="G13" s="542"/>
      <c r="I13" s="809"/>
      <c r="K13" s="542"/>
      <c r="M13" s="275" t="b">
        <v>0</v>
      </c>
      <c r="N13" s="25" t="s">
        <v>344</v>
      </c>
      <c r="P13" s="25" t="s">
        <v>345</v>
      </c>
      <c r="T13" s="119"/>
      <c r="U13" s="125"/>
      <c r="V13" s="27"/>
      <c r="W13" s="125"/>
      <c r="X13" s="124"/>
      <c r="Y13" s="125"/>
      <c r="Z13" s="124"/>
      <c r="AB13" s="45" t="b">
        <v>0</v>
      </c>
      <c r="AC13" s="9" t="s">
        <v>346</v>
      </c>
      <c r="AD13" s="131"/>
      <c r="AE13" s="101"/>
    </row>
    <row r="14" spans="1:31" ht="15" thickBot="1" x14ac:dyDescent="0.4">
      <c r="A14" s="552"/>
      <c r="B14" s="241">
        <f>B13+1</f>
        <v>13</v>
      </c>
      <c r="C14" s="543"/>
      <c r="D14" s="67"/>
      <c r="E14" s="67"/>
      <c r="F14" s="67"/>
      <c r="G14" s="543"/>
      <c r="H14" s="67"/>
      <c r="I14" s="67"/>
      <c r="J14" s="67"/>
      <c r="K14" s="543"/>
      <c r="L14" s="67"/>
      <c r="M14" s="69" t="b">
        <v>0</v>
      </c>
      <c r="N14" s="67" t="s">
        <v>347</v>
      </c>
      <c r="O14" s="67"/>
      <c r="P14" s="67" t="s">
        <v>348</v>
      </c>
      <c r="Q14" s="67"/>
      <c r="R14" s="244"/>
      <c r="S14" s="67"/>
      <c r="T14" s="126"/>
      <c r="U14" s="127"/>
      <c r="V14" s="128"/>
      <c r="W14" s="127"/>
      <c r="X14" s="129"/>
      <c r="Y14" s="127"/>
      <c r="Z14" s="129"/>
      <c r="AA14" s="67"/>
      <c r="AB14" s="67"/>
      <c r="AC14" s="67"/>
      <c r="AD14" s="127"/>
      <c r="AE14" s="70"/>
    </row>
    <row r="15" spans="1:31" ht="5.15" customHeight="1" thickBot="1" x14ac:dyDescent="0.4">
      <c r="A15" s="109"/>
      <c r="B15" s="109"/>
      <c r="C15" s="121"/>
      <c r="D15" s="109"/>
      <c r="E15" s="109"/>
      <c r="F15" s="109"/>
      <c r="G15" s="121"/>
      <c r="H15" s="109"/>
      <c r="I15" s="109"/>
      <c r="J15" s="109"/>
      <c r="K15" s="121"/>
      <c r="L15" s="109"/>
      <c r="M15" s="109"/>
      <c r="N15" s="109"/>
      <c r="O15" s="109"/>
      <c r="P15" s="109"/>
      <c r="Q15" s="109"/>
      <c r="R15" s="267"/>
      <c r="S15" s="109"/>
      <c r="T15" s="121"/>
      <c r="U15" s="121"/>
      <c r="V15" s="121"/>
      <c r="W15" s="121"/>
      <c r="X15" s="121"/>
      <c r="Y15" s="121"/>
      <c r="Z15" s="121"/>
      <c r="AA15" s="109"/>
      <c r="AB15" s="109"/>
      <c r="AC15" s="109"/>
      <c r="AD15" s="121"/>
      <c r="AE15" s="109"/>
    </row>
    <row r="16" spans="1:31" ht="4.5" customHeight="1" x14ac:dyDescent="0.35">
      <c r="A16" s="550">
        <f>A11+1</f>
        <v>2</v>
      </c>
      <c r="B16" s="240">
        <f>B11+10</f>
        <v>20</v>
      </c>
      <c r="C16" s="122"/>
      <c r="D16" s="62"/>
      <c r="E16" s="62"/>
      <c r="F16" s="62"/>
      <c r="G16" s="122"/>
      <c r="H16" s="62"/>
      <c r="I16" s="62"/>
      <c r="J16" s="62"/>
      <c r="K16" s="122"/>
      <c r="L16" s="62"/>
      <c r="M16" s="62"/>
      <c r="N16" s="62"/>
      <c r="O16" s="62"/>
      <c r="P16" s="62"/>
      <c r="Q16" s="62"/>
      <c r="R16" s="235"/>
      <c r="S16" s="62"/>
      <c r="T16" s="122"/>
      <c r="U16" s="122"/>
      <c r="V16" s="271"/>
      <c r="W16" s="271"/>
      <c r="X16" s="271"/>
      <c r="Y16" s="271"/>
      <c r="Z16" s="271"/>
      <c r="AA16" s="62"/>
      <c r="AB16" s="62"/>
      <c r="AC16" s="62"/>
      <c r="AD16" s="122"/>
      <c r="AE16" s="71"/>
    </row>
    <row r="17" spans="1:31" ht="29" x14ac:dyDescent="0.35">
      <c r="A17" s="551"/>
      <c r="B17" s="241">
        <f>B12+10</f>
        <v>21</v>
      </c>
      <c r="C17" s="803"/>
      <c r="D17" s="3"/>
      <c r="E17" s="10"/>
      <c r="F17" s="3"/>
      <c r="G17" s="803"/>
      <c r="H17" s="3"/>
      <c r="I17" s="808"/>
      <c r="J17" s="3"/>
      <c r="K17" s="803"/>
      <c r="L17" s="3"/>
      <c r="M17" s="64" t="b">
        <v>0</v>
      </c>
      <c r="N17" t="s">
        <v>341</v>
      </c>
      <c r="O17" s="3"/>
      <c r="P17" s="3" t="s">
        <v>342</v>
      </c>
      <c r="Q17" s="3"/>
      <c r="R17" s="226"/>
      <c r="S17" s="3"/>
      <c r="T17" s="458" t="s">
        <v>349</v>
      </c>
      <c r="U17" s="124"/>
      <c r="V17" s="130"/>
      <c r="W17" s="131"/>
      <c r="X17" s="131"/>
      <c r="Y17" s="131"/>
      <c r="Z17" s="131"/>
      <c r="AA17" s="3"/>
      <c r="AB17" s="45" t="b">
        <v>0</v>
      </c>
      <c r="AC17" s="9" t="s">
        <v>343</v>
      </c>
      <c r="AD17" s="130" t="s">
        <v>135</v>
      </c>
      <c r="AE17" s="66"/>
    </row>
    <row r="18" spans="1:31" ht="29" x14ac:dyDescent="0.35">
      <c r="A18" s="551"/>
      <c r="B18" s="241">
        <f>B17+1</f>
        <v>22</v>
      </c>
      <c r="C18" s="542"/>
      <c r="G18" s="542"/>
      <c r="I18" s="809"/>
      <c r="K18" s="542"/>
      <c r="M18" s="275" t="b">
        <v>0</v>
      </c>
      <c r="N18" s="25" t="s">
        <v>344</v>
      </c>
      <c r="O18" s="25"/>
      <c r="P18" s="25" t="s">
        <v>345</v>
      </c>
      <c r="T18" s="458"/>
      <c r="U18" s="125"/>
      <c r="V18" s="130"/>
      <c r="W18" s="451"/>
      <c r="X18" s="131"/>
      <c r="Y18" s="451"/>
      <c r="Z18" s="131"/>
      <c r="AB18" s="45" t="b">
        <v>0</v>
      </c>
      <c r="AC18" s="9" t="s">
        <v>346</v>
      </c>
      <c r="AD18" s="131"/>
      <c r="AE18" s="101"/>
    </row>
    <row r="19" spans="1:31" ht="15" thickBot="1" x14ac:dyDescent="0.4">
      <c r="A19" s="552"/>
      <c r="B19" s="241">
        <f>B18+1</f>
        <v>23</v>
      </c>
      <c r="C19" s="543"/>
      <c r="D19" s="67"/>
      <c r="E19" s="67"/>
      <c r="F19" s="67"/>
      <c r="G19" s="543"/>
      <c r="H19" s="67"/>
      <c r="I19" s="67"/>
      <c r="J19" s="67"/>
      <c r="K19" s="543"/>
      <c r="L19" s="67"/>
      <c r="M19" s="69" t="b">
        <v>0</v>
      </c>
      <c r="N19" s="67" t="s">
        <v>347</v>
      </c>
      <c r="O19" s="67"/>
      <c r="P19" s="67" t="s">
        <v>348</v>
      </c>
      <c r="Q19" s="67"/>
      <c r="R19" s="244"/>
      <c r="S19" s="67"/>
      <c r="T19" s="459"/>
      <c r="U19" s="127"/>
      <c r="V19" s="452"/>
      <c r="W19" s="453"/>
      <c r="X19" s="454"/>
      <c r="Y19" s="453"/>
      <c r="Z19" s="454"/>
      <c r="AA19" s="67"/>
      <c r="AB19" s="67"/>
      <c r="AC19" s="67"/>
      <c r="AD19" s="127"/>
      <c r="AE19" s="70"/>
    </row>
    <row r="20" spans="1:31" ht="5.15" customHeight="1" thickBot="1" x14ac:dyDescent="0.4">
      <c r="A20" s="109"/>
      <c r="B20" s="109"/>
      <c r="C20" s="121"/>
      <c r="D20" s="109"/>
      <c r="E20" s="109"/>
      <c r="F20" s="109"/>
      <c r="G20" s="121"/>
      <c r="H20" s="109"/>
      <c r="I20" s="109"/>
      <c r="J20" s="109"/>
      <c r="K20" s="121"/>
      <c r="L20" s="109"/>
      <c r="M20" s="109"/>
      <c r="N20" s="109"/>
      <c r="O20" s="109"/>
      <c r="P20" s="109"/>
      <c r="Q20" s="109"/>
      <c r="R20" s="267"/>
      <c r="S20" s="109"/>
      <c r="T20" s="455"/>
      <c r="U20" s="121"/>
      <c r="V20" s="455"/>
      <c r="W20" s="455"/>
      <c r="X20" s="455"/>
      <c r="Y20" s="455"/>
      <c r="Z20" s="455"/>
      <c r="AA20" s="109"/>
      <c r="AB20" s="109"/>
      <c r="AC20" s="109"/>
      <c r="AD20" s="121"/>
      <c r="AE20" s="109"/>
    </row>
    <row r="21" spans="1:31" ht="4" customHeight="1" x14ac:dyDescent="0.35">
      <c r="A21" s="550">
        <f>A16+1</f>
        <v>3</v>
      </c>
      <c r="B21" s="240">
        <f>B16+10</f>
        <v>30</v>
      </c>
      <c r="C21" s="122"/>
      <c r="D21" s="62"/>
      <c r="E21" s="62"/>
      <c r="F21" s="62"/>
      <c r="G21" s="122"/>
      <c r="H21" s="62"/>
      <c r="I21" s="62"/>
      <c r="J21" s="62"/>
      <c r="K21" s="122"/>
      <c r="L21" s="62"/>
      <c r="M21" s="62"/>
      <c r="N21" s="62"/>
      <c r="O21" s="62"/>
      <c r="P21" s="62"/>
      <c r="Q21" s="62"/>
      <c r="R21" s="235"/>
      <c r="S21" s="62"/>
      <c r="T21" s="456"/>
      <c r="U21" s="122"/>
      <c r="V21" s="456"/>
      <c r="W21" s="456"/>
      <c r="X21" s="456"/>
      <c r="Y21" s="456"/>
      <c r="Z21" s="456"/>
      <c r="AA21" s="62"/>
      <c r="AB21" s="62"/>
      <c r="AC21" s="62"/>
      <c r="AD21" s="122"/>
      <c r="AE21" s="71"/>
    </row>
    <row r="22" spans="1:31" ht="29" x14ac:dyDescent="0.35">
      <c r="A22" s="551"/>
      <c r="B22" s="241">
        <f>B17+10</f>
        <v>31</v>
      </c>
      <c r="C22" s="803"/>
      <c r="D22" s="3"/>
      <c r="E22" s="10"/>
      <c r="F22" s="3"/>
      <c r="G22" s="803"/>
      <c r="H22" s="3"/>
      <c r="I22" s="808"/>
      <c r="J22" s="3"/>
      <c r="K22" s="803"/>
      <c r="L22" s="3"/>
      <c r="M22" s="64" t="b">
        <v>0</v>
      </c>
      <c r="N22" t="s">
        <v>341</v>
      </c>
      <c r="O22" s="3"/>
      <c r="P22" s="3" t="s">
        <v>342</v>
      </c>
      <c r="Q22" s="3"/>
      <c r="R22" s="226"/>
      <c r="S22" s="3"/>
      <c r="T22" s="458"/>
      <c r="U22" s="124"/>
      <c r="V22" s="130"/>
      <c r="W22" s="131"/>
      <c r="X22" s="131"/>
      <c r="Y22" s="131"/>
      <c r="Z22" s="131"/>
      <c r="AA22" s="3"/>
      <c r="AB22" s="45" t="b">
        <v>0</v>
      </c>
      <c r="AC22" s="9" t="s">
        <v>343</v>
      </c>
      <c r="AD22" s="130" t="s">
        <v>135</v>
      </c>
      <c r="AE22" s="66"/>
    </row>
    <row r="23" spans="1:31" ht="29" x14ac:dyDescent="0.35">
      <c r="A23" s="551"/>
      <c r="B23" s="241">
        <f>B22+1</f>
        <v>32</v>
      </c>
      <c r="C23" s="542"/>
      <c r="G23" s="542"/>
      <c r="I23" s="809"/>
      <c r="K23" s="542"/>
      <c r="M23" s="275" t="b">
        <v>0</v>
      </c>
      <c r="N23" s="25" t="s">
        <v>344</v>
      </c>
      <c r="O23" s="25"/>
      <c r="P23" s="25" t="s">
        <v>345</v>
      </c>
      <c r="T23" s="458"/>
      <c r="U23" s="125"/>
      <c r="V23" s="130"/>
      <c r="W23" s="451"/>
      <c r="X23" s="131"/>
      <c r="Y23" s="451"/>
      <c r="Z23" s="131"/>
      <c r="AB23" s="45" t="b">
        <v>1</v>
      </c>
      <c r="AC23" s="9" t="s">
        <v>346</v>
      </c>
      <c r="AD23" s="131"/>
      <c r="AE23" s="101"/>
    </row>
    <row r="24" spans="1:31" ht="15" thickBot="1" x14ac:dyDescent="0.4">
      <c r="A24" s="552"/>
      <c r="B24" s="241">
        <f>B23+1</f>
        <v>33</v>
      </c>
      <c r="C24" s="543"/>
      <c r="D24" s="67"/>
      <c r="E24" s="67"/>
      <c r="F24" s="67"/>
      <c r="G24" s="543"/>
      <c r="H24" s="67"/>
      <c r="I24" s="67"/>
      <c r="J24" s="67"/>
      <c r="K24" s="543"/>
      <c r="L24" s="67"/>
      <c r="M24" s="69" t="b">
        <v>0</v>
      </c>
      <c r="N24" s="67" t="s">
        <v>347</v>
      </c>
      <c r="O24" s="67"/>
      <c r="P24" s="67" t="s">
        <v>348</v>
      </c>
      <c r="Q24" s="67"/>
      <c r="R24" s="244"/>
      <c r="S24" s="67"/>
      <c r="T24" s="459"/>
      <c r="U24" s="127"/>
      <c r="V24" s="452"/>
      <c r="W24" s="453"/>
      <c r="X24" s="454"/>
      <c r="Y24" s="453"/>
      <c r="Z24" s="454"/>
      <c r="AA24" s="67"/>
      <c r="AB24" s="67"/>
      <c r="AC24" s="67"/>
      <c r="AD24" s="127"/>
      <c r="AE24" s="70"/>
    </row>
    <row r="25" spans="1:31" ht="5.15" customHeight="1" thickBot="1" x14ac:dyDescent="0.4">
      <c r="A25" s="109"/>
      <c r="B25" s="109"/>
      <c r="C25" s="121"/>
      <c r="D25" s="109"/>
      <c r="E25" s="109"/>
      <c r="F25" s="109"/>
      <c r="G25" s="121"/>
      <c r="H25" s="109"/>
      <c r="I25" s="109"/>
      <c r="J25" s="109"/>
      <c r="K25" s="121"/>
      <c r="L25" s="109"/>
      <c r="M25" s="109"/>
      <c r="N25" s="109"/>
      <c r="O25" s="109"/>
      <c r="P25" s="109"/>
      <c r="Q25" s="109"/>
      <c r="R25" s="267"/>
      <c r="S25" s="109"/>
      <c r="T25" s="455"/>
      <c r="U25" s="121"/>
      <c r="V25" s="455"/>
      <c r="W25" s="455"/>
      <c r="X25" s="455"/>
      <c r="Y25" s="455"/>
      <c r="Z25" s="455"/>
      <c r="AA25" s="109"/>
      <c r="AB25" s="109"/>
      <c r="AC25" s="109"/>
      <c r="AD25" s="121"/>
      <c r="AE25" s="109"/>
    </row>
    <row r="26" spans="1:31" ht="3.75" customHeight="1" x14ac:dyDescent="0.35">
      <c r="A26" s="550">
        <f>A21+1</f>
        <v>4</v>
      </c>
      <c r="B26" s="240">
        <f>B21+10</f>
        <v>40</v>
      </c>
      <c r="C26" s="122"/>
      <c r="D26" s="62"/>
      <c r="E26" s="62"/>
      <c r="F26" s="62"/>
      <c r="G26" s="122"/>
      <c r="H26" s="62"/>
      <c r="I26" s="62"/>
      <c r="J26" s="62"/>
      <c r="K26" s="122"/>
      <c r="L26" s="62"/>
      <c r="M26" s="62"/>
      <c r="N26" s="62"/>
      <c r="O26" s="62"/>
      <c r="P26" s="62"/>
      <c r="Q26" s="62"/>
      <c r="R26" s="235"/>
      <c r="S26" s="62"/>
      <c r="T26" s="456"/>
      <c r="U26" s="122"/>
      <c r="V26" s="456"/>
      <c r="W26" s="456"/>
      <c r="X26" s="456"/>
      <c r="Y26" s="456"/>
      <c r="Z26" s="456"/>
      <c r="AA26" s="62"/>
      <c r="AB26" s="62"/>
      <c r="AC26" s="62"/>
      <c r="AD26" s="122"/>
      <c r="AE26" s="71"/>
    </row>
    <row r="27" spans="1:31" ht="29" x14ac:dyDescent="0.35">
      <c r="A27" s="551"/>
      <c r="B27" s="241">
        <f>B22+10</f>
        <v>41</v>
      </c>
      <c r="C27" s="803"/>
      <c r="D27" s="3"/>
      <c r="E27" s="10"/>
      <c r="F27" s="3"/>
      <c r="G27" s="803"/>
      <c r="H27" s="3"/>
      <c r="I27" s="808"/>
      <c r="J27" s="3"/>
      <c r="K27" s="803"/>
      <c r="L27" s="3"/>
      <c r="M27" s="64" t="b">
        <v>0</v>
      </c>
      <c r="N27" t="s">
        <v>341</v>
      </c>
      <c r="O27" s="3"/>
      <c r="P27" s="3" t="s">
        <v>342</v>
      </c>
      <c r="Q27" s="3"/>
      <c r="R27" s="226"/>
      <c r="S27" s="3"/>
      <c r="T27" s="458"/>
      <c r="U27" s="124"/>
      <c r="V27" s="130"/>
      <c r="W27" s="131"/>
      <c r="X27" s="131"/>
      <c r="Y27" s="131"/>
      <c r="Z27" s="131"/>
      <c r="AA27" s="3"/>
      <c r="AB27" s="45" t="b">
        <v>0</v>
      </c>
      <c r="AC27" s="9" t="s">
        <v>343</v>
      </c>
      <c r="AD27" s="130" t="s">
        <v>135</v>
      </c>
      <c r="AE27" s="66"/>
    </row>
    <row r="28" spans="1:31" ht="29" x14ac:dyDescent="0.35">
      <c r="A28" s="551"/>
      <c r="B28" s="241">
        <f>B27+1</f>
        <v>42</v>
      </c>
      <c r="C28" s="542"/>
      <c r="G28" s="542"/>
      <c r="I28" s="809"/>
      <c r="K28" s="542"/>
      <c r="M28" s="275" t="b">
        <v>0</v>
      </c>
      <c r="N28" s="25" t="s">
        <v>344</v>
      </c>
      <c r="O28" s="25"/>
      <c r="P28" s="25" t="s">
        <v>345</v>
      </c>
      <c r="T28" s="458"/>
      <c r="U28" s="125"/>
      <c r="V28" s="130"/>
      <c r="W28" s="451"/>
      <c r="X28" s="131"/>
      <c r="Y28" s="451"/>
      <c r="Z28" s="131"/>
      <c r="AB28" s="45" t="b">
        <v>1</v>
      </c>
      <c r="AC28" s="9" t="s">
        <v>346</v>
      </c>
      <c r="AD28" s="131"/>
      <c r="AE28" s="101"/>
    </row>
    <row r="29" spans="1:31" ht="15" thickBot="1" x14ac:dyDescent="0.4">
      <c r="A29" s="552"/>
      <c r="B29" s="241">
        <f>B28+1</f>
        <v>43</v>
      </c>
      <c r="C29" s="811"/>
      <c r="D29" s="67"/>
      <c r="E29" s="67"/>
      <c r="F29" s="67"/>
      <c r="G29" s="811"/>
      <c r="H29" s="67"/>
      <c r="I29" s="67"/>
      <c r="J29" s="67"/>
      <c r="K29" s="811"/>
      <c r="L29" s="67"/>
      <c r="M29" s="69" t="b">
        <v>0</v>
      </c>
      <c r="N29" s="67" t="s">
        <v>347</v>
      </c>
      <c r="O29" s="67"/>
      <c r="P29" s="67" t="s">
        <v>348</v>
      </c>
      <c r="Q29" s="67"/>
      <c r="R29" s="244"/>
      <c r="S29" s="67"/>
      <c r="T29" s="459"/>
      <c r="U29" s="127"/>
      <c r="V29" s="452"/>
      <c r="W29" s="453"/>
      <c r="X29" s="454"/>
      <c r="Y29" s="453"/>
      <c r="Z29" s="454"/>
      <c r="AA29" s="67"/>
      <c r="AB29" s="67"/>
      <c r="AC29" s="67"/>
      <c r="AD29" s="127"/>
      <c r="AE29" s="70"/>
    </row>
    <row r="30" spans="1:31" ht="5.15" customHeight="1" thickBot="1" x14ac:dyDescent="0.4">
      <c r="A30" s="109"/>
      <c r="B30" s="109"/>
      <c r="C30" s="121"/>
      <c r="D30" s="109"/>
      <c r="E30" s="109"/>
      <c r="F30" s="109"/>
      <c r="G30" s="121"/>
      <c r="H30" s="109"/>
      <c r="I30" s="109"/>
      <c r="J30" s="109"/>
      <c r="K30" s="121"/>
      <c r="L30" s="109"/>
      <c r="M30" s="109"/>
      <c r="N30" s="109"/>
      <c r="O30" s="109"/>
      <c r="P30" s="109"/>
      <c r="Q30" s="109"/>
      <c r="R30" s="267"/>
      <c r="S30" s="109"/>
      <c r="T30" s="455"/>
      <c r="U30" s="121"/>
      <c r="V30" s="455"/>
      <c r="W30" s="455"/>
      <c r="X30" s="455"/>
      <c r="Y30" s="455"/>
      <c r="Z30" s="455"/>
      <c r="AA30" s="109"/>
      <c r="AB30" s="109"/>
      <c r="AC30" s="109"/>
      <c r="AD30" s="121"/>
      <c r="AE30" s="109"/>
    </row>
    <row r="31" spans="1:31" ht="3.65" customHeight="1" x14ac:dyDescent="0.35">
      <c r="A31" s="550">
        <f>A26+1</f>
        <v>5</v>
      </c>
      <c r="B31" s="240">
        <f>B26+10</f>
        <v>50</v>
      </c>
      <c r="C31" s="122"/>
      <c r="D31" s="62"/>
      <c r="E31" s="62"/>
      <c r="F31" s="62"/>
      <c r="G31" s="122"/>
      <c r="H31" s="62"/>
      <c r="I31" s="62"/>
      <c r="J31" s="62"/>
      <c r="K31" s="122"/>
      <c r="L31" s="62"/>
      <c r="M31" s="62"/>
      <c r="N31" s="62"/>
      <c r="O31" s="62"/>
      <c r="P31" s="62"/>
      <c r="Q31" s="62"/>
      <c r="R31" s="235"/>
      <c r="S31" s="62"/>
      <c r="T31" s="456"/>
      <c r="U31" s="122"/>
      <c r="V31" s="456"/>
      <c r="W31" s="456"/>
      <c r="X31" s="456"/>
      <c r="Y31" s="456"/>
      <c r="Z31" s="456"/>
      <c r="AA31" s="62"/>
      <c r="AB31" s="62"/>
      <c r="AC31" s="62"/>
      <c r="AD31" s="122"/>
      <c r="AE31" s="71"/>
    </row>
    <row r="32" spans="1:31" ht="29" x14ac:dyDescent="0.35">
      <c r="A32" s="551"/>
      <c r="B32" s="241">
        <f>B27+10</f>
        <v>51</v>
      </c>
      <c r="C32" s="803"/>
      <c r="D32" s="3"/>
      <c r="E32" s="10"/>
      <c r="F32" s="3"/>
      <c r="G32" s="803"/>
      <c r="H32" s="3"/>
      <c r="I32" s="808"/>
      <c r="J32" s="3"/>
      <c r="K32" s="803"/>
      <c r="L32" s="3"/>
      <c r="M32" s="64" t="b">
        <v>0</v>
      </c>
      <c r="N32" t="s">
        <v>341</v>
      </c>
      <c r="O32" s="3"/>
      <c r="P32" s="3" t="s">
        <v>342</v>
      </c>
      <c r="Q32" s="3"/>
      <c r="R32" s="226"/>
      <c r="S32" s="3"/>
      <c r="T32" s="458"/>
      <c r="U32" s="124"/>
      <c r="V32" s="130"/>
      <c r="W32" s="131"/>
      <c r="X32" s="131"/>
      <c r="Y32" s="131"/>
      <c r="Z32" s="131"/>
      <c r="AA32" s="3"/>
      <c r="AB32" s="45" t="b">
        <v>0</v>
      </c>
      <c r="AC32" s="9" t="s">
        <v>343</v>
      </c>
      <c r="AD32" s="130" t="s">
        <v>135</v>
      </c>
      <c r="AE32" s="66"/>
    </row>
    <row r="33" spans="1:31" ht="29" x14ac:dyDescent="0.35">
      <c r="A33" s="551"/>
      <c r="B33" s="241">
        <f>B32+1</f>
        <v>52</v>
      </c>
      <c r="C33" s="542"/>
      <c r="G33" s="542"/>
      <c r="I33" s="809"/>
      <c r="K33" s="542"/>
      <c r="M33" s="275" t="b">
        <v>0</v>
      </c>
      <c r="N33" s="25" t="s">
        <v>344</v>
      </c>
      <c r="O33" s="25"/>
      <c r="P33" s="25" t="s">
        <v>345</v>
      </c>
      <c r="T33" s="458"/>
      <c r="U33" s="125"/>
      <c r="V33" s="130"/>
      <c r="W33" s="451"/>
      <c r="X33" s="131"/>
      <c r="Y33" s="451"/>
      <c r="Z33" s="131"/>
      <c r="AB33" s="45" t="b">
        <v>0</v>
      </c>
      <c r="AC33" s="9" t="s">
        <v>346</v>
      </c>
      <c r="AD33" s="131"/>
      <c r="AE33" s="101"/>
    </row>
    <row r="34" spans="1:31" ht="15" thickBot="1" x14ac:dyDescent="0.4">
      <c r="A34" s="552"/>
      <c r="B34" s="241">
        <f>B33+1</f>
        <v>53</v>
      </c>
      <c r="C34" s="543"/>
      <c r="D34" s="67"/>
      <c r="E34" s="67"/>
      <c r="F34" s="67"/>
      <c r="G34" s="543"/>
      <c r="H34" s="67"/>
      <c r="I34" s="67"/>
      <c r="J34" s="67"/>
      <c r="K34" s="543"/>
      <c r="L34" s="67"/>
      <c r="M34" s="69" t="b">
        <v>0</v>
      </c>
      <c r="N34" s="67" t="s">
        <v>347</v>
      </c>
      <c r="O34" s="67"/>
      <c r="P34" s="67" t="s">
        <v>348</v>
      </c>
      <c r="Q34" s="67"/>
      <c r="R34" s="244"/>
      <c r="S34" s="67"/>
      <c r="T34" s="459"/>
      <c r="U34" s="127"/>
      <c r="V34" s="452"/>
      <c r="W34" s="453"/>
      <c r="X34" s="454"/>
      <c r="Y34" s="453"/>
      <c r="Z34" s="454"/>
      <c r="AA34" s="67"/>
      <c r="AB34" s="67"/>
      <c r="AC34" s="67"/>
      <c r="AD34" s="127"/>
      <c r="AE34" s="70"/>
    </row>
    <row r="35" spans="1:31" ht="5.15" customHeight="1" thickBot="1" x14ac:dyDescent="0.4">
      <c r="A35" s="109"/>
      <c r="B35" s="109"/>
      <c r="C35" s="121"/>
      <c r="D35" s="109"/>
      <c r="E35" s="109"/>
      <c r="F35" s="109"/>
      <c r="G35" s="121"/>
      <c r="H35" s="109"/>
      <c r="I35" s="109"/>
      <c r="J35" s="109"/>
      <c r="K35" s="121"/>
      <c r="L35" s="109"/>
      <c r="M35" s="109"/>
      <c r="N35" s="109"/>
      <c r="O35" s="109"/>
      <c r="P35" s="109"/>
      <c r="Q35" s="109"/>
      <c r="R35" s="267"/>
      <c r="S35" s="109"/>
      <c r="T35" s="455"/>
      <c r="U35" s="121"/>
      <c r="V35" s="455"/>
      <c r="W35" s="455"/>
      <c r="X35" s="455"/>
      <c r="Y35" s="455"/>
      <c r="Z35" s="455"/>
      <c r="AA35" s="109"/>
      <c r="AB35" s="109"/>
      <c r="AC35" s="109"/>
      <c r="AD35" s="121"/>
      <c r="AE35" s="109"/>
    </row>
    <row r="36" spans="1:31" ht="3.75" customHeight="1" x14ac:dyDescent="0.35">
      <c r="A36" s="550">
        <f>A31+1</f>
        <v>6</v>
      </c>
      <c r="B36" s="240">
        <f>B31+10</f>
        <v>60</v>
      </c>
      <c r="C36" s="122"/>
      <c r="D36" s="62"/>
      <c r="E36" s="62"/>
      <c r="F36" s="62"/>
      <c r="G36" s="122"/>
      <c r="H36" s="62"/>
      <c r="I36" s="62"/>
      <c r="J36" s="62"/>
      <c r="K36" s="122"/>
      <c r="L36" s="62"/>
      <c r="M36" s="62"/>
      <c r="N36" s="62"/>
      <c r="O36" s="62"/>
      <c r="P36" s="62"/>
      <c r="Q36" s="62"/>
      <c r="R36" s="235"/>
      <c r="S36" s="62"/>
      <c r="T36" s="456"/>
      <c r="U36" s="122"/>
      <c r="V36" s="456"/>
      <c r="W36" s="456"/>
      <c r="X36" s="456"/>
      <c r="Y36" s="456"/>
      <c r="Z36" s="456"/>
      <c r="AA36" s="62"/>
      <c r="AB36" s="62"/>
      <c r="AC36" s="62"/>
      <c r="AD36" s="122"/>
      <c r="AE36" s="71"/>
    </row>
    <row r="37" spans="1:31" ht="29" x14ac:dyDescent="0.35">
      <c r="A37" s="551"/>
      <c r="B37" s="241">
        <f>B32+10</f>
        <v>61</v>
      </c>
      <c r="C37" s="803"/>
      <c r="D37" s="3"/>
      <c r="E37" s="10"/>
      <c r="F37" s="3"/>
      <c r="G37" s="803"/>
      <c r="H37" s="3"/>
      <c r="I37" s="808"/>
      <c r="J37" s="3"/>
      <c r="K37" s="803"/>
      <c r="L37" s="3"/>
      <c r="M37" s="64" t="b">
        <v>0</v>
      </c>
      <c r="N37" t="s">
        <v>341</v>
      </c>
      <c r="O37" s="3"/>
      <c r="P37" s="3" t="s">
        <v>342</v>
      </c>
      <c r="Q37" s="3"/>
      <c r="R37" s="226"/>
      <c r="S37" s="3"/>
      <c r="T37" s="458"/>
      <c r="U37" s="124"/>
      <c r="V37" s="130"/>
      <c r="W37" s="131"/>
      <c r="X37" s="131"/>
      <c r="Y37" s="131"/>
      <c r="Z37" s="131"/>
      <c r="AA37" s="3"/>
      <c r="AB37" s="45" t="b">
        <v>0</v>
      </c>
      <c r="AC37" s="9" t="s">
        <v>343</v>
      </c>
      <c r="AD37" s="130" t="s">
        <v>135</v>
      </c>
      <c r="AE37" s="66"/>
    </row>
    <row r="38" spans="1:31" ht="29" x14ac:dyDescent="0.35">
      <c r="A38" s="551"/>
      <c r="B38" s="241">
        <f>B37+1</f>
        <v>62</v>
      </c>
      <c r="C38" s="542"/>
      <c r="G38" s="542"/>
      <c r="I38" s="809"/>
      <c r="K38" s="542"/>
      <c r="M38" s="275" t="b">
        <v>0</v>
      </c>
      <c r="N38" s="25" t="s">
        <v>344</v>
      </c>
      <c r="O38" s="25"/>
      <c r="P38" s="25" t="s">
        <v>345</v>
      </c>
      <c r="T38" s="458"/>
      <c r="U38" s="125"/>
      <c r="V38" s="130"/>
      <c r="W38" s="451"/>
      <c r="X38" s="131"/>
      <c r="Y38" s="451"/>
      <c r="Z38" s="131"/>
      <c r="AB38" s="45" t="b">
        <v>1</v>
      </c>
      <c r="AC38" s="9" t="s">
        <v>346</v>
      </c>
      <c r="AD38" s="131"/>
      <c r="AE38" s="101"/>
    </row>
    <row r="39" spans="1:31" ht="15" thickBot="1" x14ac:dyDescent="0.4">
      <c r="A39" s="552"/>
      <c r="B39" s="241">
        <f>B38+1</f>
        <v>63</v>
      </c>
      <c r="C39" s="543"/>
      <c r="D39" s="67"/>
      <c r="E39" s="67"/>
      <c r="F39" s="67"/>
      <c r="G39" s="543"/>
      <c r="H39" s="67"/>
      <c r="I39" s="67"/>
      <c r="J39" s="67"/>
      <c r="K39" s="543"/>
      <c r="L39" s="67"/>
      <c r="M39" s="69" t="b">
        <v>0</v>
      </c>
      <c r="N39" s="67" t="s">
        <v>347</v>
      </c>
      <c r="O39" s="67"/>
      <c r="P39" s="67" t="s">
        <v>348</v>
      </c>
      <c r="Q39" s="67"/>
      <c r="R39" s="244"/>
      <c r="S39" s="67"/>
      <c r="T39" s="459"/>
      <c r="U39" s="127"/>
      <c r="V39" s="452"/>
      <c r="W39" s="453"/>
      <c r="X39" s="454"/>
      <c r="Y39" s="453"/>
      <c r="Z39" s="454"/>
      <c r="AA39" s="67"/>
      <c r="AB39" s="67"/>
      <c r="AC39" s="67"/>
      <c r="AD39" s="127"/>
      <c r="AE39" s="70"/>
    </row>
    <row r="40" spans="1:31" ht="5.15" customHeight="1" thickBot="1" x14ac:dyDescent="0.4">
      <c r="A40" s="109"/>
      <c r="B40" s="109"/>
      <c r="C40" s="121"/>
      <c r="D40" s="109"/>
      <c r="E40" s="109"/>
      <c r="F40" s="109"/>
      <c r="G40" s="121"/>
      <c r="H40" s="109"/>
      <c r="I40" s="109"/>
      <c r="J40" s="109"/>
      <c r="K40" s="121"/>
      <c r="L40" s="109"/>
      <c r="M40" s="109"/>
      <c r="N40" s="109"/>
      <c r="O40" s="109"/>
      <c r="P40" s="109"/>
      <c r="Q40" s="109"/>
      <c r="R40" s="267"/>
      <c r="S40" s="109"/>
      <c r="T40" s="455"/>
      <c r="U40" s="121"/>
      <c r="V40" s="455"/>
      <c r="W40" s="455"/>
      <c r="X40" s="455"/>
      <c r="Y40" s="455"/>
      <c r="Z40" s="455"/>
      <c r="AA40" s="109"/>
      <c r="AB40" s="109"/>
      <c r="AC40" s="109"/>
      <c r="AD40" s="121"/>
      <c r="AE40" s="109"/>
    </row>
    <row r="41" spans="1:31" ht="4.5" customHeight="1" x14ac:dyDescent="0.35">
      <c r="A41" s="550">
        <f>A36+1</f>
        <v>7</v>
      </c>
      <c r="B41" s="240">
        <f>B36+10</f>
        <v>70</v>
      </c>
      <c r="C41" s="122"/>
      <c r="D41" s="62"/>
      <c r="E41" s="62"/>
      <c r="F41" s="62"/>
      <c r="G41" s="122"/>
      <c r="H41" s="62"/>
      <c r="I41" s="62"/>
      <c r="J41" s="62"/>
      <c r="K41" s="122"/>
      <c r="L41" s="62"/>
      <c r="M41" s="62"/>
      <c r="N41" s="62"/>
      <c r="O41" s="62"/>
      <c r="P41" s="62"/>
      <c r="Q41" s="62"/>
      <c r="R41" s="235"/>
      <c r="S41" s="62"/>
      <c r="T41" s="456"/>
      <c r="U41" s="122"/>
      <c r="V41" s="456"/>
      <c r="W41" s="456"/>
      <c r="X41" s="456"/>
      <c r="Y41" s="456"/>
      <c r="Z41" s="456"/>
      <c r="AA41" s="62"/>
      <c r="AB41" s="62"/>
      <c r="AC41" s="62"/>
      <c r="AD41" s="122"/>
      <c r="AE41" s="71"/>
    </row>
    <row r="42" spans="1:31" ht="29" x14ac:dyDescent="0.35">
      <c r="A42" s="551"/>
      <c r="B42" s="241">
        <f>B37+10</f>
        <v>71</v>
      </c>
      <c r="C42" s="803"/>
      <c r="D42" s="3"/>
      <c r="E42" s="10"/>
      <c r="F42" s="3"/>
      <c r="G42" s="803"/>
      <c r="H42" s="3"/>
      <c r="I42" s="808"/>
      <c r="J42" s="3"/>
      <c r="K42" s="803"/>
      <c r="L42" s="3"/>
      <c r="M42" s="64" t="b">
        <v>0</v>
      </c>
      <c r="N42" t="s">
        <v>341</v>
      </c>
      <c r="O42" s="3"/>
      <c r="P42" s="3" t="s">
        <v>342</v>
      </c>
      <c r="Q42" s="3"/>
      <c r="R42" s="226"/>
      <c r="S42" s="3"/>
      <c r="T42" s="458"/>
      <c r="U42" s="124"/>
      <c r="V42" s="130"/>
      <c r="W42" s="131"/>
      <c r="X42" s="131"/>
      <c r="Y42" s="131"/>
      <c r="Z42" s="131"/>
      <c r="AA42" s="3"/>
      <c r="AB42" s="45" t="b">
        <v>0</v>
      </c>
      <c r="AC42" s="9" t="s">
        <v>343</v>
      </c>
      <c r="AD42" s="130" t="s">
        <v>135</v>
      </c>
      <c r="AE42" s="66"/>
    </row>
    <row r="43" spans="1:31" ht="29" x14ac:dyDescent="0.35">
      <c r="A43" s="551"/>
      <c r="B43" s="241">
        <f>B42+1</f>
        <v>72</v>
      </c>
      <c r="C43" s="542"/>
      <c r="G43" s="542"/>
      <c r="I43" s="809"/>
      <c r="K43" s="542"/>
      <c r="M43" s="275" t="b">
        <v>0</v>
      </c>
      <c r="N43" s="25" t="s">
        <v>344</v>
      </c>
      <c r="O43" s="25"/>
      <c r="P43" s="25" t="s">
        <v>345</v>
      </c>
      <c r="T43" s="458"/>
      <c r="U43" s="125"/>
      <c r="V43" s="130"/>
      <c r="W43" s="451"/>
      <c r="X43" s="131"/>
      <c r="Y43" s="451"/>
      <c r="Z43" s="131"/>
      <c r="AB43" s="45" t="b">
        <v>0</v>
      </c>
      <c r="AC43" s="9" t="s">
        <v>346</v>
      </c>
      <c r="AD43" s="131"/>
      <c r="AE43" s="101"/>
    </row>
    <row r="44" spans="1:31" ht="15" thickBot="1" x14ac:dyDescent="0.4">
      <c r="A44" s="551"/>
      <c r="B44" s="241">
        <f>B43+1</f>
        <v>73</v>
      </c>
      <c r="C44" s="543"/>
      <c r="G44" s="542"/>
      <c r="K44" s="542"/>
      <c r="M44" s="64" t="b">
        <v>0</v>
      </c>
      <c r="N44" t="s">
        <v>347</v>
      </c>
      <c r="P44" t="s">
        <v>348</v>
      </c>
      <c r="T44" s="458"/>
      <c r="U44" s="125"/>
      <c r="V44" s="130"/>
      <c r="W44" s="451"/>
      <c r="X44" s="131"/>
      <c r="Y44" s="451"/>
      <c r="Z44" s="131"/>
      <c r="AD44" s="127"/>
      <c r="AE44" s="66"/>
    </row>
    <row r="45" spans="1:31" ht="5.15" customHeight="1" thickBot="1" x14ac:dyDescent="0.4">
      <c r="A45" s="111"/>
      <c r="B45" s="112"/>
      <c r="C45" s="123"/>
      <c r="D45" s="112"/>
      <c r="E45" s="112"/>
      <c r="F45" s="112"/>
      <c r="G45" s="123"/>
      <c r="H45" s="112"/>
      <c r="I45" s="112"/>
      <c r="J45" s="112"/>
      <c r="K45" s="123"/>
      <c r="L45" s="112"/>
      <c r="M45" s="112"/>
      <c r="N45" s="112"/>
      <c r="O45" s="112"/>
      <c r="P45" s="112"/>
      <c r="Q45" s="112"/>
      <c r="R45" s="268"/>
      <c r="S45" s="112"/>
      <c r="T45" s="457"/>
      <c r="U45" s="123"/>
      <c r="V45" s="457"/>
      <c r="W45" s="457"/>
      <c r="X45" s="457"/>
      <c r="Y45" s="457"/>
      <c r="Z45" s="457"/>
      <c r="AA45" s="112"/>
      <c r="AB45" s="112"/>
      <c r="AC45" s="112"/>
      <c r="AD45" s="123"/>
      <c r="AE45" s="113"/>
    </row>
    <row r="46" spans="1:31" ht="3.75" customHeight="1" x14ac:dyDescent="0.35">
      <c r="A46" s="550">
        <f>A41+1</f>
        <v>8</v>
      </c>
      <c r="B46" s="240">
        <f>B41+10</f>
        <v>80</v>
      </c>
      <c r="C46" s="122"/>
      <c r="D46" s="62"/>
      <c r="E46" s="62"/>
      <c r="F46" s="62"/>
      <c r="G46" s="122"/>
      <c r="H46" s="62"/>
      <c r="I46" s="62"/>
      <c r="J46" s="62"/>
      <c r="K46" s="122"/>
      <c r="L46" s="62"/>
      <c r="M46" s="62"/>
      <c r="N46" s="62"/>
      <c r="O46" s="62"/>
      <c r="P46" s="62"/>
      <c r="Q46" s="62"/>
      <c r="R46" s="235"/>
      <c r="S46" s="62"/>
      <c r="T46" s="456"/>
      <c r="U46" s="122"/>
      <c r="V46" s="456"/>
      <c r="W46" s="456"/>
      <c r="X46" s="456"/>
      <c r="Y46" s="456"/>
      <c r="Z46" s="456"/>
      <c r="AA46" s="62"/>
      <c r="AB46" s="62"/>
      <c r="AC46" s="62"/>
      <c r="AD46" s="122"/>
      <c r="AE46" s="71"/>
    </row>
    <row r="47" spans="1:31" ht="29" x14ac:dyDescent="0.35">
      <c r="A47" s="551"/>
      <c r="B47" s="241">
        <f>B42+10</f>
        <v>81</v>
      </c>
      <c r="C47" s="803"/>
      <c r="D47" s="3"/>
      <c r="E47" s="10"/>
      <c r="F47" s="3"/>
      <c r="G47" s="803"/>
      <c r="H47" s="3"/>
      <c r="I47" s="808"/>
      <c r="J47" s="3"/>
      <c r="K47" s="803"/>
      <c r="L47" s="3"/>
      <c r="M47" s="64" t="b">
        <v>0</v>
      </c>
      <c r="N47" t="s">
        <v>341</v>
      </c>
      <c r="O47" s="3"/>
      <c r="P47" s="3" t="s">
        <v>342</v>
      </c>
      <c r="Q47" s="3"/>
      <c r="R47" s="226"/>
      <c r="S47" s="3"/>
      <c r="T47" s="458"/>
      <c r="U47" s="124"/>
      <c r="V47" s="130"/>
      <c r="W47" s="131"/>
      <c r="X47" s="131"/>
      <c r="Y47" s="131"/>
      <c r="Z47" s="131"/>
      <c r="AA47" s="3"/>
      <c r="AB47" s="45" t="b">
        <v>0</v>
      </c>
      <c r="AC47" s="9" t="s">
        <v>343</v>
      </c>
      <c r="AD47" s="130" t="s">
        <v>135</v>
      </c>
      <c r="AE47" s="66"/>
    </row>
    <row r="48" spans="1:31" ht="29" x14ac:dyDescent="0.35">
      <c r="A48" s="551"/>
      <c r="B48" s="241">
        <f>B47+1</f>
        <v>82</v>
      </c>
      <c r="C48" s="542"/>
      <c r="G48" s="542"/>
      <c r="I48" s="809"/>
      <c r="K48" s="542"/>
      <c r="M48" s="275" t="b">
        <v>0</v>
      </c>
      <c r="N48" s="25" t="s">
        <v>344</v>
      </c>
      <c r="O48" s="25"/>
      <c r="P48" s="25" t="s">
        <v>345</v>
      </c>
      <c r="T48" s="458"/>
      <c r="U48" s="125"/>
      <c r="V48" s="130"/>
      <c r="W48" s="451"/>
      <c r="X48" s="131"/>
      <c r="Y48" s="451"/>
      <c r="Z48" s="131"/>
      <c r="AB48" s="45" t="b">
        <v>0</v>
      </c>
      <c r="AC48" s="9" t="s">
        <v>346</v>
      </c>
      <c r="AD48" s="131"/>
      <c r="AE48" s="101"/>
    </row>
    <row r="49" spans="1:31" ht="15" thickBot="1" x14ac:dyDescent="0.4">
      <c r="A49" s="551"/>
      <c r="B49" s="241">
        <f>B48+1</f>
        <v>83</v>
      </c>
      <c r="C49" s="543"/>
      <c r="G49" s="542"/>
      <c r="K49" s="542"/>
      <c r="M49" s="64" t="b">
        <v>0</v>
      </c>
      <c r="N49" t="s">
        <v>347</v>
      </c>
      <c r="P49" t="s">
        <v>348</v>
      </c>
      <c r="T49" s="458"/>
      <c r="U49" s="125"/>
      <c r="V49" s="130"/>
      <c r="W49" s="451"/>
      <c r="X49" s="131"/>
      <c r="Y49" s="451"/>
      <c r="Z49" s="131"/>
      <c r="AD49" s="127"/>
      <c r="AE49" s="66"/>
    </row>
    <row r="50" spans="1:31" ht="5.15" customHeight="1" thickBot="1" x14ac:dyDescent="0.4">
      <c r="A50" s="111"/>
      <c r="B50" s="112"/>
      <c r="C50" s="123"/>
      <c r="D50" s="112"/>
      <c r="E50" s="112"/>
      <c r="F50" s="112"/>
      <c r="G50" s="123"/>
      <c r="H50" s="112"/>
      <c r="I50" s="112"/>
      <c r="J50" s="112"/>
      <c r="K50" s="123"/>
      <c r="L50" s="112"/>
      <c r="M50" s="112"/>
      <c r="N50" s="112"/>
      <c r="O50" s="112"/>
      <c r="P50" s="112"/>
      <c r="Q50" s="112"/>
      <c r="R50" s="268"/>
      <c r="S50" s="112"/>
      <c r="T50" s="457"/>
      <c r="U50" s="123"/>
      <c r="V50" s="457"/>
      <c r="W50" s="457"/>
      <c r="X50" s="457"/>
      <c r="Y50" s="457"/>
      <c r="Z50" s="457"/>
      <c r="AA50" s="112"/>
      <c r="AB50" s="112"/>
      <c r="AC50" s="112"/>
      <c r="AD50" s="123"/>
      <c r="AE50" s="113"/>
    </row>
    <row r="51" spans="1:31" ht="4.5" customHeight="1" x14ac:dyDescent="0.35">
      <c r="A51" s="550">
        <f>A46+1</f>
        <v>9</v>
      </c>
      <c r="B51" s="240">
        <f>B46+10</f>
        <v>90</v>
      </c>
      <c r="C51" s="122"/>
      <c r="D51" s="62"/>
      <c r="E51" s="62"/>
      <c r="F51" s="62"/>
      <c r="G51" s="122"/>
      <c r="H51" s="62"/>
      <c r="I51" s="62"/>
      <c r="J51" s="62"/>
      <c r="K51" s="122"/>
      <c r="L51" s="62"/>
      <c r="M51" s="62"/>
      <c r="N51" s="62"/>
      <c r="O51" s="62"/>
      <c r="P51" s="62"/>
      <c r="Q51" s="62"/>
      <c r="R51" s="235"/>
      <c r="S51" s="62"/>
      <c r="T51" s="456"/>
      <c r="U51" s="122"/>
      <c r="V51" s="456"/>
      <c r="W51" s="456"/>
      <c r="X51" s="456"/>
      <c r="Y51" s="456"/>
      <c r="Z51" s="456"/>
      <c r="AA51" s="62"/>
      <c r="AB51" s="62"/>
      <c r="AC51" s="62"/>
      <c r="AD51" s="122"/>
      <c r="AE51" s="71"/>
    </row>
    <row r="52" spans="1:31" ht="29" x14ac:dyDescent="0.35">
      <c r="A52" s="551"/>
      <c r="B52" s="241">
        <f>B47+10</f>
        <v>91</v>
      </c>
      <c r="C52" s="803"/>
      <c r="D52" s="3"/>
      <c r="E52" s="10"/>
      <c r="F52" s="3"/>
      <c r="G52" s="803"/>
      <c r="H52" s="3"/>
      <c r="I52" s="808"/>
      <c r="J52" s="3"/>
      <c r="K52" s="803"/>
      <c r="L52" s="3"/>
      <c r="M52" s="64" t="b">
        <v>0</v>
      </c>
      <c r="N52" t="s">
        <v>341</v>
      </c>
      <c r="O52" s="3"/>
      <c r="P52" s="3" t="s">
        <v>342</v>
      </c>
      <c r="Q52" s="3"/>
      <c r="R52" s="226"/>
      <c r="S52" s="3"/>
      <c r="T52" s="458"/>
      <c r="U52" s="124"/>
      <c r="V52" s="130"/>
      <c r="W52" s="131"/>
      <c r="X52" s="131"/>
      <c r="Y52" s="131"/>
      <c r="Z52" s="131"/>
      <c r="AA52" s="3"/>
      <c r="AB52" s="45" t="b">
        <v>0</v>
      </c>
      <c r="AC52" s="9" t="s">
        <v>343</v>
      </c>
      <c r="AD52" s="130" t="s">
        <v>135</v>
      </c>
      <c r="AE52" s="66"/>
    </row>
    <row r="53" spans="1:31" ht="29" x14ac:dyDescent="0.35">
      <c r="A53" s="551"/>
      <c r="B53" s="241">
        <f>B52+1</f>
        <v>92</v>
      </c>
      <c r="C53" s="542"/>
      <c r="G53" s="542"/>
      <c r="I53" s="809"/>
      <c r="K53" s="542"/>
      <c r="M53" s="275" t="b">
        <v>0</v>
      </c>
      <c r="N53" s="25" t="s">
        <v>344</v>
      </c>
      <c r="O53" s="25"/>
      <c r="P53" s="25" t="s">
        <v>345</v>
      </c>
      <c r="T53" s="458"/>
      <c r="U53" s="125"/>
      <c r="V53" s="130"/>
      <c r="W53" s="451"/>
      <c r="X53" s="131"/>
      <c r="Y53" s="451"/>
      <c r="Z53" s="131"/>
      <c r="AB53" s="45" t="b">
        <v>0</v>
      </c>
      <c r="AC53" s="9" t="s">
        <v>346</v>
      </c>
      <c r="AD53" s="131"/>
      <c r="AE53" s="101"/>
    </row>
    <row r="54" spans="1:31" ht="15" thickBot="1" x14ac:dyDescent="0.4">
      <c r="A54" s="551"/>
      <c r="B54" s="241">
        <f>B53+1</f>
        <v>93</v>
      </c>
      <c r="C54" s="543"/>
      <c r="G54" s="542"/>
      <c r="K54" s="542"/>
      <c r="M54" s="64" t="b">
        <v>0</v>
      </c>
      <c r="N54" t="s">
        <v>347</v>
      </c>
      <c r="P54" t="s">
        <v>348</v>
      </c>
      <c r="T54" s="458"/>
      <c r="U54" s="125"/>
      <c r="V54" s="130"/>
      <c r="W54" s="451"/>
      <c r="X54" s="131"/>
      <c r="Y54" s="451"/>
      <c r="Z54" s="131"/>
      <c r="AD54" s="127"/>
      <c r="AE54" s="66"/>
    </row>
    <row r="55" spans="1:31" ht="5.15" customHeight="1" thickBot="1" x14ac:dyDescent="0.4">
      <c r="A55" s="111"/>
      <c r="B55" s="112"/>
      <c r="C55" s="123"/>
      <c r="D55" s="112"/>
      <c r="E55" s="112"/>
      <c r="F55" s="112"/>
      <c r="G55" s="123"/>
      <c r="H55" s="112"/>
      <c r="I55" s="112"/>
      <c r="J55" s="112"/>
      <c r="K55" s="123"/>
      <c r="L55" s="112"/>
      <c r="M55" s="112"/>
      <c r="N55" s="112"/>
      <c r="O55" s="112"/>
      <c r="P55" s="112"/>
      <c r="Q55" s="112"/>
      <c r="R55" s="268"/>
      <c r="S55" s="112"/>
      <c r="T55" s="457"/>
      <c r="U55" s="123"/>
      <c r="V55" s="457"/>
      <c r="W55" s="457"/>
      <c r="X55" s="457"/>
      <c r="Y55" s="457"/>
      <c r="Z55" s="457"/>
      <c r="AA55" s="112"/>
      <c r="AB55" s="112"/>
      <c r="AC55" s="112"/>
      <c r="AD55" s="123"/>
      <c r="AE55" s="113"/>
    </row>
    <row r="56" spans="1:31" ht="3.75" customHeight="1" x14ac:dyDescent="0.35">
      <c r="A56" s="550">
        <f>A51+1</f>
        <v>10</v>
      </c>
      <c r="B56" s="240">
        <f>B51+10</f>
        <v>100</v>
      </c>
      <c r="C56" s="122"/>
      <c r="D56" s="62"/>
      <c r="E56" s="62"/>
      <c r="F56" s="62"/>
      <c r="G56" s="122"/>
      <c r="H56" s="62"/>
      <c r="I56" s="62"/>
      <c r="J56" s="62"/>
      <c r="K56" s="122"/>
      <c r="L56" s="62"/>
      <c r="M56" s="62"/>
      <c r="N56" s="62"/>
      <c r="O56" s="62"/>
      <c r="P56" s="62"/>
      <c r="Q56" s="62"/>
      <c r="R56" s="235"/>
      <c r="S56" s="62"/>
      <c r="T56" s="456"/>
      <c r="U56" s="122"/>
      <c r="V56" s="456"/>
      <c r="W56" s="456"/>
      <c r="X56" s="456"/>
      <c r="Y56" s="456"/>
      <c r="Z56" s="456"/>
      <c r="AA56" s="62"/>
      <c r="AB56" s="62"/>
      <c r="AC56" s="62"/>
      <c r="AD56" s="122"/>
      <c r="AE56" s="71"/>
    </row>
    <row r="57" spans="1:31" ht="29" x14ac:dyDescent="0.35">
      <c r="A57" s="551"/>
      <c r="B57" s="241">
        <f>B52+10</f>
        <v>101</v>
      </c>
      <c r="C57" s="803"/>
      <c r="D57" s="3"/>
      <c r="E57" s="10"/>
      <c r="F57" s="3"/>
      <c r="G57" s="803"/>
      <c r="H57" s="3"/>
      <c r="I57" s="808"/>
      <c r="J57" s="3"/>
      <c r="K57" s="803"/>
      <c r="L57" s="3"/>
      <c r="M57" s="64" t="b">
        <v>0</v>
      </c>
      <c r="N57" t="s">
        <v>341</v>
      </c>
      <c r="O57" s="3"/>
      <c r="P57" s="3" t="s">
        <v>342</v>
      </c>
      <c r="Q57" s="3"/>
      <c r="R57" s="226"/>
      <c r="S57" s="3"/>
      <c r="T57" s="458"/>
      <c r="U57" s="124"/>
      <c r="V57" s="130"/>
      <c r="W57" s="131"/>
      <c r="X57" s="131"/>
      <c r="Y57" s="131"/>
      <c r="Z57" s="131"/>
      <c r="AA57" s="3"/>
      <c r="AB57" s="45" t="b">
        <v>0</v>
      </c>
      <c r="AC57" s="9" t="s">
        <v>343</v>
      </c>
      <c r="AD57" s="130" t="s">
        <v>135</v>
      </c>
      <c r="AE57" s="66"/>
    </row>
    <row r="58" spans="1:31" ht="29" x14ac:dyDescent="0.35">
      <c r="A58" s="551"/>
      <c r="B58" s="241">
        <f>B57+1</f>
        <v>102</v>
      </c>
      <c r="C58" s="542"/>
      <c r="G58" s="542"/>
      <c r="I58" s="809"/>
      <c r="K58" s="542"/>
      <c r="M58" s="275" t="b">
        <v>0</v>
      </c>
      <c r="N58" s="25" t="s">
        <v>344</v>
      </c>
      <c r="O58" s="25"/>
      <c r="P58" s="25" t="s">
        <v>345</v>
      </c>
      <c r="T58" s="458"/>
      <c r="U58" s="125"/>
      <c r="V58" s="130"/>
      <c r="W58" s="451"/>
      <c r="X58" s="131"/>
      <c r="Y58" s="451"/>
      <c r="Z58" s="131"/>
      <c r="AB58" s="45" t="b">
        <v>0</v>
      </c>
      <c r="AC58" s="9" t="s">
        <v>346</v>
      </c>
      <c r="AD58" s="131"/>
      <c r="AE58" s="101"/>
    </row>
    <row r="59" spans="1:31" ht="15" thickBot="1" x14ac:dyDescent="0.4">
      <c r="A59" s="551"/>
      <c r="B59" s="241">
        <f>B58+1</f>
        <v>103</v>
      </c>
      <c r="C59" s="543"/>
      <c r="G59" s="542"/>
      <c r="K59" s="542"/>
      <c r="M59" s="64" t="b">
        <v>0</v>
      </c>
      <c r="N59" t="s">
        <v>347</v>
      </c>
      <c r="P59" t="s">
        <v>348</v>
      </c>
      <c r="T59" s="458"/>
      <c r="U59" s="125"/>
      <c r="V59" s="130"/>
      <c r="W59" s="451"/>
      <c r="X59" s="131"/>
      <c r="Y59" s="451"/>
      <c r="Z59" s="131"/>
      <c r="AD59" s="127"/>
      <c r="AE59" s="66"/>
    </row>
    <row r="60" spans="1:31" ht="5.15" customHeight="1" thickBot="1" x14ac:dyDescent="0.4">
      <c r="A60" s="111"/>
      <c r="B60" s="112"/>
      <c r="C60" s="123"/>
      <c r="D60" s="112"/>
      <c r="E60" s="112"/>
      <c r="F60" s="112"/>
      <c r="G60" s="123"/>
      <c r="H60" s="112"/>
      <c r="I60" s="112"/>
      <c r="J60" s="112"/>
      <c r="K60" s="123"/>
      <c r="L60" s="112"/>
      <c r="M60" s="112"/>
      <c r="N60" s="112"/>
      <c r="O60" s="112"/>
      <c r="P60" s="112"/>
      <c r="Q60" s="112"/>
      <c r="R60" s="268"/>
      <c r="S60" s="112"/>
      <c r="T60" s="457"/>
      <c r="U60" s="123"/>
      <c r="V60" s="457"/>
      <c r="W60" s="457"/>
      <c r="X60" s="457"/>
      <c r="Y60" s="457"/>
      <c r="Z60" s="457"/>
      <c r="AA60" s="112"/>
      <c r="AB60" s="112"/>
      <c r="AC60" s="112"/>
      <c r="AD60" s="123"/>
      <c r="AE60" s="113"/>
    </row>
    <row r="61" spans="1:31" ht="3.75" customHeight="1" x14ac:dyDescent="0.35">
      <c r="A61" s="550">
        <f>A56+1</f>
        <v>11</v>
      </c>
      <c r="B61" s="240">
        <f>B56+10</f>
        <v>110</v>
      </c>
      <c r="C61" s="122"/>
      <c r="D61" s="62"/>
      <c r="E61" s="62"/>
      <c r="F61" s="62"/>
      <c r="G61" s="122"/>
      <c r="H61" s="62"/>
      <c r="I61" s="62"/>
      <c r="J61" s="62"/>
      <c r="K61" s="122"/>
      <c r="L61" s="62"/>
      <c r="M61" s="62"/>
      <c r="N61" s="62"/>
      <c r="O61" s="62"/>
      <c r="P61" s="62"/>
      <c r="Q61" s="62"/>
      <c r="R61" s="235"/>
      <c r="S61" s="62"/>
      <c r="T61" s="456"/>
      <c r="U61" s="122"/>
      <c r="V61" s="456"/>
      <c r="W61" s="456"/>
      <c r="X61" s="456"/>
      <c r="Y61" s="456"/>
      <c r="Z61" s="456"/>
      <c r="AA61" s="62"/>
      <c r="AB61" s="62"/>
      <c r="AC61" s="62"/>
      <c r="AD61" s="122"/>
      <c r="AE61" s="71"/>
    </row>
    <row r="62" spans="1:31" ht="29" x14ac:dyDescent="0.35">
      <c r="A62" s="551"/>
      <c r="B62" s="241">
        <f>B57+10</f>
        <v>111</v>
      </c>
      <c r="C62" s="803"/>
      <c r="D62" s="3"/>
      <c r="E62" s="10"/>
      <c r="F62" s="3"/>
      <c r="G62" s="803"/>
      <c r="H62" s="3"/>
      <c r="I62" s="808"/>
      <c r="J62" s="3"/>
      <c r="K62" s="803"/>
      <c r="L62" s="3"/>
      <c r="M62" s="64" t="b">
        <v>0</v>
      </c>
      <c r="N62" t="s">
        <v>341</v>
      </c>
      <c r="O62" s="3"/>
      <c r="P62" s="3" t="s">
        <v>342</v>
      </c>
      <c r="Q62" s="3"/>
      <c r="R62" s="226"/>
      <c r="S62" s="3"/>
      <c r="T62" s="458"/>
      <c r="U62" s="124"/>
      <c r="V62" s="130"/>
      <c r="W62" s="131"/>
      <c r="X62" s="131"/>
      <c r="Y62" s="131"/>
      <c r="Z62" s="131"/>
      <c r="AA62" s="3"/>
      <c r="AB62" s="45" t="b">
        <v>0</v>
      </c>
      <c r="AC62" s="9" t="s">
        <v>343</v>
      </c>
      <c r="AD62" s="130" t="s">
        <v>135</v>
      </c>
      <c r="AE62" s="66"/>
    </row>
    <row r="63" spans="1:31" ht="29" x14ac:dyDescent="0.35">
      <c r="A63" s="551"/>
      <c r="B63" s="241">
        <f>B62+1</f>
        <v>112</v>
      </c>
      <c r="C63" s="542"/>
      <c r="G63" s="542"/>
      <c r="I63" s="809"/>
      <c r="K63" s="542"/>
      <c r="M63" s="275" t="b">
        <v>0</v>
      </c>
      <c r="N63" s="25" t="s">
        <v>344</v>
      </c>
      <c r="O63" s="25"/>
      <c r="P63" s="25" t="s">
        <v>345</v>
      </c>
      <c r="T63" s="458"/>
      <c r="U63" s="125"/>
      <c r="V63" s="130"/>
      <c r="W63" s="451"/>
      <c r="X63" s="131"/>
      <c r="Y63" s="451"/>
      <c r="Z63" s="131"/>
      <c r="AB63" s="45" t="b">
        <v>0</v>
      </c>
      <c r="AC63" s="9" t="s">
        <v>346</v>
      </c>
      <c r="AD63" s="131"/>
      <c r="AE63" s="101"/>
    </row>
    <row r="64" spans="1:31" ht="15" thickBot="1" x14ac:dyDescent="0.4">
      <c r="A64" s="551"/>
      <c r="B64" s="241">
        <f>B63+1</f>
        <v>113</v>
      </c>
      <c r="C64" s="543"/>
      <c r="G64" s="542"/>
      <c r="K64" s="542"/>
      <c r="M64" s="64" t="b">
        <v>0</v>
      </c>
      <c r="N64" t="s">
        <v>347</v>
      </c>
      <c r="P64" t="s">
        <v>348</v>
      </c>
      <c r="T64" s="458"/>
      <c r="U64" s="125"/>
      <c r="V64" s="130"/>
      <c r="W64" s="451"/>
      <c r="X64" s="131"/>
      <c r="Y64" s="451"/>
      <c r="Z64" s="131"/>
      <c r="AD64" s="127"/>
      <c r="AE64" s="66"/>
    </row>
    <row r="65" spans="1:31" ht="5.15" customHeight="1" thickBot="1" x14ac:dyDescent="0.4">
      <c r="A65" s="111"/>
      <c r="B65" s="112"/>
      <c r="C65" s="123"/>
      <c r="D65" s="112"/>
      <c r="E65" s="112"/>
      <c r="F65" s="112"/>
      <c r="G65" s="123"/>
      <c r="H65" s="112"/>
      <c r="I65" s="112"/>
      <c r="J65" s="112"/>
      <c r="K65" s="123"/>
      <c r="L65" s="112"/>
      <c r="M65" s="112"/>
      <c r="N65" s="112"/>
      <c r="O65" s="112"/>
      <c r="P65" s="112"/>
      <c r="Q65" s="112"/>
      <c r="R65" s="268"/>
      <c r="S65" s="112"/>
      <c r="T65" s="457"/>
      <c r="U65" s="123"/>
      <c r="V65" s="457"/>
      <c r="W65" s="457"/>
      <c r="X65" s="457"/>
      <c r="Y65" s="457"/>
      <c r="Z65" s="457"/>
      <c r="AA65" s="112"/>
      <c r="AB65" s="112"/>
      <c r="AC65" s="112"/>
      <c r="AD65" s="123"/>
      <c r="AE65" s="113"/>
    </row>
    <row r="66" spans="1:31" ht="3.75" customHeight="1" x14ac:dyDescent="0.35">
      <c r="A66" s="550">
        <f>A61+1</f>
        <v>12</v>
      </c>
      <c r="B66" s="240">
        <f>B61+10</f>
        <v>120</v>
      </c>
      <c r="C66" s="122"/>
      <c r="D66" s="62"/>
      <c r="E66" s="62"/>
      <c r="F66" s="62"/>
      <c r="G66" s="122"/>
      <c r="H66" s="62"/>
      <c r="I66" s="62"/>
      <c r="J66" s="62"/>
      <c r="K66" s="122"/>
      <c r="L66" s="62"/>
      <c r="M66" s="62"/>
      <c r="N66" s="62"/>
      <c r="O66" s="62"/>
      <c r="P66" s="62"/>
      <c r="Q66" s="62"/>
      <c r="R66" s="235"/>
      <c r="S66" s="62"/>
      <c r="T66" s="456"/>
      <c r="U66" s="122"/>
      <c r="V66" s="456"/>
      <c r="W66" s="456"/>
      <c r="X66" s="456"/>
      <c r="Y66" s="456"/>
      <c r="Z66" s="456"/>
      <c r="AA66" s="62"/>
      <c r="AB66" s="62"/>
      <c r="AC66" s="62"/>
      <c r="AD66" s="122"/>
      <c r="AE66" s="71"/>
    </row>
    <row r="67" spans="1:31" ht="29" x14ac:dyDescent="0.35">
      <c r="A67" s="551"/>
      <c r="B67" s="241">
        <f>B62+10</f>
        <v>121</v>
      </c>
      <c r="C67" s="803"/>
      <c r="D67" s="3"/>
      <c r="E67" s="10"/>
      <c r="F67" s="3"/>
      <c r="G67" s="803"/>
      <c r="H67" s="3"/>
      <c r="I67" s="808"/>
      <c r="J67" s="3"/>
      <c r="K67" s="803"/>
      <c r="L67" s="3"/>
      <c r="M67" s="64" t="b">
        <v>0</v>
      </c>
      <c r="N67" t="s">
        <v>341</v>
      </c>
      <c r="O67" s="3"/>
      <c r="P67" s="3" t="s">
        <v>342</v>
      </c>
      <c r="Q67" s="3"/>
      <c r="R67" s="226"/>
      <c r="S67" s="3"/>
      <c r="T67" s="458"/>
      <c r="U67" s="124"/>
      <c r="V67" s="130"/>
      <c r="W67" s="131"/>
      <c r="X67" s="131"/>
      <c r="Y67" s="131"/>
      <c r="Z67" s="131"/>
      <c r="AA67" s="3"/>
      <c r="AB67" s="45" t="b">
        <v>0</v>
      </c>
      <c r="AC67" s="9" t="s">
        <v>343</v>
      </c>
      <c r="AD67" s="130" t="s">
        <v>135</v>
      </c>
      <c r="AE67" s="66"/>
    </row>
    <row r="68" spans="1:31" ht="29" x14ac:dyDescent="0.35">
      <c r="A68" s="551"/>
      <c r="B68" s="241">
        <f>B67+1</f>
        <v>122</v>
      </c>
      <c r="C68" s="542"/>
      <c r="G68" s="542"/>
      <c r="I68" s="809"/>
      <c r="K68" s="542"/>
      <c r="M68" s="275" t="b">
        <v>0</v>
      </c>
      <c r="N68" s="25" t="s">
        <v>344</v>
      </c>
      <c r="O68" s="25"/>
      <c r="P68" s="25" t="s">
        <v>345</v>
      </c>
      <c r="T68" s="458"/>
      <c r="U68" s="125"/>
      <c r="V68" s="130"/>
      <c r="W68" s="451"/>
      <c r="X68" s="131"/>
      <c r="Y68" s="451"/>
      <c r="Z68" s="131"/>
      <c r="AB68" s="45" t="b">
        <v>0</v>
      </c>
      <c r="AC68" s="9" t="s">
        <v>346</v>
      </c>
      <c r="AD68" s="131"/>
      <c r="AE68" s="101"/>
    </row>
    <row r="69" spans="1:31" ht="15" thickBot="1" x14ac:dyDescent="0.4">
      <c r="A69" s="551"/>
      <c r="B69" s="241">
        <f>B68+1</f>
        <v>123</v>
      </c>
      <c r="C69" s="543"/>
      <c r="G69" s="542"/>
      <c r="K69" s="542"/>
      <c r="M69" s="64" t="b">
        <v>0</v>
      </c>
      <c r="N69" t="s">
        <v>347</v>
      </c>
      <c r="P69" t="s">
        <v>348</v>
      </c>
      <c r="T69" s="458"/>
      <c r="U69" s="125"/>
      <c r="V69" s="130"/>
      <c r="W69" s="451"/>
      <c r="X69" s="131"/>
      <c r="Y69" s="451"/>
      <c r="Z69" s="131"/>
      <c r="AD69" s="127"/>
      <c r="AE69" s="66"/>
    </row>
    <row r="70" spans="1:31" ht="5.15" customHeight="1" thickBot="1" x14ac:dyDescent="0.4">
      <c r="A70" s="111"/>
      <c r="B70" s="112"/>
      <c r="C70" s="123"/>
      <c r="D70" s="112"/>
      <c r="E70" s="112"/>
      <c r="F70" s="112"/>
      <c r="G70" s="123"/>
      <c r="H70" s="112"/>
      <c r="I70" s="112"/>
      <c r="J70" s="112"/>
      <c r="K70" s="123"/>
      <c r="L70" s="112"/>
      <c r="M70" s="112"/>
      <c r="N70" s="112"/>
      <c r="O70" s="112"/>
      <c r="P70" s="112"/>
      <c r="Q70" s="112"/>
      <c r="R70" s="268"/>
      <c r="S70" s="112"/>
      <c r="T70" s="457"/>
      <c r="U70" s="123"/>
      <c r="V70" s="457"/>
      <c r="W70" s="457"/>
      <c r="X70" s="457"/>
      <c r="Y70" s="457"/>
      <c r="Z70" s="457"/>
      <c r="AA70" s="112"/>
      <c r="AB70" s="112"/>
      <c r="AC70" s="112"/>
      <c r="AD70" s="123"/>
      <c r="AE70" s="113"/>
    </row>
    <row r="71" spans="1:31" ht="3.75" customHeight="1" x14ac:dyDescent="0.35">
      <c r="A71" s="550">
        <f>A66+1</f>
        <v>13</v>
      </c>
      <c r="B71" s="240">
        <f>B66+10</f>
        <v>130</v>
      </c>
      <c r="C71" s="122"/>
      <c r="D71" s="62"/>
      <c r="E71" s="62"/>
      <c r="F71" s="62"/>
      <c r="G71" s="122"/>
      <c r="H71" s="62"/>
      <c r="I71" s="62"/>
      <c r="J71" s="62"/>
      <c r="K71" s="122"/>
      <c r="L71" s="62"/>
      <c r="M71" s="62"/>
      <c r="N71" s="62"/>
      <c r="O71" s="62"/>
      <c r="P71" s="62"/>
      <c r="Q71" s="62"/>
      <c r="R71" s="235"/>
      <c r="S71" s="62"/>
      <c r="T71" s="456"/>
      <c r="U71" s="122"/>
      <c r="V71" s="456"/>
      <c r="W71" s="456"/>
      <c r="X71" s="456"/>
      <c r="Y71" s="456"/>
      <c r="Z71" s="456"/>
      <c r="AA71" s="62"/>
      <c r="AB71" s="62"/>
      <c r="AC71" s="62"/>
      <c r="AD71" s="122"/>
      <c r="AE71" s="71"/>
    </row>
    <row r="72" spans="1:31" ht="29" x14ac:dyDescent="0.35">
      <c r="A72" s="551"/>
      <c r="B72" s="241">
        <f>B67+10</f>
        <v>131</v>
      </c>
      <c r="C72" s="803"/>
      <c r="D72" s="3"/>
      <c r="E72" s="10"/>
      <c r="F72" s="3"/>
      <c r="G72" s="803"/>
      <c r="H72" s="3"/>
      <c r="I72" s="808"/>
      <c r="J72" s="3"/>
      <c r="K72" s="803"/>
      <c r="L72" s="3"/>
      <c r="M72" s="64" t="b">
        <v>0</v>
      </c>
      <c r="N72" t="s">
        <v>341</v>
      </c>
      <c r="O72" s="3"/>
      <c r="P72" s="3" t="s">
        <v>342</v>
      </c>
      <c r="Q72" s="3"/>
      <c r="R72" s="226"/>
      <c r="S72" s="3"/>
      <c r="T72" s="458"/>
      <c r="U72" s="124"/>
      <c r="V72" s="130"/>
      <c r="W72" s="131"/>
      <c r="X72" s="131"/>
      <c r="Y72" s="131"/>
      <c r="Z72" s="131"/>
      <c r="AA72" s="3"/>
      <c r="AB72" s="45" t="b">
        <v>0</v>
      </c>
      <c r="AC72" s="9" t="s">
        <v>343</v>
      </c>
      <c r="AD72" s="130" t="s">
        <v>135</v>
      </c>
      <c r="AE72" s="66"/>
    </row>
    <row r="73" spans="1:31" ht="29" x14ac:dyDescent="0.35">
      <c r="A73" s="551"/>
      <c r="B73" s="241">
        <f>B72+1</f>
        <v>132</v>
      </c>
      <c r="C73" s="542"/>
      <c r="G73" s="542"/>
      <c r="I73" s="809"/>
      <c r="K73" s="542"/>
      <c r="M73" s="275" t="b">
        <v>0</v>
      </c>
      <c r="N73" s="25" t="s">
        <v>344</v>
      </c>
      <c r="O73" s="25"/>
      <c r="P73" s="25" t="s">
        <v>345</v>
      </c>
      <c r="T73" s="458"/>
      <c r="U73" s="125"/>
      <c r="V73" s="130"/>
      <c r="W73" s="451"/>
      <c r="X73" s="131"/>
      <c r="Y73" s="451"/>
      <c r="Z73" s="131"/>
      <c r="AB73" s="45" t="b">
        <v>0</v>
      </c>
      <c r="AC73" s="9" t="s">
        <v>346</v>
      </c>
      <c r="AD73" s="131"/>
      <c r="AE73" s="101"/>
    </row>
    <row r="74" spans="1:31" ht="15" thickBot="1" x14ac:dyDescent="0.4">
      <c r="A74" s="551"/>
      <c r="B74" s="241">
        <f>B73+1</f>
        <v>133</v>
      </c>
      <c r="C74" s="543"/>
      <c r="G74" s="542"/>
      <c r="K74" s="542"/>
      <c r="M74" s="64" t="b">
        <v>0</v>
      </c>
      <c r="N74" t="s">
        <v>347</v>
      </c>
      <c r="P74" t="s">
        <v>348</v>
      </c>
      <c r="T74" s="458"/>
      <c r="U74" s="125"/>
      <c r="V74" s="130"/>
      <c r="W74" s="451"/>
      <c r="X74" s="131"/>
      <c r="Y74" s="451"/>
      <c r="Z74" s="131"/>
      <c r="AD74" s="127"/>
      <c r="AE74" s="66"/>
    </row>
    <row r="75" spans="1:31" ht="5.15" customHeight="1" thickBot="1" x14ac:dyDescent="0.4">
      <c r="A75" s="111"/>
      <c r="B75" s="112"/>
      <c r="C75" s="123"/>
      <c r="D75" s="112"/>
      <c r="E75" s="112"/>
      <c r="F75" s="112"/>
      <c r="G75" s="123"/>
      <c r="H75" s="112"/>
      <c r="I75" s="112"/>
      <c r="J75" s="112"/>
      <c r="K75" s="123"/>
      <c r="L75" s="112"/>
      <c r="M75" s="112"/>
      <c r="N75" s="112"/>
      <c r="O75" s="112"/>
      <c r="P75" s="112"/>
      <c r="Q75" s="112"/>
      <c r="R75" s="268"/>
      <c r="S75" s="112"/>
      <c r="T75" s="457"/>
      <c r="U75" s="123"/>
      <c r="V75" s="457"/>
      <c r="W75" s="457"/>
      <c r="X75" s="457"/>
      <c r="Y75" s="457"/>
      <c r="Z75" s="457"/>
      <c r="AA75" s="112"/>
      <c r="AB75" s="112"/>
      <c r="AC75" s="112"/>
      <c r="AD75" s="123"/>
      <c r="AE75" s="113"/>
    </row>
    <row r="76" spans="1:31" ht="3.75" customHeight="1" x14ac:dyDescent="0.35">
      <c r="A76" s="550">
        <f>A71+1</f>
        <v>14</v>
      </c>
      <c r="B76" s="240">
        <f>B71+10</f>
        <v>140</v>
      </c>
      <c r="C76" s="122"/>
      <c r="D76" s="62"/>
      <c r="E76" s="62"/>
      <c r="F76" s="62"/>
      <c r="G76" s="122"/>
      <c r="H76" s="62"/>
      <c r="I76" s="62"/>
      <c r="J76" s="62"/>
      <c r="K76" s="122"/>
      <c r="L76" s="62"/>
      <c r="M76" s="62"/>
      <c r="N76" s="62"/>
      <c r="O76" s="62"/>
      <c r="P76" s="62"/>
      <c r="Q76" s="62"/>
      <c r="R76" s="235"/>
      <c r="S76" s="62"/>
      <c r="T76" s="456"/>
      <c r="U76" s="122"/>
      <c r="V76" s="456"/>
      <c r="W76" s="456"/>
      <c r="X76" s="456"/>
      <c r="Y76" s="456"/>
      <c r="Z76" s="456"/>
      <c r="AA76" s="62"/>
      <c r="AB76" s="62"/>
      <c r="AC76" s="62"/>
      <c r="AD76" s="122"/>
      <c r="AE76" s="71"/>
    </row>
    <row r="77" spans="1:31" ht="29" x14ac:dyDescent="0.35">
      <c r="A77" s="551"/>
      <c r="B77" s="241">
        <f>B72+10</f>
        <v>141</v>
      </c>
      <c r="C77" s="803"/>
      <c r="D77" s="3"/>
      <c r="E77" s="10"/>
      <c r="F77" s="3"/>
      <c r="G77" s="803"/>
      <c r="H77" s="3"/>
      <c r="I77" s="808"/>
      <c r="J77" s="3"/>
      <c r="K77" s="803"/>
      <c r="L77" s="3"/>
      <c r="M77" s="64" t="b">
        <v>0</v>
      </c>
      <c r="N77" t="s">
        <v>341</v>
      </c>
      <c r="O77" s="3"/>
      <c r="P77" s="3" t="s">
        <v>342</v>
      </c>
      <c r="Q77" s="3"/>
      <c r="R77" s="226"/>
      <c r="S77" s="3"/>
      <c r="T77" s="458"/>
      <c r="U77" s="124"/>
      <c r="V77" s="130"/>
      <c r="W77" s="131"/>
      <c r="X77" s="131"/>
      <c r="Y77" s="131"/>
      <c r="Z77" s="131"/>
      <c r="AA77" s="3"/>
      <c r="AB77" s="45" t="b">
        <v>0</v>
      </c>
      <c r="AC77" s="9" t="s">
        <v>343</v>
      </c>
      <c r="AD77" s="130" t="s">
        <v>135</v>
      </c>
      <c r="AE77" s="66"/>
    </row>
    <row r="78" spans="1:31" ht="29" x14ac:dyDescent="0.35">
      <c r="A78" s="551"/>
      <c r="B78" s="241">
        <f>B77+1</f>
        <v>142</v>
      </c>
      <c r="C78" s="542"/>
      <c r="G78" s="542"/>
      <c r="I78" s="809"/>
      <c r="K78" s="542"/>
      <c r="M78" s="275" t="b">
        <v>0</v>
      </c>
      <c r="N78" s="25" t="s">
        <v>344</v>
      </c>
      <c r="O78" s="25"/>
      <c r="P78" s="25" t="s">
        <v>345</v>
      </c>
      <c r="T78" s="458"/>
      <c r="U78" s="125"/>
      <c r="V78" s="130"/>
      <c r="W78" s="451"/>
      <c r="X78" s="131"/>
      <c r="Y78" s="451"/>
      <c r="Z78" s="131"/>
      <c r="AB78" s="45" t="b">
        <v>0</v>
      </c>
      <c r="AC78" s="9" t="s">
        <v>346</v>
      </c>
      <c r="AD78" s="131"/>
      <c r="AE78" s="101"/>
    </row>
    <row r="79" spans="1:31" ht="15" thickBot="1" x14ac:dyDescent="0.4">
      <c r="A79" s="551"/>
      <c r="B79" s="241">
        <f>B78+1</f>
        <v>143</v>
      </c>
      <c r="C79" s="543"/>
      <c r="G79" s="542"/>
      <c r="K79" s="542"/>
      <c r="M79" s="64" t="b">
        <v>0</v>
      </c>
      <c r="N79" t="s">
        <v>347</v>
      </c>
      <c r="P79" t="s">
        <v>348</v>
      </c>
      <c r="T79" s="458"/>
      <c r="U79" s="125"/>
      <c r="V79" s="130"/>
      <c r="W79" s="451"/>
      <c r="X79" s="131"/>
      <c r="Y79" s="451"/>
      <c r="Z79" s="131"/>
      <c r="AD79" s="127"/>
      <c r="AE79" s="66"/>
    </row>
    <row r="80" spans="1:31" ht="5.15" customHeight="1" thickBot="1" x14ac:dyDescent="0.4">
      <c r="A80" s="111"/>
      <c r="B80" s="112"/>
      <c r="C80" s="123"/>
      <c r="D80" s="112"/>
      <c r="E80" s="112"/>
      <c r="F80" s="112"/>
      <c r="G80" s="123"/>
      <c r="H80" s="112"/>
      <c r="I80" s="112"/>
      <c r="J80" s="112"/>
      <c r="K80" s="123"/>
      <c r="L80" s="112"/>
      <c r="M80" s="112"/>
      <c r="N80" s="112"/>
      <c r="O80" s="112"/>
      <c r="P80" s="112"/>
      <c r="Q80" s="112"/>
      <c r="R80" s="268"/>
      <c r="S80" s="112"/>
      <c r="T80" s="457"/>
      <c r="U80" s="123"/>
      <c r="V80" s="457"/>
      <c r="W80" s="457"/>
      <c r="X80" s="457"/>
      <c r="Y80" s="457"/>
      <c r="Z80" s="457"/>
      <c r="AA80" s="112"/>
      <c r="AB80" s="112"/>
      <c r="AC80" s="112"/>
      <c r="AD80" s="123"/>
      <c r="AE80" s="113"/>
    </row>
    <row r="81" spans="1:31" ht="3.75" customHeight="1" x14ac:dyDescent="0.35">
      <c r="A81" s="550">
        <f>A76+1</f>
        <v>15</v>
      </c>
      <c r="B81" s="240">
        <f>B76+10</f>
        <v>150</v>
      </c>
      <c r="C81" s="122"/>
      <c r="D81" s="62"/>
      <c r="E81" s="62"/>
      <c r="F81" s="62"/>
      <c r="G81" s="122"/>
      <c r="H81" s="62"/>
      <c r="I81" s="62"/>
      <c r="J81" s="62"/>
      <c r="K81" s="122"/>
      <c r="L81" s="62"/>
      <c r="M81" s="62"/>
      <c r="N81" s="62"/>
      <c r="O81" s="62"/>
      <c r="P81" s="62"/>
      <c r="Q81" s="62"/>
      <c r="R81" s="235"/>
      <c r="S81" s="62"/>
      <c r="T81" s="456"/>
      <c r="U81" s="122"/>
      <c r="V81" s="456"/>
      <c r="W81" s="456"/>
      <c r="X81" s="456"/>
      <c r="Y81" s="456"/>
      <c r="Z81" s="456"/>
      <c r="AA81" s="62"/>
      <c r="AB81" s="62"/>
      <c r="AC81" s="62"/>
      <c r="AD81" s="122"/>
      <c r="AE81" s="71"/>
    </row>
    <row r="82" spans="1:31" ht="29" x14ac:dyDescent="0.35">
      <c r="A82" s="551"/>
      <c r="B82" s="241">
        <f>B77+10</f>
        <v>151</v>
      </c>
      <c r="C82" s="803"/>
      <c r="D82" s="3"/>
      <c r="E82" s="10"/>
      <c r="F82" s="3"/>
      <c r="G82" s="803"/>
      <c r="H82" s="3"/>
      <c r="I82" s="808"/>
      <c r="J82" s="3"/>
      <c r="K82" s="803"/>
      <c r="L82" s="3"/>
      <c r="M82" s="64" t="b">
        <v>0</v>
      </c>
      <c r="N82" t="s">
        <v>341</v>
      </c>
      <c r="O82" s="3"/>
      <c r="P82" s="3" t="s">
        <v>342</v>
      </c>
      <c r="Q82" s="3"/>
      <c r="R82" s="226"/>
      <c r="S82" s="3"/>
      <c r="T82" s="458"/>
      <c r="U82" s="124"/>
      <c r="V82" s="130"/>
      <c r="W82" s="131"/>
      <c r="X82" s="131"/>
      <c r="Y82" s="131"/>
      <c r="Z82" s="131"/>
      <c r="AA82" s="3"/>
      <c r="AB82" s="45" t="b">
        <v>0</v>
      </c>
      <c r="AC82" s="9" t="s">
        <v>343</v>
      </c>
      <c r="AD82" s="130" t="s">
        <v>135</v>
      </c>
      <c r="AE82" s="66"/>
    </row>
    <row r="83" spans="1:31" ht="29" x14ac:dyDescent="0.35">
      <c r="A83" s="551"/>
      <c r="B83" s="241">
        <f>B82+1</f>
        <v>152</v>
      </c>
      <c r="C83" s="542"/>
      <c r="G83" s="542"/>
      <c r="I83" s="809"/>
      <c r="K83" s="542"/>
      <c r="M83" s="275" t="b">
        <v>0</v>
      </c>
      <c r="N83" s="25" t="s">
        <v>344</v>
      </c>
      <c r="O83" s="25"/>
      <c r="P83" s="25" t="s">
        <v>345</v>
      </c>
      <c r="T83" s="458"/>
      <c r="U83" s="125"/>
      <c r="V83" s="130"/>
      <c r="W83" s="451"/>
      <c r="X83" s="131"/>
      <c r="Y83" s="451"/>
      <c r="Z83" s="131"/>
      <c r="AB83" s="45" t="b">
        <v>0</v>
      </c>
      <c r="AC83" s="9" t="s">
        <v>346</v>
      </c>
      <c r="AD83" s="131"/>
      <c r="AE83" s="101"/>
    </row>
    <row r="84" spans="1:31" ht="15" thickBot="1" x14ac:dyDescent="0.4">
      <c r="A84" s="551"/>
      <c r="B84" s="241">
        <f>B83+1</f>
        <v>153</v>
      </c>
      <c r="C84" s="543"/>
      <c r="G84" s="542"/>
      <c r="K84" s="542"/>
      <c r="M84" s="64" t="b">
        <v>0</v>
      </c>
      <c r="N84" t="s">
        <v>347</v>
      </c>
      <c r="P84" t="s">
        <v>348</v>
      </c>
      <c r="T84" s="458"/>
      <c r="U84" s="125"/>
      <c r="V84" s="130"/>
      <c r="W84" s="451"/>
      <c r="X84" s="131"/>
      <c r="Y84" s="451"/>
      <c r="Z84" s="131"/>
      <c r="AD84" s="127"/>
      <c r="AE84" s="66"/>
    </row>
    <row r="85" spans="1:31" ht="5.15" customHeight="1" thickBot="1" x14ac:dyDescent="0.4">
      <c r="A85" s="111"/>
      <c r="B85" s="112"/>
      <c r="C85" s="123"/>
      <c r="D85" s="112"/>
      <c r="E85" s="112"/>
      <c r="F85" s="112"/>
      <c r="G85" s="123"/>
      <c r="H85" s="112"/>
      <c r="I85" s="112"/>
      <c r="J85" s="112"/>
      <c r="K85" s="123"/>
      <c r="L85" s="112"/>
      <c r="M85" s="112"/>
      <c r="N85" s="112"/>
      <c r="O85" s="112"/>
      <c r="P85" s="112"/>
      <c r="Q85" s="112"/>
      <c r="R85" s="268"/>
      <c r="S85" s="112"/>
      <c r="T85" s="457"/>
      <c r="U85" s="123"/>
      <c r="V85" s="457"/>
      <c r="W85" s="457"/>
      <c r="X85" s="457"/>
      <c r="Y85" s="457"/>
      <c r="Z85" s="457"/>
      <c r="AA85" s="112"/>
      <c r="AB85" s="112"/>
      <c r="AC85" s="112"/>
      <c r="AD85" s="123"/>
      <c r="AE85" s="113"/>
    </row>
    <row r="86" spans="1:31" ht="3.75" customHeight="1" x14ac:dyDescent="0.35">
      <c r="A86" s="550">
        <f>A81+1</f>
        <v>16</v>
      </c>
      <c r="B86" s="240">
        <f>B81+10</f>
        <v>160</v>
      </c>
      <c r="C86" s="122"/>
      <c r="D86" s="62"/>
      <c r="E86" s="62"/>
      <c r="F86" s="62"/>
      <c r="G86" s="122"/>
      <c r="H86" s="62"/>
      <c r="I86" s="62"/>
      <c r="J86" s="62"/>
      <c r="K86" s="122"/>
      <c r="L86" s="62"/>
      <c r="M86" s="62"/>
      <c r="N86" s="62"/>
      <c r="O86" s="62"/>
      <c r="P86" s="62"/>
      <c r="Q86" s="62"/>
      <c r="R86" s="235"/>
      <c r="S86" s="62"/>
      <c r="T86" s="456"/>
      <c r="U86" s="122"/>
      <c r="V86" s="456"/>
      <c r="W86" s="456"/>
      <c r="X86" s="456"/>
      <c r="Y86" s="456"/>
      <c r="Z86" s="456"/>
      <c r="AA86" s="62"/>
      <c r="AB86" s="62"/>
      <c r="AC86" s="62"/>
      <c r="AD86" s="122"/>
      <c r="AE86" s="71"/>
    </row>
    <row r="87" spans="1:31" ht="29" x14ac:dyDescent="0.35">
      <c r="A87" s="551"/>
      <c r="B87" s="241">
        <f>B82+10</f>
        <v>161</v>
      </c>
      <c r="C87" s="803"/>
      <c r="D87" s="3"/>
      <c r="E87" s="10"/>
      <c r="F87" s="3"/>
      <c r="G87" s="803"/>
      <c r="H87" s="3"/>
      <c r="I87" s="808"/>
      <c r="J87" s="3"/>
      <c r="K87" s="803"/>
      <c r="L87" s="3"/>
      <c r="M87" s="64" t="b">
        <v>0</v>
      </c>
      <c r="N87" t="s">
        <v>341</v>
      </c>
      <c r="O87" s="3"/>
      <c r="P87" s="3" t="s">
        <v>342</v>
      </c>
      <c r="Q87" s="3"/>
      <c r="R87" s="226"/>
      <c r="S87" s="3"/>
      <c r="T87" s="458"/>
      <c r="U87" s="124"/>
      <c r="V87" s="130"/>
      <c r="W87" s="131"/>
      <c r="X87" s="131"/>
      <c r="Y87" s="131"/>
      <c r="Z87" s="131"/>
      <c r="AA87" s="3"/>
      <c r="AB87" s="45" t="b">
        <v>0</v>
      </c>
      <c r="AC87" s="9" t="s">
        <v>343</v>
      </c>
      <c r="AD87" s="130" t="s">
        <v>135</v>
      </c>
      <c r="AE87" s="66"/>
    </row>
    <row r="88" spans="1:31" ht="29" x14ac:dyDescent="0.35">
      <c r="A88" s="551"/>
      <c r="B88" s="241">
        <f>B87+1</f>
        <v>162</v>
      </c>
      <c r="C88" s="542"/>
      <c r="G88" s="542"/>
      <c r="I88" s="809"/>
      <c r="K88" s="542"/>
      <c r="M88" s="275" t="b">
        <v>0</v>
      </c>
      <c r="N88" s="25" t="s">
        <v>344</v>
      </c>
      <c r="O88" s="25"/>
      <c r="P88" s="25" t="s">
        <v>345</v>
      </c>
      <c r="T88" s="458"/>
      <c r="U88" s="125"/>
      <c r="V88" s="130"/>
      <c r="W88" s="451"/>
      <c r="X88" s="131"/>
      <c r="Y88" s="451"/>
      <c r="Z88" s="131"/>
      <c r="AB88" s="45" t="b">
        <v>0</v>
      </c>
      <c r="AC88" s="9" t="s">
        <v>346</v>
      </c>
      <c r="AD88" s="131"/>
      <c r="AE88" s="101"/>
    </row>
    <row r="89" spans="1:31" ht="15" thickBot="1" x14ac:dyDescent="0.4">
      <c r="A89" s="551"/>
      <c r="B89" s="241">
        <f>B88+1</f>
        <v>163</v>
      </c>
      <c r="C89" s="543"/>
      <c r="G89" s="542"/>
      <c r="K89" s="542"/>
      <c r="M89" s="64" t="b">
        <v>0</v>
      </c>
      <c r="N89" t="s">
        <v>347</v>
      </c>
      <c r="P89" t="s">
        <v>348</v>
      </c>
      <c r="T89" s="458"/>
      <c r="U89" s="125"/>
      <c r="V89" s="130"/>
      <c r="W89" s="451"/>
      <c r="X89" s="131"/>
      <c r="Y89" s="451"/>
      <c r="Z89" s="131"/>
      <c r="AD89" s="127"/>
      <c r="AE89" s="66"/>
    </row>
    <row r="90" spans="1:31" ht="5.15" customHeight="1" thickBot="1" x14ac:dyDescent="0.4">
      <c r="A90" s="111"/>
      <c r="B90" s="112"/>
      <c r="C90" s="123"/>
      <c r="D90" s="112"/>
      <c r="E90" s="112"/>
      <c r="F90" s="112"/>
      <c r="G90" s="123"/>
      <c r="H90" s="112"/>
      <c r="I90" s="112"/>
      <c r="J90" s="112"/>
      <c r="K90" s="123"/>
      <c r="L90" s="112"/>
      <c r="M90" s="112"/>
      <c r="N90" s="112"/>
      <c r="O90" s="112"/>
      <c r="P90" s="112"/>
      <c r="Q90" s="112"/>
      <c r="R90" s="268"/>
      <c r="S90" s="112"/>
      <c r="T90" s="457"/>
      <c r="U90" s="123"/>
      <c r="V90" s="457"/>
      <c r="W90" s="457"/>
      <c r="X90" s="457"/>
      <c r="Y90" s="457"/>
      <c r="Z90" s="457"/>
      <c r="AA90" s="112"/>
      <c r="AB90" s="112"/>
      <c r="AC90" s="112"/>
      <c r="AD90" s="123"/>
      <c r="AE90" s="113"/>
    </row>
    <row r="91" spans="1:31" ht="3.75" customHeight="1" x14ac:dyDescent="0.35">
      <c r="A91" s="550">
        <f>A86+1</f>
        <v>17</v>
      </c>
      <c r="B91" s="240">
        <f>B86+10</f>
        <v>170</v>
      </c>
      <c r="C91" s="122"/>
      <c r="D91" s="62"/>
      <c r="E91" s="62"/>
      <c r="F91" s="62"/>
      <c r="G91" s="122"/>
      <c r="H91" s="62"/>
      <c r="I91" s="62"/>
      <c r="J91" s="62"/>
      <c r="K91" s="122"/>
      <c r="L91" s="62"/>
      <c r="M91" s="62"/>
      <c r="N91" s="62"/>
      <c r="O91" s="62"/>
      <c r="P91" s="62"/>
      <c r="Q91" s="62"/>
      <c r="R91" s="235"/>
      <c r="S91" s="62"/>
      <c r="T91" s="456"/>
      <c r="U91" s="122"/>
      <c r="V91" s="456"/>
      <c r="W91" s="456"/>
      <c r="X91" s="456"/>
      <c r="Y91" s="456"/>
      <c r="Z91" s="456"/>
      <c r="AA91" s="62"/>
      <c r="AB91" s="62"/>
      <c r="AC91" s="62"/>
      <c r="AD91" s="122"/>
      <c r="AE91" s="71"/>
    </row>
    <row r="92" spans="1:31" ht="29" x14ac:dyDescent="0.35">
      <c r="A92" s="551"/>
      <c r="B92" s="241">
        <f>B87+10</f>
        <v>171</v>
      </c>
      <c r="C92" s="803"/>
      <c r="D92" s="3"/>
      <c r="E92" s="10"/>
      <c r="F92" s="3"/>
      <c r="G92" s="803"/>
      <c r="H92" s="3"/>
      <c r="I92" s="808"/>
      <c r="J92" s="3"/>
      <c r="K92" s="803"/>
      <c r="L92" s="3"/>
      <c r="M92" s="64" t="b">
        <v>0</v>
      </c>
      <c r="N92" t="s">
        <v>341</v>
      </c>
      <c r="O92" s="3"/>
      <c r="P92" s="3" t="s">
        <v>342</v>
      </c>
      <c r="Q92" s="3"/>
      <c r="R92" s="226"/>
      <c r="S92" s="3"/>
      <c r="T92" s="458"/>
      <c r="U92" s="124"/>
      <c r="V92" s="130"/>
      <c r="W92" s="131"/>
      <c r="X92" s="131"/>
      <c r="Y92" s="131"/>
      <c r="Z92" s="131"/>
      <c r="AA92" s="3"/>
      <c r="AB92" s="45" t="b">
        <v>0</v>
      </c>
      <c r="AC92" s="9" t="s">
        <v>343</v>
      </c>
      <c r="AD92" s="130" t="s">
        <v>135</v>
      </c>
      <c r="AE92" s="66"/>
    </row>
    <row r="93" spans="1:31" ht="29" x14ac:dyDescent="0.35">
      <c r="A93" s="551"/>
      <c r="B93" s="241">
        <f>B92+1</f>
        <v>172</v>
      </c>
      <c r="C93" s="542"/>
      <c r="G93" s="542"/>
      <c r="I93" s="809"/>
      <c r="K93" s="542"/>
      <c r="M93" s="275" t="b">
        <v>0</v>
      </c>
      <c r="N93" s="25" t="s">
        <v>344</v>
      </c>
      <c r="O93" s="25"/>
      <c r="P93" s="25" t="s">
        <v>345</v>
      </c>
      <c r="T93" s="458"/>
      <c r="U93" s="125"/>
      <c r="V93" s="130"/>
      <c r="W93" s="451"/>
      <c r="X93" s="131"/>
      <c r="Y93" s="451"/>
      <c r="Z93" s="131"/>
      <c r="AB93" s="45" t="b">
        <v>0</v>
      </c>
      <c r="AC93" s="9" t="s">
        <v>346</v>
      </c>
      <c r="AD93" s="131"/>
      <c r="AE93" s="101"/>
    </row>
    <row r="94" spans="1:31" ht="15" thickBot="1" x14ac:dyDescent="0.4">
      <c r="A94" s="551"/>
      <c r="B94" s="241">
        <f>B93+1</f>
        <v>173</v>
      </c>
      <c r="C94" s="543"/>
      <c r="G94" s="542"/>
      <c r="K94" s="542"/>
      <c r="M94" s="64" t="b">
        <v>0</v>
      </c>
      <c r="N94" t="s">
        <v>347</v>
      </c>
      <c r="P94" t="s">
        <v>348</v>
      </c>
      <c r="T94" s="458"/>
      <c r="U94" s="125"/>
      <c r="V94" s="130"/>
      <c r="W94" s="451"/>
      <c r="X94" s="131"/>
      <c r="Y94" s="451"/>
      <c r="Z94" s="131"/>
      <c r="AD94" s="127"/>
      <c r="AE94" s="66"/>
    </row>
    <row r="95" spans="1:31" ht="5.15" customHeight="1" thickBot="1" x14ac:dyDescent="0.4">
      <c r="A95" s="111"/>
      <c r="B95" s="112"/>
      <c r="C95" s="123"/>
      <c r="D95" s="112"/>
      <c r="E95" s="112"/>
      <c r="F95" s="112"/>
      <c r="G95" s="123"/>
      <c r="H95" s="112"/>
      <c r="I95" s="112"/>
      <c r="J95" s="112"/>
      <c r="K95" s="123"/>
      <c r="L95" s="112"/>
      <c r="M95" s="112"/>
      <c r="N95" s="112"/>
      <c r="O95" s="112"/>
      <c r="P95" s="112"/>
      <c r="Q95" s="112"/>
      <c r="R95" s="268"/>
      <c r="S95" s="112"/>
      <c r="T95" s="457"/>
      <c r="U95" s="123"/>
      <c r="V95" s="457"/>
      <c r="W95" s="457"/>
      <c r="X95" s="457"/>
      <c r="Y95" s="457"/>
      <c r="Z95" s="457"/>
      <c r="AA95" s="112"/>
      <c r="AB95" s="112"/>
      <c r="AC95" s="112"/>
      <c r="AD95" s="123"/>
      <c r="AE95" s="113"/>
    </row>
    <row r="96" spans="1:31" ht="3.75" customHeight="1" x14ac:dyDescent="0.35">
      <c r="A96" s="550">
        <f>A91+1</f>
        <v>18</v>
      </c>
      <c r="B96" s="240">
        <f>B91+10</f>
        <v>180</v>
      </c>
      <c r="C96" s="122"/>
      <c r="D96" s="62"/>
      <c r="E96" s="62"/>
      <c r="F96" s="62"/>
      <c r="G96" s="122"/>
      <c r="H96" s="62"/>
      <c r="I96" s="62"/>
      <c r="J96" s="62"/>
      <c r="K96" s="122"/>
      <c r="L96" s="62"/>
      <c r="M96" s="62"/>
      <c r="N96" s="62"/>
      <c r="O96" s="62"/>
      <c r="P96" s="62"/>
      <c r="Q96" s="62"/>
      <c r="R96" s="235"/>
      <c r="S96" s="62"/>
      <c r="T96" s="456"/>
      <c r="U96" s="122"/>
      <c r="V96" s="456"/>
      <c r="W96" s="456"/>
      <c r="X96" s="456"/>
      <c r="Y96" s="456"/>
      <c r="Z96" s="456"/>
      <c r="AA96" s="62"/>
      <c r="AB96" s="62"/>
      <c r="AC96" s="62"/>
      <c r="AD96" s="122"/>
      <c r="AE96" s="71"/>
    </row>
    <row r="97" spans="1:31" ht="29" x14ac:dyDescent="0.35">
      <c r="A97" s="551"/>
      <c r="B97" s="241">
        <f>B92+10</f>
        <v>181</v>
      </c>
      <c r="C97" s="803"/>
      <c r="D97" s="3"/>
      <c r="E97" s="10"/>
      <c r="F97" s="3"/>
      <c r="G97" s="803"/>
      <c r="H97" s="3"/>
      <c r="I97" s="808"/>
      <c r="J97" s="3"/>
      <c r="K97" s="803"/>
      <c r="L97" s="3"/>
      <c r="M97" s="64" t="b">
        <v>0</v>
      </c>
      <c r="N97" t="s">
        <v>341</v>
      </c>
      <c r="O97" s="3"/>
      <c r="P97" s="3" t="s">
        <v>342</v>
      </c>
      <c r="Q97" s="3"/>
      <c r="R97" s="226"/>
      <c r="S97" s="3"/>
      <c r="T97" s="458"/>
      <c r="U97" s="124"/>
      <c r="V97" s="130"/>
      <c r="W97" s="131"/>
      <c r="X97" s="131"/>
      <c r="Y97" s="131"/>
      <c r="Z97" s="131"/>
      <c r="AA97" s="3"/>
      <c r="AB97" s="45" t="b">
        <v>0</v>
      </c>
      <c r="AC97" s="9" t="s">
        <v>343</v>
      </c>
      <c r="AD97" s="130" t="s">
        <v>135</v>
      </c>
      <c r="AE97" s="66"/>
    </row>
    <row r="98" spans="1:31" ht="29" x14ac:dyDescent="0.35">
      <c r="A98" s="551"/>
      <c r="B98" s="241">
        <f>B97+1</f>
        <v>182</v>
      </c>
      <c r="C98" s="542"/>
      <c r="G98" s="542"/>
      <c r="I98" s="809"/>
      <c r="K98" s="542"/>
      <c r="M98" s="275" t="b">
        <v>0</v>
      </c>
      <c r="N98" s="25" t="s">
        <v>344</v>
      </c>
      <c r="O98" s="25"/>
      <c r="P98" s="25" t="s">
        <v>345</v>
      </c>
      <c r="T98" s="458"/>
      <c r="U98" s="125"/>
      <c r="V98" s="130"/>
      <c r="W98" s="451"/>
      <c r="X98" s="131"/>
      <c r="Y98" s="451"/>
      <c r="Z98" s="131"/>
      <c r="AB98" s="45" t="b">
        <v>0</v>
      </c>
      <c r="AC98" s="9" t="s">
        <v>346</v>
      </c>
      <c r="AD98" s="131"/>
      <c r="AE98" s="101"/>
    </row>
    <row r="99" spans="1:31" ht="15" thickBot="1" x14ac:dyDescent="0.4">
      <c r="A99" s="551"/>
      <c r="B99" s="241">
        <f>B98+1</f>
        <v>183</v>
      </c>
      <c r="C99" s="543"/>
      <c r="G99" s="542"/>
      <c r="K99" s="542"/>
      <c r="M99" s="64" t="b">
        <v>0</v>
      </c>
      <c r="N99" t="s">
        <v>347</v>
      </c>
      <c r="P99" t="s">
        <v>348</v>
      </c>
      <c r="T99" s="458"/>
      <c r="U99" s="125"/>
      <c r="V99" s="130"/>
      <c r="W99" s="451"/>
      <c r="X99" s="131"/>
      <c r="Y99" s="451"/>
      <c r="Z99" s="131"/>
      <c r="AD99" s="127"/>
      <c r="AE99" s="66"/>
    </row>
    <row r="100" spans="1:31" ht="5.15" customHeight="1" thickBot="1" x14ac:dyDescent="0.4">
      <c r="A100" s="111"/>
      <c r="B100" s="112"/>
      <c r="C100" s="123"/>
      <c r="D100" s="112"/>
      <c r="E100" s="112"/>
      <c r="F100" s="112"/>
      <c r="G100" s="123"/>
      <c r="H100" s="112"/>
      <c r="I100" s="112"/>
      <c r="J100" s="112"/>
      <c r="K100" s="123"/>
      <c r="L100" s="112"/>
      <c r="M100" s="112"/>
      <c r="N100" s="112"/>
      <c r="O100" s="112"/>
      <c r="P100" s="112"/>
      <c r="Q100" s="112"/>
      <c r="R100" s="268"/>
      <c r="S100" s="112"/>
      <c r="T100" s="457"/>
      <c r="U100" s="123"/>
      <c r="V100" s="457"/>
      <c r="W100" s="457"/>
      <c r="X100" s="457"/>
      <c r="Y100" s="457"/>
      <c r="Z100" s="457"/>
      <c r="AA100" s="112"/>
      <c r="AB100" s="112"/>
      <c r="AC100" s="112"/>
      <c r="AD100" s="123"/>
      <c r="AE100" s="113"/>
    </row>
    <row r="101" spans="1:31" ht="4.5" customHeight="1" x14ac:dyDescent="0.35">
      <c r="A101" s="550">
        <f>A96+1</f>
        <v>19</v>
      </c>
      <c r="B101" s="240">
        <f>B96+10</f>
        <v>190</v>
      </c>
      <c r="C101" s="122"/>
      <c r="D101" s="62"/>
      <c r="E101" s="62"/>
      <c r="F101" s="62"/>
      <c r="G101" s="122"/>
      <c r="H101" s="62"/>
      <c r="I101" s="62"/>
      <c r="J101" s="62"/>
      <c r="K101" s="122"/>
      <c r="L101" s="62"/>
      <c r="M101" s="62"/>
      <c r="N101" s="62"/>
      <c r="O101" s="62"/>
      <c r="P101" s="62"/>
      <c r="Q101" s="62"/>
      <c r="R101" s="235"/>
      <c r="S101" s="62"/>
      <c r="T101" s="456"/>
      <c r="U101" s="122"/>
      <c r="V101" s="456"/>
      <c r="W101" s="456"/>
      <c r="X101" s="456"/>
      <c r="Y101" s="456"/>
      <c r="Z101" s="456"/>
      <c r="AA101" s="62"/>
      <c r="AB101" s="62"/>
      <c r="AC101" s="62"/>
      <c r="AD101" s="122"/>
      <c r="AE101" s="71"/>
    </row>
    <row r="102" spans="1:31" ht="29" x14ac:dyDescent="0.35">
      <c r="A102" s="551"/>
      <c r="B102" s="241">
        <f>B97+10</f>
        <v>191</v>
      </c>
      <c r="C102" s="803"/>
      <c r="D102" s="3"/>
      <c r="E102" s="10"/>
      <c r="F102" s="3"/>
      <c r="G102" s="803"/>
      <c r="H102" s="3"/>
      <c r="I102" s="808"/>
      <c r="J102" s="3"/>
      <c r="K102" s="803"/>
      <c r="L102" s="3"/>
      <c r="M102" s="64" t="b">
        <v>0</v>
      </c>
      <c r="N102" t="s">
        <v>341</v>
      </c>
      <c r="O102" s="3"/>
      <c r="P102" s="3" t="s">
        <v>342</v>
      </c>
      <c r="Q102" s="3"/>
      <c r="R102" s="226"/>
      <c r="S102" s="3"/>
      <c r="T102" s="458"/>
      <c r="U102" s="124"/>
      <c r="V102" s="130"/>
      <c r="W102" s="131"/>
      <c r="X102" s="131"/>
      <c r="Y102" s="131"/>
      <c r="Z102" s="131"/>
      <c r="AA102" s="3"/>
      <c r="AB102" s="45" t="b">
        <v>0</v>
      </c>
      <c r="AC102" s="9" t="s">
        <v>343</v>
      </c>
      <c r="AD102" s="130" t="s">
        <v>135</v>
      </c>
      <c r="AE102" s="66"/>
    </row>
    <row r="103" spans="1:31" ht="29" x14ac:dyDescent="0.35">
      <c r="A103" s="551"/>
      <c r="B103" s="241">
        <f>B102+1</f>
        <v>192</v>
      </c>
      <c r="C103" s="542"/>
      <c r="G103" s="542"/>
      <c r="I103" s="809"/>
      <c r="K103" s="542"/>
      <c r="M103" s="275" t="b">
        <v>0</v>
      </c>
      <c r="N103" s="25" t="s">
        <v>344</v>
      </c>
      <c r="O103" s="25"/>
      <c r="P103" s="25" t="s">
        <v>345</v>
      </c>
      <c r="T103" s="458"/>
      <c r="U103" s="125"/>
      <c r="V103" s="130"/>
      <c r="W103" s="451"/>
      <c r="X103" s="131"/>
      <c r="Y103" s="451"/>
      <c r="Z103" s="131"/>
      <c r="AB103" s="45" t="b">
        <v>0</v>
      </c>
      <c r="AC103" s="9" t="s">
        <v>346</v>
      </c>
      <c r="AD103" s="131"/>
      <c r="AE103" s="101"/>
    </row>
    <row r="104" spans="1:31" ht="15" thickBot="1" x14ac:dyDescent="0.4">
      <c r="A104" s="551"/>
      <c r="B104" s="241">
        <f>B103+1</f>
        <v>193</v>
      </c>
      <c r="C104" s="543"/>
      <c r="G104" s="542"/>
      <c r="K104" s="542"/>
      <c r="M104" s="64" t="b">
        <v>0</v>
      </c>
      <c r="N104" t="s">
        <v>347</v>
      </c>
      <c r="P104" t="s">
        <v>348</v>
      </c>
      <c r="T104" s="458"/>
      <c r="U104" s="125"/>
      <c r="V104" s="130"/>
      <c r="W104" s="451"/>
      <c r="X104" s="131"/>
      <c r="Y104" s="451"/>
      <c r="Z104" s="131"/>
      <c r="AD104" s="127"/>
      <c r="AE104" s="66"/>
    </row>
    <row r="105" spans="1:31" ht="5.15" customHeight="1" thickBot="1" x14ac:dyDescent="0.4">
      <c r="A105" s="111"/>
      <c r="B105" s="112"/>
      <c r="C105" s="123"/>
      <c r="D105" s="112"/>
      <c r="E105" s="112"/>
      <c r="F105" s="112"/>
      <c r="G105" s="123"/>
      <c r="H105" s="112"/>
      <c r="I105" s="112"/>
      <c r="J105" s="112"/>
      <c r="K105" s="123"/>
      <c r="L105" s="112"/>
      <c r="M105" s="112"/>
      <c r="N105" s="112"/>
      <c r="O105" s="112"/>
      <c r="P105" s="112"/>
      <c r="Q105" s="112"/>
      <c r="R105" s="268"/>
      <c r="S105" s="112"/>
      <c r="T105" s="457"/>
      <c r="U105" s="123"/>
      <c r="V105" s="457"/>
      <c r="W105" s="457"/>
      <c r="X105" s="457"/>
      <c r="Y105" s="457"/>
      <c r="Z105" s="457"/>
      <c r="AA105" s="112"/>
      <c r="AB105" s="112"/>
      <c r="AC105" s="112"/>
      <c r="AD105" s="123"/>
      <c r="AE105" s="113"/>
    </row>
    <row r="106" spans="1:31" ht="5.25" customHeight="1" x14ac:dyDescent="0.35">
      <c r="A106" s="550">
        <f>A101+1</f>
        <v>20</v>
      </c>
      <c r="B106" s="240">
        <f>B101+10</f>
        <v>200</v>
      </c>
      <c r="C106" s="122"/>
      <c r="D106" s="62"/>
      <c r="E106" s="62"/>
      <c r="F106" s="62"/>
      <c r="G106" s="122"/>
      <c r="H106" s="62"/>
      <c r="I106" s="3" t="s">
        <v>350</v>
      </c>
      <c r="J106" s="62"/>
      <c r="K106" s="122"/>
      <c r="L106" s="62"/>
      <c r="M106" s="62"/>
      <c r="N106" s="62"/>
      <c r="O106" s="62"/>
      <c r="P106" s="62"/>
      <c r="Q106" s="62"/>
      <c r="R106" s="235"/>
      <c r="S106" s="62"/>
      <c r="T106" s="456"/>
      <c r="U106" s="122"/>
      <c r="V106" s="456"/>
      <c r="W106" s="456"/>
      <c r="X106" s="456"/>
      <c r="Y106" s="456"/>
      <c r="Z106" s="456"/>
      <c r="AA106" s="62"/>
      <c r="AB106" s="62"/>
      <c r="AC106" s="62"/>
      <c r="AD106" s="122"/>
      <c r="AE106" s="71"/>
    </row>
    <row r="107" spans="1:31" ht="29" x14ac:dyDescent="0.35">
      <c r="A107" s="551"/>
      <c r="B107" s="241">
        <f>B102+10</f>
        <v>201</v>
      </c>
      <c r="C107" s="803"/>
      <c r="D107" s="3"/>
      <c r="E107" s="10"/>
      <c r="F107" s="3"/>
      <c r="G107" s="803"/>
      <c r="H107" s="3"/>
      <c r="I107" s="808"/>
      <c r="J107" s="3"/>
      <c r="K107" s="803"/>
      <c r="L107" s="3"/>
      <c r="M107" s="64" t="b">
        <v>0</v>
      </c>
      <c r="N107" t="s">
        <v>341</v>
      </c>
      <c r="O107" s="3"/>
      <c r="P107" s="3" t="s">
        <v>342</v>
      </c>
      <c r="Q107" s="3"/>
      <c r="R107" s="226"/>
      <c r="S107" s="3"/>
      <c r="T107" s="458"/>
      <c r="U107" s="124"/>
      <c r="V107" s="130"/>
      <c r="W107" s="131"/>
      <c r="X107" s="131"/>
      <c r="Y107" s="131"/>
      <c r="Z107" s="131"/>
      <c r="AA107" s="3"/>
      <c r="AB107" s="45" t="b">
        <v>0</v>
      </c>
      <c r="AC107" s="9" t="s">
        <v>343</v>
      </c>
      <c r="AD107" s="130" t="s">
        <v>135</v>
      </c>
      <c r="AE107" s="66"/>
    </row>
    <row r="108" spans="1:31" ht="29" x14ac:dyDescent="0.35">
      <c r="A108" s="551"/>
      <c r="B108" s="241">
        <f>B107+1</f>
        <v>202</v>
      </c>
      <c r="C108" s="542"/>
      <c r="G108" s="542"/>
      <c r="I108" s="809"/>
      <c r="K108" s="542"/>
      <c r="M108" s="275" t="b">
        <v>0</v>
      </c>
      <c r="N108" s="25" t="s">
        <v>344</v>
      </c>
      <c r="O108" s="25"/>
      <c r="P108" s="25" t="s">
        <v>345</v>
      </c>
      <c r="T108" s="458"/>
      <c r="U108" s="125"/>
      <c r="V108" s="130"/>
      <c r="W108" s="451"/>
      <c r="X108" s="131"/>
      <c r="Y108" s="451"/>
      <c r="Z108" s="131"/>
      <c r="AB108" s="45" t="b">
        <v>0</v>
      </c>
      <c r="AC108" s="9" t="s">
        <v>346</v>
      </c>
      <c r="AD108" s="131"/>
      <c r="AE108" s="101"/>
    </row>
    <row r="109" spans="1:31" ht="15" thickBot="1" x14ac:dyDescent="0.4">
      <c r="A109" s="551"/>
      <c r="B109" s="241">
        <f>B108+1</f>
        <v>203</v>
      </c>
      <c r="C109" s="543"/>
      <c r="G109" s="542"/>
      <c r="K109" s="542"/>
      <c r="M109" s="64" t="b">
        <v>0</v>
      </c>
      <c r="N109" t="s">
        <v>347</v>
      </c>
      <c r="P109" t="s">
        <v>348</v>
      </c>
      <c r="T109" s="458"/>
      <c r="U109" s="125"/>
      <c r="V109" s="130"/>
      <c r="W109" s="451"/>
      <c r="X109" s="131"/>
      <c r="Y109" s="451"/>
      <c r="Z109" s="131"/>
      <c r="AD109" s="127"/>
      <c r="AE109" s="66"/>
    </row>
    <row r="110" spans="1:31" ht="5.15" customHeight="1" thickBot="1" x14ac:dyDescent="0.4">
      <c r="A110" s="111"/>
      <c r="B110" s="112"/>
      <c r="C110" s="112"/>
      <c r="D110" s="112"/>
      <c r="E110" s="112"/>
      <c r="F110" s="112"/>
      <c r="G110" s="112"/>
      <c r="H110" s="112"/>
      <c r="I110" s="112"/>
      <c r="J110" s="112"/>
      <c r="K110" s="112"/>
      <c r="L110" s="112"/>
      <c r="M110" s="112"/>
      <c r="N110" s="112"/>
      <c r="O110" s="112"/>
      <c r="P110" s="112"/>
      <c r="Q110" s="112"/>
      <c r="R110" s="268"/>
      <c r="S110" s="112"/>
      <c r="T110" s="112"/>
      <c r="U110" s="112"/>
      <c r="V110" s="272"/>
      <c r="W110" s="272"/>
      <c r="X110" s="272"/>
      <c r="Y110" s="272"/>
      <c r="Z110" s="272"/>
      <c r="AA110" s="112"/>
      <c r="AB110" s="112"/>
      <c r="AC110" s="112"/>
      <c r="AD110" s="112"/>
      <c r="AE110" s="113"/>
    </row>
    <row r="111" spans="1:31" x14ac:dyDescent="0.35">
      <c r="A111"/>
      <c r="B111"/>
    </row>
    <row r="112" spans="1:31" x14ac:dyDescent="0.35">
      <c r="A112"/>
      <c r="B112"/>
    </row>
    <row r="113" spans="1:2" x14ac:dyDescent="0.35">
      <c r="A113"/>
      <c r="B113"/>
    </row>
    <row r="114" spans="1:2" x14ac:dyDescent="0.35">
      <c r="A114"/>
      <c r="B114"/>
    </row>
    <row r="115" spans="1:2" x14ac:dyDescent="0.35">
      <c r="A115"/>
      <c r="B115"/>
    </row>
    <row r="116" spans="1:2" x14ac:dyDescent="0.35">
      <c r="A116"/>
      <c r="B116"/>
    </row>
    <row r="117" spans="1:2" x14ac:dyDescent="0.35">
      <c r="A117"/>
      <c r="B117"/>
    </row>
    <row r="118" spans="1:2" x14ac:dyDescent="0.35">
      <c r="A118"/>
      <c r="B118"/>
    </row>
    <row r="119" spans="1:2" x14ac:dyDescent="0.35">
      <c r="A119"/>
      <c r="B119"/>
    </row>
    <row r="120" spans="1:2" x14ac:dyDescent="0.35">
      <c r="A120"/>
      <c r="B120"/>
    </row>
    <row r="121" spans="1:2" x14ac:dyDescent="0.35">
      <c r="A121"/>
      <c r="B121"/>
    </row>
    <row r="122" spans="1:2" x14ac:dyDescent="0.35">
      <c r="A122"/>
      <c r="B122"/>
    </row>
    <row r="123" spans="1:2" x14ac:dyDescent="0.35">
      <c r="A123"/>
      <c r="B123"/>
    </row>
    <row r="124" spans="1:2" x14ac:dyDescent="0.35">
      <c r="A124"/>
      <c r="B124"/>
    </row>
    <row r="125" spans="1:2" x14ac:dyDescent="0.35">
      <c r="A125"/>
      <c r="B125"/>
    </row>
    <row r="126" spans="1:2" x14ac:dyDescent="0.35">
      <c r="A126"/>
      <c r="B126"/>
    </row>
    <row r="127" spans="1:2" x14ac:dyDescent="0.35">
      <c r="A127"/>
      <c r="B127"/>
    </row>
    <row r="128" spans="1:2" x14ac:dyDescent="0.35">
      <c r="A128"/>
      <c r="B128"/>
    </row>
    <row r="129" spans="1:2" x14ac:dyDescent="0.35">
      <c r="A129"/>
      <c r="B129"/>
    </row>
    <row r="130" spans="1:2" x14ac:dyDescent="0.35">
      <c r="A130"/>
      <c r="B130"/>
    </row>
    <row r="131" spans="1:2" x14ac:dyDescent="0.35">
      <c r="A131"/>
      <c r="B131"/>
    </row>
    <row r="132" spans="1:2" x14ac:dyDescent="0.35">
      <c r="A132"/>
      <c r="B132"/>
    </row>
    <row r="133" spans="1:2" x14ac:dyDescent="0.35">
      <c r="A133"/>
      <c r="B133"/>
    </row>
    <row r="134" spans="1:2" x14ac:dyDescent="0.35">
      <c r="A134"/>
      <c r="B134"/>
    </row>
    <row r="135" spans="1:2" x14ac:dyDescent="0.35">
      <c r="A135"/>
      <c r="B135"/>
    </row>
    <row r="136" spans="1:2" x14ac:dyDescent="0.35">
      <c r="A136"/>
      <c r="B136"/>
    </row>
    <row r="137" spans="1:2" x14ac:dyDescent="0.35">
      <c r="A137"/>
      <c r="B137"/>
    </row>
    <row r="138" spans="1:2" x14ac:dyDescent="0.35">
      <c r="A138"/>
      <c r="B138"/>
    </row>
    <row r="139" spans="1:2" x14ac:dyDescent="0.35">
      <c r="A139"/>
      <c r="B139"/>
    </row>
    <row r="140" spans="1:2" x14ac:dyDescent="0.35">
      <c r="A140"/>
      <c r="B140"/>
    </row>
    <row r="141" spans="1:2" x14ac:dyDescent="0.35">
      <c r="A141"/>
      <c r="B141"/>
    </row>
    <row r="142" spans="1:2" x14ac:dyDescent="0.35">
      <c r="A142"/>
      <c r="B142"/>
    </row>
    <row r="143" spans="1:2" x14ac:dyDescent="0.35">
      <c r="A143"/>
      <c r="B143"/>
    </row>
    <row r="144" spans="1:2" x14ac:dyDescent="0.35">
      <c r="A144"/>
      <c r="B144"/>
    </row>
    <row r="145" spans="1:2" x14ac:dyDescent="0.35">
      <c r="A145"/>
      <c r="B145"/>
    </row>
    <row r="146" spans="1:2" x14ac:dyDescent="0.35">
      <c r="A146"/>
      <c r="B146"/>
    </row>
    <row r="147" spans="1:2" x14ac:dyDescent="0.35">
      <c r="A147"/>
      <c r="B147"/>
    </row>
    <row r="148" spans="1:2" x14ac:dyDescent="0.35">
      <c r="A148"/>
      <c r="B148"/>
    </row>
    <row r="149" spans="1:2" x14ac:dyDescent="0.35">
      <c r="A149"/>
      <c r="B149"/>
    </row>
    <row r="150" spans="1:2" x14ac:dyDescent="0.35">
      <c r="A150"/>
      <c r="B150"/>
    </row>
    <row r="151" spans="1:2" x14ac:dyDescent="0.35">
      <c r="A151"/>
      <c r="B151"/>
    </row>
    <row r="152" spans="1:2" x14ac:dyDescent="0.35">
      <c r="A152"/>
      <c r="B152"/>
    </row>
    <row r="153" spans="1:2" x14ac:dyDescent="0.35">
      <c r="A153"/>
      <c r="B153"/>
    </row>
    <row r="154" spans="1:2" x14ac:dyDescent="0.35">
      <c r="A154"/>
      <c r="B154"/>
    </row>
    <row r="155" spans="1:2" x14ac:dyDescent="0.35">
      <c r="A155"/>
      <c r="B155"/>
    </row>
    <row r="156" spans="1:2" x14ac:dyDescent="0.35">
      <c r="A156"/>
      <c r="B156"/>
    </row>
    <row r="157" spans="1:2" x14ac:dyDescent="0.35">
      <c r="A157"/>
      <c r="B157"/>
    </row>
    <row r="158" spans="1:2" x14ac:dyDescent="0.35">
      <c r="A158"/>
      <c r="B158"/>
    </row>
    <row r="159" spans="1:2" x14ac:dyDescent="0.35">
      <c r="A159"/>
      <c r="B159"/>
    </row>
    <row r="160" spans="1:2" x14ac:dyDescent="0.35">
      <c r="A160"/>
      <c r="B160"/>
    </row>
  </sheetData>
  <mergeCells count="116">
    <mergeCell ref="A101:A104"/>
    <mergeCell ref="C102:C104"/>
    <mergeCell ref="G102:G104"/>
    <mergeCell ref="K102:K104"/>
    <mergeCell ref="A106:A109"/>
    <mergeCell ref="C107:C109"/>
    <mergeCell ref="G107:G109"/>
    <mergeCell ref="K107:K109"/>
    <mergeCell ref="I102:I103"/>
    <mergeCell ref="I107:I108"/>
    <mergeCell ref="A91:A94"/>
    <mergeCell ref="C92:C94"/>
    <mergeCell ref="G92:G94"/>
    <mergeCell ref="K92:K94"/>
    <mergeCell ref="A96:A99"/>
    <mergeCell ref="C97:C99"/>
    <mergeCell ref="G97:G99"/>
    <mergeCell ref="K97:K99"/>
    <mergeCell ref="I92:I93"/>
    <mergeCell ref="I97:I98"/>
    <mergeCell ref="A81:A84"/>
    <mergeCell ref="C82:C84"/>
    <mergeCell ref="G82:G84"/>
    <mergeCell ref="K82:K84"/>
    <mergeCell ref="A86:A89"/>
    <mergeCell ref="C87:C89"/>
    <mergeCell ref="G87:G89"/>
    <mergeCell ref="K87:K89"/>
    <mergeCell ref="I82:I83"/>
    <mergeCell ref="I87:I88"/>
    <mergeCell ref="A66:A69"/>
    <mergeCell ref="C67:C69"/>
    <mergeCell ref="G67:G69"/>
    <mergeCell ref="K67:K69"/>
    <mergeCell ref="A71:A74"/>
    <mergeCell ref="I67:I68"/>
    <mergeCell ref="I72:I73"/>
    <mergeCell ref="A76:A79"/>
    <mergeCell ref="C77:C79"/>
    <mergeCell ref="G77:G79"/>
    <mergeCell ref="K77:K79"/>
    <mergeCell ref="C72:C74"/>
    <mergeCell ref="G72:G74"/>
    <mergeCell ref="K72:K74"/>
    <mergeCell ref="I77:I78"/>
    <mergeCell ref="A61:A64"/>
    <mergeCell ref="C62:C64"/>
    <mergeCell ref="G62:G64"/>
    <mergeCell ref="K62:K64"/>
    <mergeCell ref="C52:C54"/>
    <mergeCell ref="G52:G54"/>
    <mergeCell ref="K52:K54"/>
    <mergeCell ref="A51:A54"/>
    <mergeCell ref="A56:A59"/>
    <mergeCell ref="C57:C59"/>
    <mergeCell ref="G57:G59"/>
    <mergeCell ref="K57:K59"/>
    <mergeCell ref="I52:I53"/>
    <mergeCell ref="I57:I58"/>
    <mergeCell ref="I62:I63"/>
    <mergeCell ref="A41:A44"/>
    <mergeCell ref="C42:C44"/>
    <mergeCell ref="G42:G44"/>
    <mergeCell ref="K42:K44"/>
    <mergeCell ref="A46:A49"/>
    <mergeCell ref="C47:C49"/>
    <mergeCell ref="G47:G49"/>
    <mergeCell ref="K47:K49"/>
    <mergeCell ref="I42:I43"/>
    <mergeCell ref="I47:I48"/>
    <mergeCell ref="A26:A29"/>
    <mergeCell ref="C27:C29"/>
    <mergeCell ref="G27:G29"/>
    <mergeCell ref="K27:K29"/>
    <mergeCell ref="A31:A34"/>
    <mergeCell ref="I27:I28"/>
    <mergeCell ref="I32:I33"/>
    <mergeCell ref="A36:A39"/>
    <mergeCell ref="C37:C39"/>
    <mergeCell ref="G37:G39"/>
    <mergeCell ref="K37:K39"/>
    <mergeCell ref="C32:C34"/>
    <mergeCell ref="G32:G34"/>
    <mergeCell ref="K32:K34"/>
    <mergeCell ref="I37:I38"/>
    <mergeCell ref="AB2:AE2"/>
    <mergeCell ref="M9:N9"/>
    <mergeCell ref="M2:N2"/>
    <mergeCell ref="C12:C14"/>
    <mergeCell ref="G12:G14"/>
    <mergeCell ref="K12:K14"/>
    <mergeCell ref="M3:N3"/>
    <mergeCell ref="M4:N4"/>
    <mergeCell ref="M5:N5"/>
    <mergeCell ref="M6:N6"/>
    <mergeCell ref="M7:N7"/>
    <mergeCell ref="M8:N8"/>
    <mergeCell ref="AB8:AE8"/>
    <mergeCell ref="AB7:AE7"/>
    <mergeCell ref="AB6:AE6"/>
    <mergeCell ref="AB5:AE5"/>
    <mergeCell ref="AB3:AE3"/>
    <mergeCell ref="A4:A8"/>
    <mergeCell ref="AB4:AE4"/>
    <mergeCell ref="I12:I13"/>
    <mergeCell ref="I17:I18"/>
    <mergeCell ref="I22:I23"/>
    <mergeCell ref="A21:A24"/>
    <mergeCell ref="C22:C24"/>
    <mergeCell ref="G22:G24"/>
    <mergeCell ref="K22:K24"/>
    <mergeCell ref="A11:A14"/>
    <mergeCell ref="A16:A19"/>
    <mergeCell ref="C17:C19"/>
    <mergeCell ref="G17:G19"/>
    <mergeCell ref="K17:K19"/>
  </mergeCells>
  <conditionalFormatting sqref="I12:I13">
    <cfRule type="cellIs" dxfId="506" priority="21" operator="equal">
      <formula>"Please fill out Sensitivity Labels Tab"</formula>
    </cfRule>
  </conditionalFormatting>
  <conditionalFormatting sqref="I17:I18">
    <cfRule type="cellIs" dxfId="505" priority="20" operator="equal">
      <formula>"Please fill out Sensitivity Labels Tab"</formula>
    </cfRule>
  </conditionalFormatting>
  <conditionalFormatting sqref="I22:I23">
    <cfRule type="cellIs" dxfId="504" priority="19" operator="equal">
      <formula>"Please fill out Sensitivity Labels Tab"</formula>
    </cfRule>
  </conditionalFormatting>
  <conditionalFormatting sqref="I27:I28">
    <cfRule type="cellIs" dxfId="503" priority="18" operator="equal">
      <formula>"Please fill out Sensitivity Labels Tab"</formula>
    </cfRule>
  </conditionalFormatting>
  <conditionalFormatting sqref="I32:I33">
    <cfRule type="cellIs" dxfId="502" priority="17" operator="equal">
      <formula>"Please fill out Sensitivity Labels Tab"</formula>
    </cfRule>
  </conditionalFormatting>
  <conditionalFormatting sqref="I37:I38">
    <cfRule type="cellIs" dxfId="501" priority="16" operator="equal">
      <formula>"Please fill out Sensitivity Labels Tab"</formula>
    </cfRule>
  </conditionalFormatting>
  <conditionalFormatting sqref="I42:I43">
    <cfRule type="cellIs" dxfId="500" priority="15" operator="equal">
      <formula>"Please fill out Sensitivity Labels Tab"</formula>
    </cfRule>
  </conditionalFormatting>
  <conditionalFormatting sqref="I47:I48">
    <cfRule type="cellIs" dxfId="499" priority="14" operator="equal">
      <formula>"Please fill out Sensitivity Labels Tab"</formula>
    </cfRule>
  </conditionalFormatting>
  <conditionalFormatting sqref="I52:I53">
    <cfRule type="cellIs" dxfId="498" priority="13" operator="equal">
      <formula>"Please fill out Sensitivity Labels Tab"</formula>
    </cfRule>
  </conditionalFormatting>
  <conditionalFormatting sqref="I57:I58">
    <cfRule type="cellIs" dxfId="497" priority="12" operator="equal">
      <formula>"Please fill out Sensitivity Labels Tab"</formula>
    </cfRule>
  </conditionalFormatting>
  <conditionalFormatting sqref="I62:I63">
    <cfRule type="cellIs" dxfId="496" priority="11" operator="equal">
      <formula>"Please fill out Sensitivity Labels Tab"</formula>
    </cfRule>
  </conditionalFormatting>
  <conditionalFormatting sqref="I67:I68">
    <cfRule type="cellIs" dxfId="495" priority="10" operator="equal">
      <formula>"Please fill out Sensitivity Labels Tab"</formula>
    </cfRule>
  </conditionalFormatting>
  <conditionalFormatting sqref="I72:I73">
    <cfRule type="cellIs" dxfId="494" priority="9" operator="equal">
      <formula>"Please fill out Sensitivity Labels Tab"</formula>
    </cfRule>
  </conditionalFormatting>
  <conditionalFormatting sqref="I77:I78">
    <cfRule type="cellIs" dxfId="493" priority="8" operator="equal">
      <formula>"Please fill out Sensitivity Labels Tab"</formula>
    </cfRule>
  </conditionalFormatting>
  <conditionalFormatting sqref="I82:I83">
    <cfRule type="cellIs" dxfId="492" priority="7" operator="equal">
      <formula>"Please fill out Sensitivity Labels Tab"</formula>
    </cfRule>
  </conditionalFormatting>
  <conditionalFormatting sqref="I87:I88">
    <cfRule type="cellIs" dxfId="491" priority="6" operator="equal">
      <formula>"Please fill out Sensitivity Labels Tab"</formula>
    </cfRule>
  </conditionalFormatting>
  <conditionalFormatting sqref="I92:I93">
    <cfRule type="cellIs" dxfId="490" priority="5" operator="equal">
      <formula>"Please fill out Sensitivity Labels Tab"</formula>
    </cfRule>
  </conditionalFormatting>
  <conditionalFormatting sqref="I97:I98">
    <cfRule type="cellIs" dxfId="489" priority="4" operator="equal">
      <formula>"Please fill out Sensitivity Labels Tab"</formula>
    </cfRule>
  </conditionalFormatting>
  <conditionalFormatting sqref="I102:I103">
    <cfRule type="cellIs" dxfId="488" priority="3" operator="equal">
      <formula>"Please fill out Sensitivity Labels Tab"</formula>
    </cfRule>
  </conditionalFormatting>
  <conditionalFormatting sqref="I107:I108">
    <cfRule type="cellIs" dxfId="487" priority="2" operator="equal">
      <formula>"Please fill out Sensitivity Labels Tab"</formula>
    </cfRule>
  </conditionalFormatting>
  <conditionalFormatting sqref="T2">
    <cfRule type="expression" dxfId="485" priority="85">
      <formula>$T$1&gt;0</formula>
    </cfRule>
  </conditionalFormatting>
  <conditionalFormatting sqref="T9">
    <cfRule type="expression" dxfId="484" priority="584">
      <formula>$T$1&gt;0</formula>
    </cfRule>
  </conditionalFormatting>
  <conditionalFormatting sqref="AB2">
    <cfRule type="expression" dxfId="397" priority="601">
      <formula>OR(M12,M17,M22,M27,M32,M37,M42,M47,M52,M57,M62,M67,M72,M77,M82,M87,M92,M97,M102,M107)=TRUE</formula>
    </cfRule>
  </conditionalFormatting>
  <conditionalFormatting sqref="AB12">
    <cfRule type="expression" dxfId="396" priority="301">
      <formula>M12=TRUE</formula>
    </cfRule>
  </conditionalFormatting>
  <conditionalFormatting sqref="AB13">
    <cfRule type="expression" dxfId="395" priority="300">
      <formula>M12=TRUE</formula>
    </cfRule>
  </conditionalFormatting>
  <conditionalFormatting sqref="AB17">
    <cfRule type="expression" dxfId="394" priority="290">
      <formula>M17=TRUE</formula>
    </cfRule>
  </conditionalFormatting>
  <conditionalFormatting sqref="AB18">
    <cfRule type="expression" dxfId="393" priority="289">
      <formula>M17=TRUE</formula>
    </cfRule>
  </conditionalFormatting>
  <conditionalFormatting sqref="AB22">
    <cfRule type="expression" dxfId="392" priority="279">
      <formula>M22=TRUE</formula>
    </cfRule>
  </conditionalFormatting>
  <conditionalFormatting sqref="AB23">
    <cfRule type="expression" dxfId="391" priority="278">
      <formula>M22=TRUE</formula>
    </cfRule>
  </conditionalFormatting>
  <conditionalFormatting sqref="AB27">
    <cfRule type="expression" dxfId="390" priority="268">
      <formula>M27=TRUE</formula>
    </cfRule>
  </conditionalFormatting>
  <conditionalFormatting sqref="AB28">
    <cfRule type="expression" dxfId="389" priority="267">
      <formula>M27=TRUE</formula>
    </cfRule>
  </conditionalFormatting>
  <conditionalFormatting sqref="AB32">
    <cfRule type="expression" dxfId="388" priority="257">
      <formula>M32=TRUE</formula>
    </cfRule>
  </conditionalFormatting>
  <conditionalFormatting sqref="AB33">
    <cfRule type="expression" dxfId="387" priority="256">
      <formula>M32=TRUE</formula>
    </cfRule>
  </conditionalFormatting>
  <conditionalFormatting sqref="AB37">
    <cfRule type="expression" dxfId="386" priority="246">
      <formula>M37=TRUE</formula>
    </cfRule>
  </conditionalFormatting>
  <conditionalFormatting sqref="AB38">
    <cfRule type="expression" dxfId="385" priority="245">
      <formula>M37=TRUE</formula>
    </cfRule>
  </conditionalFormatting>
  <conditionalFormatting sqref="AB42">
    <cfRule type="expression" dxfId="384" priority="235">
      <formula>M42=TRUE</formula>
    </cfRule>
  </conditionalFormatting>
  <conditionalFormatting sqref="AB43">
    <cfRule type="expression" dxfId="383" priority="234">
      <formula>M42=TRUE</formula>
    </cfRule>
  </conditionalFormatting>
  <conditionalFormatting sqref="AB47">
    <cfRule type="expression" dxfId="382" priority="224">
      <formula>M47=TRUE</formula>
    </cfRule>
  </conditionalFormatting>
  <conditionalFormatting sqref="AB48">
    <cfRule type="expression" dxfId="381" priority="223">
      <formula>M47=TRUE</formula>
    </cfRule>
  </conditionalFormatting>
  <conditionalFormatting sqref="AB52">
    <cfRule type="expression" dxfId="380" priority="213">
      <formula>M52=TRUE</formula>
    </cfRule>
  </conditionalFormatting>
  <conditionalFormatting sqref="AB53">
    <cfRule type="expression" dxfId="379" priority="212">
      <formula>M52=TRUE</formula>
    </cfRule>
  </conditionalFormatting>
  <conditionalFormatting sqref="AB57">
    <cfRule type="expression" dxfId="378" priority="202">
      <formula>M57=TRUE</formula>
    </cfRule>
  </conditionalFormatting>
  <conditionalFormatting sqref="AB58">
    <cfRule type="expression" dxfId="377" priority="201">
      <formula>M57=TRUE</formula>
    </cfRule>
  </conditionalFormatting>
  <conditionalFormatting sqref="AB62">
    <cfRule type="expression" dxfId="376" priority="191">
      <formula>M62=TRUE</formula>
    </cfRule>
  </conditionalFormatting>
  <conditionalFormatting sqref="AB63">
    <cfRule type="expression" dxfId="375" priority="190">
      <formula>M62=TRUE</formula>
    </cfRule>
  </conditionalFormatting>
  <conditionalFormatting sqref="AB67">
    <cfRule type="expression" dxfId="374" priority="180">
      <formula>M67=TRUE</formula>
    </cfRule>
  </conditionalFormatting>
  <conditionalFormatting sqref="AB68">
    <cfRule type="expression" dxfId="373" priority="179">
      <formula>M67=TRUE</formula>
    </cfRule>
  </conditionalFormatting>
  <conditionalFormatting sqref="AB72">
    <cfRule type="expression" dxfId="372" priority="169">
      <formula>M72=TRUE</formula>
    </cfRule>
  </conditionalFormatting>
  <conditionalFormatting sqref="AB73">
    <cfRule type="expression" dxfId="371" priority="168">
      <formula>M72=TRUE</formula>
    </cfRule>
  </conditionalFormatting>
  <conditionalFormatting sqref="AB77">
    <cfRule type="expression" dxfId="370" priority="158">
      <formula>M77=TRUE</formula>
    </cfRule>
  </conditionalFormatting>
  <conditionalFormatting sqref="AB78">
    <cfRule type="expression" dxfId="369" priority="157">
      <formula>M77=TRUE</formula>
    </cfRule>
  </conditionalFormatting>
  <conditionalFormatting sqref="AB82">
    <cfRule type="expression" dxfId="368" priority="147">
      <formula>M82=TRUE</formula>
    </cfRule>
  </conditionalFormatting>
  <conditionalFormatting sqref="AB83">
    <cfRule type="expression" dxfId="367" priority="146">
      <formula>M82=TRUE</formula>
    </cfRule>
  </conditionalFormatting>
  <conditionalFormatting sqref="AB87">
    <cfRule type="expression" dxfId="366" priority="136">
      <formula>M87=TRUE</formula>
    </cfRule>
  </conditionalFormatting>
  <conditionalFormatting sqref="AB88">
    <cfRule type="expression" dxfId="365" priority="135">
      <formula>M87=TRUE</formula>
    </cfRule>
  </conditionalFormatting>
  <conditionalFormatting sqref="AB92">
    <cfRule type="expression" dxfId="364" priority="125">
      <formula>M92=TRUE</formula>
    </cfRule>
  </conditionalFormatting>
  <conditionalFormatting sqref="AB93">
    <cfRule type="expression" dxfId="363" priority="124">
      <formula>M92=TRUE</formula>
    </cfRule>
  </conditionalFormatting>
  <conditionalFormatting sqref="AB97">
    <cfRule type="expression" dxfId="362" priority="114">
      <formula>M97=TRUE</formula>
    </cfRule>
  </conditionalFormatting>
  <conditionalFormatting sqref="AB98">
    <cfRule type="expression" dxfId="361" priority="113">
      <formula>M97=TRUE</formula>
    </cfRule>
  </conditionalFormatting>
  <conditionalFormatting sqref="AB102">
    <cfRule type="expression" dxfId="360" priority="103">
      <formula>M102=TRUE</formula>
    </cfRule>
  </conditionalFormatting>
  <conditionalFormatting sqref="AB103">
    <cfRule type="expression" dxfId="359" priority="102">
      <formula>M102=TRUE</formula>
    </cfRule>
  </conditionalFormatting>
  <conditionalFormatting sqref="AB107">
    <cfRule type="expression" dxfId="358" priority="92">
      <formula>M107=TRUE</formula>
    </cfRule>
  </conditionalFormatting>
  <conditionalFormatting sqref="AB108">
    <cfRule type="expression" dxfId="357" priority="91">
      <formula>M107=TRUE</formula>
    </cfRule>
  </conditionalFormatting>
  <conditionalFormatting sqref="AC12">
    <cfRule type="expression" dxfId="356" priority="302">
      <formula>M12=TRUE</formula>
    </cfRule>
  </conditionalFormatting>
  <conditionalFormatting sqref="AC13">
    <cfRule type="expression" dxfId="355" priority="303">
      <formula>M12=TRUE</formula>
    </cfRule>
  </conditionalFormatting>
  <conditionalFormatting sqref="AC17">
    <cfRule type="expression" dxfId="354" priority="291">
      <formula>M17=TRUE</formula>
    </cfRule>
  </conditionalFormatting>
  <conditionalFormatting sqref="AC18">
    <cfRule type="expression" dxfId="353" priority="292">
      <formula>M17=TRUE</formula>
    </cfRule>
  </conditionalFormatting>
  <conditionalFormatting sqref="AC22">
    <cfRule type="expression" dxfId="352" priority="280">
      <formula>M22=TRUE</formula>
    </cfRule>
  </conditionalFormatting>
  <conditionalFormatting sqref="AC23">
    <cfRule type="expression" dxfId="351" priority="281">
      <formula>M22=TRUE</formula>
    </cfRule>
  </conditionalFormatting>
  <conditionalFormatting sqref="AC27">
    <cfRule type="expression" dxfId="350" priority="269">
      <formula>M27=TRUE</formula>
    </cfRule>
  </conditionalFormatting>
  <conditionalFormatting sqref="AC28">
    <cfRule type="expression" dxfId="349" priority="270">
      <formula>M27=TRUE</formula>
    </cfRule>
  </conditionalFormatting>
  <conditionalFormatting sqref="AC32">
    <cfRule type="expression" dxfId="348" priority="258">
      <formula>M32=TRUE</formula>
    </cfRule>
  </conditionalFormatting>
  <conditionalFormatting sqref="AC33">
    <cfRule type="expression" dxfId="347" priority="259">
      <formula>M32=TRUE</formula>
    </cfRule>
  </conditionalFormatting>
  <conditionalFormatting sqref="AC37">
    <cfRule type="expression" dxfId="346" priority="247">
      <formula>M37=TRUE</formula>
    </cfRule>
  </conditionalFormatting>
  <conditionalFormatting sqref="AC38">
    <cfRule type="expression" dxfId="345" priority="248">
      <formula>M37=TRUE</formula>
    </cfRule>
  </conditionalFormatting>
  <conditionalFormatting sqref="AC42">
    <cfRule type="expression" dxfId="344" priority="236">
      <formula>M42=TRUE</formula>
    </cfRule>
  </conditionalFormatting>
  <conditionalFormatting sqref="AC43">
    <cfRule type="expression" dxfId="343" priority="237">
      <formula>M42=TRUE</formula>
    </cfRule>
  </conditionalFormatting>
  <conditionalFormatting sqref="AC47">
    <cfRule type="expression" dxfId="342" priority="225">
      <formula>M47=TRUE</formula>
    </cfRule>
  </conditionalFormatting>
  <conditionalFormatting sqref="AC48">
    <cfRule type="expression" dxfId="341" priority="226">
      <formula>M47=TRUE</formula>
    </cfRule>
  </conditionalFormatting>
  <conditionalFormatting sqref="AC52">
    <cfRule type="expression" dxfId="340" priority="214">
      <formula>M52=TRUE</formula>
    </cfRule>
  </conditionalFormatting>
  <conditionalFormatting sqref="AC53">
    <cfRule type="expression" dxfId="339" priority="215">
      <formula>M52=TRUE</formula>
    </cfRule>
  </conditionalFormatting>
  <conditionalFormatting sqref="AC57">
    <cfRule type="expression" dxfId="338" priority="203">
      <formula>M57=TRUE</formula>
    </cfRule>
  </conditionalFormatting>
  <conditionalFormatting sqref="AC58">
    <cfRule type="expression" dxfId="337" priority="204">
      <formula>M57=TRUE</formula>
    </cfRule>
  </conditionalFormatting>
  <conditionalFormatting sqref="AC62">
    <cfRule type="expression" dxfId="336" priority="192">
      <formula>M62=TRUE</formula>
    </cfRule>
  </conditionalFormatting>
  <conditionalFormatting sqref="AC63">
    <cfRule type="expression" dxfId="335" priority="193">
      <formula>M62=TRUE</formula>
    </cfRule>
  </conditionalFormatting>
  <conditionalFormatting sqref="AC67">
    <cfRule type="expression" dxfId="334" priority="181">
      <formula>M67=TRUE</formula>
    </cfRule>
  </conditionalFormatting>
  <conditionalFormatting sqref="AC68">
    <cfRule type="expression" dxfId="333" priority="182">
      <formula>M67=TRUE</formula>
    </cfRule>
  </conditionalFormatting>
  <conditionalFormatting sqref="AC72">
    <cfRule type="expression" dxfId="332" priority="170">
      <formula>M72=TRUE</formula>
    </cfRule>
  </conditionalFormatting>
  <conditionalFormatting sqref="AC73">
    <cfRule type="expression" dxfId="331" priority="171">
      <formula>M72=TRUE</formula>
    </cfRule>
  </conditionalFormatting>
  <conditionalFormatting sqref="AC77">
    <cfRule type="expression" dxfId="330" priority="159">
      <formula>M77=TRUE</formula>
    </cfRule>
  </conditionalFormatting>
  <conditionalFormatting sqref="AC78">
    <cfRule type="expression" dxfId="329" priority="160">
      <formula>M77=TRUE</formula>
    </cfRule>
  </conditionalFormatting>
  <conditionalFormatting sqref="AC82">
    <cfRule type="expression" dxfId="328" priority="148">
      <formula>M82=TRUE</formula>
    </cfRule>
  </conditionalFormatting>
  <conditionalFormatting sqref="AC83">
    <cfRule type="expression" dxfId="327" priority="149">
      <formula>M82=TRUE</formula>
    </cfRule>
  </conditionalFormatting>
  <conditionalFormatting sqref="AC87">
    <cfRule type="expression" dxfId="326" priority="137">
      <formula>M87=TRUE</formula>
    </cfRule>
  </conditionalFormatting>
  <conditionalFormatting sqref="AC88">
    <cfRule type="expression" dxfId="325" priority="138">
      <formula>M87=TRUE</formula>
    </cfRule>
  </conditionalFormatting>
  <conditionalFormatting sqref="AC92">
    <cfRule type="expression" dxfId="324" priority="126">
      <formula>M92=TRUE</formula>
    </cfRule>
  </conditionalFormatting>
  <conditionalFormatting sqref="AC93">
    <cfRule type="expression" dxfId="323" priority="127">
      <formula>M92=TRUE</formula>
    </cfRule>
  </conditionalFormatting>
  <conditionalFormatting sqref="AC97">
    <cfRule type="expression" dxfId="322" priority="115">
      <formula>M97=TRUE</formula>
    </cfRule>
  </conditionalFormatting>
  <conditionalFormatting sqref="AC98">
    <cfRule type="expression" dxfId="321" priority="116">
      <formula>M97=TRUE</formula>
    </cfRule>
  </conditionalFormatting>
  <conditionalFormatting sqref="AC102">
    <cfRule type="expression" dxfId="320" priority="104">
      <formula>M102=TRUE</formula>
    </cfRule>
  </conditionalFormatting>
  <conditionalFormatting sqref="AC103">
    <cfRule type="expression" dxfId="319" priority="105">
      <formula>M102=TRUE</formula>
    </cfRule>
  </conditionalFormatting>
  <conditionalFormatting sqref="AC107">
    <cfRule type="expression" dxfId="318" priority="93">
      <formula>M107=TRUE</formula>
    </cfRule>
  </conditionalFormatting>
  <conditionalFormatting sqref="AC108">
    <cfRule type="expression" dxfId="317" priority="94">
      <formula>M107=TRUE</formula>
    </cfRule>
  </conditionalFormatting>
  <conditionalFormatting sqref="AC9:AD9">
    <cfRule type="expression" dxfId="316" priority="609">
      <formula>OR(M12,M17,M22,M27,M32,M37,M42,M47,M52,M57,M62,M67,M72,M77,M82,M87,M92,M97,M102,M107)=TRUE</formula>
    </cfRule>
  </conditionalFormatting>
  <conditionalFormatting sqref="AD12">
    <cfRule type="expression" dxfId="315" priority="597">
      <formula>M12=FALSE</formula>
    </cfRule>
    <cfRule type="expression" dxfId="314" priority="598">
      <formula>AB13=TRUE</formula>
    </cfRule>
  </conditionalFormatting>
  <conditionalFormatting sqref="AD13">
    <cfRule type="expression" dxfId="313" priority="615">
      <formula>AND(AB13,M12)=TRUE</formula>
    </cfRule>
  </conditionalFormatting>
  <conditionalFormatting sqref="AD17">
    <cfRule type="expression" dxfId="312" priority="76">
      <formula>M17=FALSE</formula>
    </cfRule>
    <cfRule type="expression" dxfId="311" priority="77">
      <formula>AB18=TRUE</formula>
    </cfRule>
  </conditionalFormatting>
  <conditionalFormatting sqref="AD18">
    <cfRule type="expression" dxfId="310" priority="78">
      <formula>AND(AB18,M17)=TRUE</formula>
    </cfRule>
  </conditionalFormatting>
  <conditionalFormatting sqref="AD22">
    <cfRule type="expression" dxfId="309" priority="73">
      <formula>M22=FALSE</formula>
    </cfRule>
    <cfRule type="expression" dxfId="308" priority="74">
      <formula>AB23=TRUE</formula>
    </cfRule>
  </conditionalFormatting>
  <conditionalFormatting sqref="AD23">
    <cfRule type="expression" dxfId="307" priority="75">
      <formula>AND(AB23,M22)=TRUE</formula>
    </cfRule>
  </conditionalFormatting>
  <conditionalFormatting sqref="AD27">
    <cfRule type="expression" dxfId="306" priority="71">
      <formula>AB28=TRUE</formula>
    </cfRule>
    <cfRule type="expression" dxfId="305" priority="70">
      <formula>M27=FALSE</formula>
    </cfRule>
  </conditionalFormatting>
  <conditionalFormatting sqref="AD28">
    <cfRule type="expression" dxfId="304" priority="72">
      <formula>AND(AB28,M27)=TRUE</formula>
    </cfRule>
  </conditionalFormatting>
  <conditionalFormatting sqref="AD32">
    <cfRule type="expression" dxfId="303" priority="68">
      <formula>AB33=TRUE</formula>
    </cfRule>
    <cfRule type="expression" dxfId="302" priority="67">
      <formula>M32=FALSE</formula>
    </cfRule>
  </conditionalFormatting>
  <conditionalFormatting sqref="AD33">
    <cfRule type="expression" dxfId="301" priority="69">
      <formula>AND(AB33,M32)=TRUE</formula>
    </cfRule>
  </conditionalFormatting>
  <conditionalFormatting sqref="AD37">
    <cfRule type="expression" dxfId="300" priority="64">
      <formula>M37=FALSE</formula>
    </cfRule>
    <cfRule type="expression" dxfId="299" priority="65">
      <formula>AB38=TRUE</formula>
    </cfRule>
  </conditionalFormatting>
  <conditionalFormatting sqref="AD38">
    <cfRule type="expression" dxfId="298" priority="66">
      <formula>AND(AB38,M37)=TRUE</formula>
    </cfRule>
  </conditionalFormatting>
  <conditionalFormatting sqref="AD42">
    <cfRule type="expression" dxfId="297" priority="62">
      <formula>AB43=TRUE</formula>
    </cfRule>
    <cfRule type="expression" dxfId="296" priority="61">
      <formula>M42=FALSE</formula>
    </cfRule>
  </conditionalFormatting>
  <conditionalFormatting sqref="AD43">
    <cfRule type="expression" dxfId="295" priority="63">
      <formula>AND(AB43,M42)=TRUE</formula>
    </cfRule>
  </conditionalFormatting>
  <conditionalFormatting sqref="AD47">
    <cfRule type="expression" dxfId="294" priority="58">
      <formula>M47=FALSE</formula>
    </cfRule>
    <cfRule type="expression" dxfId="293" priority="59">
      <formula>AB48=TRUE</formula>
    </cfRule>
  </conditionalFormatting>
  <conditionalFormatting sqref="AD48">
    <cfRule type="expression" dxfId="292" priority="60">
      <formula>AND(AB48,M47)=TRUE</formula>
    </cfRule>
  </conditionalFormatting>
  <conditionalFormatting sqref="AD52">
    <cfRule type="expression" dxfId="291" priority="56">
      <formula>AB53=TRUE</formula>
    </cfRule>
    <cfRule type="expression" dxfId="290" priority="55">
      <formula>M52=FALSE</formula>
    </cfRule>
  </conditionalFormatting>
  <conditionalFormatting sqref="AD53">
    <cfRule type="expression" dxfId="289" priority="57">
      <formula>AND(AB53,M52)=TRUE</formula>
    </cfRule>
  </conditionalFormatting>
  <conditionalFormatting sqref="AD57">
    <cfRule type="expression" dxfId="288" priority="53">
      <formula>AB58=TRUE</formula>
    </cfRule>
    <cfRule type="expression" dxfId="287" priority="52">
      <formula>M57=FALSE</formula>
    </cfRule>
  </conditionalFormatting>
  <conditionalFormatting sqref="AD58">
    <cfRule type="expression" dxfId="286" priority="54">
      <formula>AND(AB58,M57)=TRUE</formula>
    </cfRule>
  </conditionalFormatting>
  <conditionalFormatting sqref="AD62">
    <cfRule type="expression" dxfId="285" priority="50">
      <formula>AB63=TRUE</formula>
    </cfRule>
    <cfRule type="expression" dxfId="284" priority="49">
      <formula>M62=FALSE</formula>
    </cfRule>
  </conditionalFormatting>
  <conditionalFormatting sqref="AD63">
    <cfRule type="expression" dxfId="283" priority="51">
      <formula>AND(AB63,M62)=TRUE</formula>
    </cfRule>
  </conditionalFormatting>
  <conditionalFormatting sqref="AD67">
    <cfRule type="expression" dxfId="282" priority="46">
      <formula>M67=FALSE</formula>
    </cfRule>
    <cfRule type="expression" dxfId="281" priority="47">
      <formula>AB68=TRUE</formula>
    </cfRule>
  </conditionalFormatting>
  <conditionalFormatting sqref="AD68">
    <cfRule type="expression" dxfId="280" priority="48">
      <formula>AND(AB68,M67)=TRUE</formula>
    </cfRule>
  </conditionalFormatting>
  <conditionalFormatting sqref="AD72">
    <cfRule type="expression" dxfId="279" priority="43">
      <formula>M72=FALSE</formula>
    </cfRule>
    <cfRule type="expression" dxfId="278" priority="44">
      <formula>AB73=TRUE</formula>
    </cfRule>
  </conditionalFormatting>
  <conditionalFormatting sqref="AD73">
    <cfRule type="expression" dxfId="277" priority="45">
      <formula>AND(AB73,M72)=TRUE</formula>
    </cfRule>
  </conditionalFormatting>
  <conditionalFormatting sqref="AD77">
    <cfRule type="expression" dxfId="276" priority="40">
      <formula>M77=FALSE</formula>
    </cfRule>
    <cfRule type="expression" dxfId="275" priority="41">
      <formula>AB78=TRUE</formula>
    </cfRule>
  </conditionalFormatting>
  <conditionalFormatting sqref="AD78">
    <cfRule type="expression" dxfId="274" priority="42">
      <formula>AND(AB78,M77)=TRUE</formula>
    </cfRule>
  </conditionalFormatting>
  <conditionalFormatting sqref="AD82">
    <cfRule type="expression" dxfId="273" priority="37">
      <formula>M82=FALSE</formula>
    </cfRule>
    <cfRule type="expression" dxfId="272" priority="38">
      <formula>AB83=TRUE</formula>
    </cfRule>
  </conditionalFormatting>
  <conditionalFormatting sqref="AD83">
    <cfRule type="expression" dxfId="271" priority="39">
      <formula>AND(AB83,M82)=TRUE</formula>
    </cfRule>
  </conditionalFormatting>
  <conditionalFormatting sqref="AD87">
    <cfRule type="expression" dxfId="270" priority="34">
      <formula>M87=FALSE</formula>
    </cfRule>
    <cfRule type="expression" dxfId="269" priority="35">
      <formula>AB88=TRUE</formula>
    </cfRule>
  </conditionalFormatting>
  <conditionalFormatting sqref="AD88">
    <cfRule type="expression" dxfId="268" priority="36">
      <formula>AND(AB88,M87)=TRUE</formula>
    </cfRule>
  </conditionalFormatting>
  <conditionalFormatting sqref="AD92">
    <cfRule type="expression" dxfId="267" priority="31">
      <formula>M92=FALSE</formula>
    </cfRule>
    <cfRule type="expression" dxfId="266" priority="32">
      <formula>AB93=TRUE</formula>
    </cfRule>
  </conditionalFormatting>
  <conditionalFormatting sqref="AD93">
    <cfRule type="expression" dxfId="265" priority="33">
      <formula>AND(AB93,M92)=TRUE</formula>
    </cfRule>
  </conditionalFormatting>
  <conditionalFormatting sqref="AD97">
    <cfRule type="expression" dxfId="264" priority="28">
      <formula>M97=FALSE</formula>
    </cfRule>
    <cfRule type="expression" dxfId="263" priority="29">
      <formula>AB98=TRUE</formula>
    </cfRule>
  </conditionalFormatting>
  <conditionalFormatting sqref="AD98">
    <cfRule type="expression" dxfId="262" priority="30">
      <formula>AND(AB98,M97)=TRUE</formula>
    </cfRule>
  </conditionalFormatting>
  <conditionalFormatting sqref="AD102">
    <cfRule type="expression" dxfId="261" priority="25">
      <formula>M102=FALSE</formula>
    </cfRule>
    <cfRule type="expression" dxfId="260" priority="26">
      <formula>AB103=TRUE</formula>
    </cfRule>
  </conditionalFormatting>
  <conditionalFormatting sqref="AD103">
    <cfRule type="expression" dxfId="259" priority="27">
      <formula>AND(AB103,M102)=TRUE</formula>
    </cfRule>
  </conditionalFormatting>
  <conditionalFormatting sqref="AD107">
    <cfRule type="expression" dxfId="258" priority="22">
      <formula>M107=FALSE</formula>
    </cfRule>
    <cfRule type="expression" dxfId="257" priority="23">
      <formula>AB108=TRUE</formula>
    </cfRule>
  </conditionalFormatting>
  <conditionalFormatting sqref="AD108">
    <cfRule type="expression" dxfId="256" priority="24">
      <formula>AND(AB108,M107)=TRUE</formula>
    </cfRule>
  </conditionalFormatting>
  <dataValidations count="3">
    <dataValidation type="list" allowBlank="1" showInputMessage="1" showErrorMessage="1" sqref="E12 E17 E22 E27 E32 E37 E42 E47 E52 E57 E62 E67 E72 E77 E82 E87 E92 E97 E102 E107" xr:uid="{9C065E62-4606-4E1F-BF8E-222956ADDC5B}">
      <formula1>Policymode</formula1>
    </dataValidation>
    <dataValidation type="list" allowBlank="1" showInputMessage="1" showErrorMessage="1" sqref="R12 R17 R22 R27 R32 R37 R42 R47 R52 R57 R62 R67 R72 R77 R82 R87 R92 R97 R102 R107" xr:uid="{74780F9C-6FAB-469A-AD75-AB7A49A1868A}">
      <formula1>rules</formula1>
    </dataValidation>
    <dataValidation type="list" allowBlank="1" showInputMessage="1" showErrorMessage="1" sqref="I12 I106:I107 I17 I22 I27 I32 I37 I42 I47 I52 I57 I62 I67 I72 I77 I82 I87 I92 I97 I102" xr:uid="{E9F9C372-23FD-456F-9F49-9D5489140E9C}">
      <formula1>SubL</formula1>
    </dataValidation>
  </dataValidations>
  <hyperlinks>
    <hyperlink ref="C4" r:id="rId1" xr:uid="{C9D9E280-FF7D-45D5-BAF5-370ADDEC1CD2}"/>
    <hyperlink ref="I4" r:id="rId2" xr:uid="{BF9A6A71-31FE-4DD0-AAC5-931F39658013}"/>
    <hyperlink ref="K4" r:id="rId3" xr:uid="{4F581D7F-F86E-43BF-A284-C9CE38136DAD}"/>
    <hyperlink ref="M5:N5" r:id="rId4" display="Scan data sources in Data Map" xr:uid="{559A5FD6-FE73-45F1-9B33-E2F5638422AD}"/>
    <hyperlink ref="M4:N4" r:id="rId5" location="role-groups-in-the-security--compliance-center" display="Roles and role groups" xr:uid="{8122B608-4916-4168-85F7-7C1C3F005531}"/>
    <hyperlink ref="AB4:AE4" r:id="rId6" location="label-priority-order-matters" display="Label priority (order matters)" xr:uid="{409666E5-6585-4500-8FF3-F8E913174C8A}"/>
    <hyperlink ref="AB5:AE5" r:id="rId7" location="rights-management-issuer-and-rights-management-owner" display="Rights Management issuer and Rights Management owner" xr:uid="{2E51085A-375A-43FF-A171-17AE58C80256}"/>
    <hyperlink ref="E4" r:id="rId8" location="learn-about-simulation-mode" xr:uid="{DF8C90CD-8431-4E9D-BECD-B287A1F90171}"/>
  </hyperlinks>
  <pageMargins left="0.7" right="0.7" top="0.75" bottom="0.75" header="0.3" footer="0.3"/>
  <pageSetup orientation="portrait" horizontalDpi="300" verticalDpi="300" r:id="rId9"/>
  <extLst>
    <ext xmlns:x14="http://schemas.microsoft.com/office/spreadsheetml/2009/9/main" uri="{78C0D931-6437-407d-A8EE-F0AAD7539E65}">
      <x14:conditionalFormattings>
        <x14:conditionalFormatting xmlns:xm="http://schemas.microsoft.com/office/excel/2006/main">
          <x14:cfRule type="expression" priority="86" id="{871F0DE1-652F-4533-A833-4567997802B4}">
            <xm:f>OR(R12,R17)=INputs!$AX$3</xm:f>
            <x14:dxf>
              <font>
                <color theme="1"/>
              </font>
            </x14:dxf>
          </x14:cfRule>
          <xm:sqref>T2</xm:sqref>
        </x14:conditionalFormatting>
        <x14:conditionalFormatting xmlns:xm="http://schemas.microsoft.com/office/excel/2006/main">
          <x14:cfRule type="expression" priority="299" id="{9B23CA34-A37F-49C0-8C03-2D52EC1807F8}">
            <xm:f>$R12=INputs!$AX$3</xm:f>
            <x14:dxf>
              <font>
                <color theme="1"/>
              </font>
              <border>
                <left style="thin">
                  <color auto="1"/>
                </left>
                <right style="thin">
                  <color auto="1"/>
                </right>
                <top style="thin">
                  <color auto="1"/>
                </top>
                <bottom style="thin">
                  <color auto="1"/>
                </bottom>
                <vertical/>
                <horizontal/>
              </border>
            </x14:dxf>
          </x14:cfRule>
          <xm:sqref>T12</xm:sqref>
        </x14:conditionalFormatting>
        <x14:conditionalFormatting xmlns:xm="http://schemas.microsoft.com/office/excel/2006/main">
          <x14:cfRule type="expression" priority="288" id="{01B83A7F-37EE-4220-82AF-666E9892ED7D}">
            <xm:f>$R17=INputs!$AX$3</xm:f>
            <x14:dxf>
              <font>
                <color theme="1"/>
              </font>
              <border>
                <left style="thin">
                  <color auto="1"/>
                </left>
                <right style="thin">
                  <color auto="1"/>
                </right>
                <top style="thin">
                  <color auto="1"/>
                </top>
                <bottom style="thin">
                  <color auto="1"/>
                </bottom>
                <vertical/>
                <horizontal/>
              </border>
            </x14:dxf>
          </x14:cfRule>
          <xm:sqref>T17</xm:sqref>
        </x14:conditionalFormatting>
        <x14:conditionalFormatting xmlns:xm="http://schemas.microsoft.com/office/excel/2006/main">
          <x14:cfRule type="expression" priority="277" id="{D01B17B1-8AC9-49CB-9E30-6EEAF18DC07D}">
            <xm:f>$R22=INputs!$AX$3</xm:f>
            <x14:dxf>
              <font>
                <color theme="1"/>
              </font>
              <border>
                <left style="thin">
                  <color auto="1"/>
                </left>
                <right style="thin">
                  <color auto="1"/>
                </right>
                <top style="thin">
                  <color auto="1"/>
                </top>
                <bottom style="thin">
                  <color auto="1"/>
                </bottom>
                <vertical/>
                <horizontal/>
              </border>
            </x14:dxf>
          </x14:cfRule>
          <xm:sqref>T22</xm:sqref>
        </x14:conditionalFormatting>
        <x14:conditionalFormatting xmlns:xm="http://schemas.microsoft.com/office/excel/2006/main">
          <x14:cfRule type="expression" priority="266" id="{8CFEB7C0-F88B-4C4D-BC1A-9D9C3FEA07C2}">
            <xm:f>$R27=INputs!$AX$3</xm:f>
            <x14:dxf>
              <font>
                <color theme="1"/>
              </font>
              <border>
                <left style="thin">
                  <color auto="1"/>
                </left>
                <right style="thin">
                  <color auto="1"/>
                </right>
                <top style="thin">
                  <color auto="1"/>
                </top>
                <bottom style="thin">
                  <color auto="1"/>
                </bottom>
                <vertical/>
                <horizontal/>
              </border>
            </x14:dxf>
          </x14:cfRule>
          <xm:sqref>T27</xm:sqref>
        </x14:conditionalFormatting>
        <x14:conditionalFormatting xmlns:xm="http://schemas.microsoft.com/office/excel/2006/main">
          <x14:cfRule type="expression" priority="255" id="{602DC64C-6B93-4E87-AA45-39A38911A8A8}">
            <xm:f>$R32=INputs!$AX$3</xm:f>
            <x14:dxf>
              <font>
                <color theme="1"/>
              </font>
              <border>
                <left style="thin">
                  <color auto="1"/>
                </left>
                <right style="thin">
                  <color auto="1"/>
                </right>
                <top style="thin">
                  <color auto="1"/>
                </top>
                <bottom style="thin">
                  <color auto="1"/>
                </bottom>
                <vertical/>
                <horizontal/>
              </border>
            </x14:dxf>
          </x14:cfRule>
          <xm:sqref>T32</xm:sqref>
        </x14:conditionalFormatting>
        <x14:conditionalFormatting xmlns:xm="http://schemas.microsoft.com/office/excel/2006/main">
          <x14:cfRule type="expression" priority="244" id="{B5E728A7-E84F-4899-8D4B-E99FDA4D9ACB}">
            <xm:f>$R37=INputs!$AX$3</xm:f>
            <x14:dxf>
              <font>
                <color theme="1"/>
              </font>
              <border>
                <left style="thin">
                  <color auto="1"/>
                </left>
                <right style="thin">
                  <color auto="1"/>
                </right>
                <top style="thin">
                  <color auto="1"/>
                </top>
                <bottom style="thin">
                  <color auto="1"/>
                </bottom>
                <vertical/>
                <horizontal/>
              </border>
            </x14:dxf>
          </x14:cfRule>
          <xm:sqref>T37</xm:sqref>
        </x14:conditionalFormatting>
        <x14:conditionalFormatting xmlns:xm="http://schemas.microsoft.com/office/excel/2006/main">
          <x14:cfRule type="expression" priority="233" id="{2AFDFD01-A543-48F2-9F4C-67E30E607D63}">
            <xm:f>$R42=INputs!$AX$3</xm:f>
            <x14:dxf>
              <font>
                <color theme="1"/>
              </font>
              <border>
                <left style="thin">
                  <color auto="1"/>
                </left>
                <right style="thin">
                  <color auto="1"/>
                </right>
                <top style="thin">
                  <color auto="1"/>
                </top>
                <bottom style="thin">
                  <color auto="1"/>
                </bottom>
                <vertical/>
                <horizontal/>
              </border>
            </x14:dxf>
          </x14:cfRule>
          <xm:sqref>T42</xm:sqref>
        </x14:conditionalFormatting>
        <x14:conditionalFormatting xmlns:xm="http://schemas.microsoft.com/office/excel/2006/main">
          <x14:cfRule type="expression" priority="222" id="{79C4B00B-E7A6-4139-949F-84E9B85A48DF}">
            <xm:f>$R47=INputs!$AX$3</xm:f>
            <x14:dxf>
              <font>
                <color theme="1"/>
              </font>
              <border>
                <left style="thin">
                  <color auto="1"/>
                </left>
                <right style="thin">
                  <color auto="1"/>
                </right>
                <top style="thin">
                  <color auto="1"/>
                </top>
                <bottom style="thin">
                  <color auto="1"/>
                </bottom>
                <vertical/>
                <horizontal/>
              </border>
            </x14:dxf>
          </x14:cfRule>
          <xm:sqref>T47</xm:sqref>
        </x14:conditionalFormatting>
        <x14:conditionalFormatting xmlns:xm="http://schemas.microsoft.com/office/excel/2006/main">
          <x14:cfRule type="expression" priority="211" id="{8BDA1994-039F-4D12-832F-786802CABEC2}">
            <xm:f>$R52=INputs!$AX$3</xm:f>
            <x14:dxf>
              <font>
                <color theme="1"/>
              </font>
              <border>
                <left style="thin">
                  <color auto="1"/>
                </left>
                <right style="thin">
                  <color auto="1"/>
                </right>
                <top style="thin">
                  <color auto="1"/>
                </top>
                <bottom style="thin">
                  <color auto="1"/>
                </bottom>
                <vertical/>
                <horizontal/>
              </border>
            </x14:dxf>
          </x14:cfRule>
          <xm:sqref>T52</xm:sqref>
        </x14:conditionalFormatting>
        <x14:conditionalFormatting xmlns:xm="http://schemas.microsoft.com/office/excel/2006/main">
          <x14:cfRule type="expression" priority="200" id="{842AC444-DE30-4AC1-83C6-2F706DF4CCA9}">
            <xm:f>$R57=INputs!$AX$3</xm:f>
            <x14:dxf>
              <font>
                <color theme="1"/>
              </font>
              <border>
                <left style="thin">
                  <color auto="1"/>
                </left>
                <right style="thin">
                  <color auto="1"/>
                </right>
                <top style="thin">
                  <color auto="1"/>
                </top>
                <bottom style="thin">
                  <color auto="1"/>
                </bottom>
                <vertical/>
                <horizontal/>
              </border>
            </x14:dxf>
          </x14:cfRule>
          <xm:sqref>T57</xm:sqref>
        </x14:conditionalFormatting>
        <x14:conditionalFormatting xmlns:xm="http://schemas.microsoft.com/office/excel/2006/main">
          <x14:cfRule type="expression" priority="189" id="{FF48BADB-03DC-401B-909B-A11286AFF0F7}">
            <xm:f>$R62=INputs!$AX$3</xm:f>
            <x14:dxf>
              <font>
                <color theme="1"/>
              </font>
              <border>
                <left style="thin">
                  <color auto="1"/>
                </left>
                <right style="thin">
                  <color auto="1"/>
                </right>
                <top style="thin">
                  <color auto="1"/>
                </top>
                <bottom style="thin">
                  <color auto="1"/>
                </bottom>
                <vertical/>
                <horizontal/>
              </border>
            </x14:dxf>
          </x14:cfRule>
          <xm:sqref>T62</xm:sqref>
        </x14:conditionalFormatting>
        <x14:conditionalFormatting xmlns:xm="http://schemas.microsoft.com/office/excel/2006/main">
          <x14:cfRule type="expression" priority="178" id="{5A583529-836A-4A96-B3AB-CF09154C5957}">
            <xm:f>$R67=INputs!$AX$3</xm:f>
            <x14:dxf>
              <font>
                <color theme="1"/>
              </font>
              <border>
                <left style="thin">
                  <color auto="1"/>
                </left>
                <right style="thin">
                  <color auto="1"/>
                </right>
                <top style="thin">
                  <color auto="1"/>
                </top>
                <bottom style="thin">
                  <color auto="1"/>
                </bottom>
                <vertical/>
                <horizontal/>
              </border>
            </x14:dxf>
          </x14:cfRule>
          <xm:sqref>T67</xm:sqref>
        </x14:conditionalFormatting>
        <x14:conditionalFormatting xmlns:xm="http://schemas.microsoft.com/office/excel/2006/main">
          <x14:cfRule type="expression" priority="167" id="{38D171E2-718D-4F80-80C2-22AC142E3570}">
            <xm:f>$R72=INputs!$AX$3</xm:f>
            <x14:dxf>
              <font>
                <color theme="1"/>
              </font>
              <border>
                <left style="thin">
                  <color auto="1"/>
                </left>
                <right style="thin">
                  <color auto="1"/>
                </right>
                <top style="thin">
                  <color auto="1"/>
                </top>
                <bottom style="thin">
                  <color auto="1"/>
                </bottom>
                <vertical/>
                <horizontal/>
              </border>
            </x14:dxf>
          </x14:cfRule>
          <xm:sqref>T72</xm:sqref>
        </x14:conditionalFormatting>
        <x14:conditionalFormatting xmlns:xm="http://schemas.microsoft.com/office/excel/2006/main">
          <x14:cfRule type="expression" priority="156" id="{AD9712E1-F211-4FF2-834A-3AEAD1081C32}">
            <xm:f>$R77=INputs!$AX$3</xm:f>
            <x14:dxf>
              <font>
                <color theme="1"/>
              </font>
              <border>
                <left style="thin">
                  <color auto="1"/>
                </left>
                <right style="thin">
                  <color auto="1"/>
                </right>
                <top style="thin">
                  <color auto="1"/>
                </top>
                <bottom style="thin">
                  <color auto="1"/>
                </bottom>
                <vertical/>
                <horizontal/>
              </border>
            </x14:dxf>
          </x14:cfRule>
          <xm:sqref>T77</xm:sqref>
        </x14:conditionalFormatting>
        <x14:conditionalFormatting xmlns:xm="http://schemas.microsoft.com/office/excel/2006/main">
          <x14:cfRule type="expression" priority="145" id="{789B479D-BC20-4FC0-96FF-D53659DC408D}">
            <xm:f>$R82=INputs!$AX$3</xm:f>
            <x14:dxf>
              <font>
                <color theme="1"/>
              </font>
              <border>
                <left style="thin">
                  <color auto="1"/>
                </left>
                <right style="thin">
                  <color auto="1"/>
                </right>
                <top style="thin">
                  <color auto="1"/>
                </top>
                <bottom style="thin">
                  <color auto="1"/>
                </bottom>
                <vertical/>
                <horizontal/>
              </border>
            </x14:dxf>
          </x14:cfRule>
          <xm:sqref>T82</xm:sqref>
        </x14:conditionalFormatting>
        <x14:conditionalFormatting xmlns:xm="http://schemas.microsoft.com/office/excel/2006/main">
          <x14:cfRule type="expression" priority="134" id="{41453EA4-D987-49D2-860B-C6CF2A4AE16E}">
            <xm:f>$R87=INputs!$AX$3</xm:f>
            <x14:dxf>
              <font>
                <color theme="1"/>
              </font>
              <border>
                <left style="thin">
                  <color auto="1"/>
                </left>
                <right style="thin">
                  <color auto="1"/>
                </right>
                <top style="thin">
                  <color auto="1"/>
                </top>
                <bottom style="thin">
                  <color auto="1"/>
                </bottom>
                <vertical/>
                <horizontal/>
              </border>
            </x14:dxf>
          </x14:cfRule>
          <xm:sqref>T87</xm:sqref>
        </x14:conditionalFormatting>
        <x14:conditionalFormatting xmlns:xm="http://schemas.microsoft.com/office/excel/2006/main">
          <x14:cfRule type="expression" priority="123" id="{FDE1826D-A0ED-432D-920F-DDE82E6D250F}">
            <xm:f>$R92=INputs!$AX$3</xm:f>
            <x14:dxf>
              <font>
                <color theme="1"/>
              </font>
              <border>
                <left style="thin">
                  <color auto="1"/>
                </left>
                <right style="thin">
                  <color auto="1"/>
                </right>
                <top style="thin">
                  <color auto="1"/>
                </top>
                <bottom style="thin">
                  <color auto="1"/>
                </bottom>
                <vertical/>
                <horizontal/>
              </border>
            </x14:dxf>
          </x14:cfRule>
          <xm:sqref>T92</xm:sqref>
        </x14:conditionalFormatting>
        <x14:conditionalFormatting xmlns:xm="http://schemas.microsoft.com/office/excel/2006/main">
          <x14:cfRule type="expression" priority="112" id="{1F0AB75A-EFBB-4F4C-81E2-8E572FEA97BF}">
            <xm:f>$R97=INputs!$AX$3</xm:f>
            <x14:dxf>
              <font>
                <color theme="1"/>
              </font>
              <border>
                <left style="thin">
                  <color auto="1"/>
                </left>
                <right style="thin">
                  <color auto="1"/>
                </right>
                <top style="thin">
                  <color auto="1"/>
                </top>
                <bottom style="thin">
                  <color auto="1"/>
                </bottom>
                <vertical/>
                <horizontal/>
              </border>
            </x14:dxf>
          </x14:cfRule>
          <xm:sqref>T97</xm:sqref>
        </x14:conditionalFormatting>
        <x14:conditionalFormatting xmlns:xm="http://schemas.microsoft.com/office/excel/2006/main">
          <x14:cfRule type="expression" priority="101" id="{E3DF1192-259D-4BA4-85DF-F4158D9E60FF}">
            <xm:f>$R102=INputs!$AX$3</xm:f>
            <x14:dxf>
              <font>
                <color theme="1"/>
              </font>
              <border>
                <left style="thin">
                  <color auto="1"/>
                </left>
                <right style="thin">
                  <color auto="1"/>
                </right>
                <top style="thin">
                  <color auto="1"/>
                </top>
                <bottom style="thin">
                  <color auto="1"/>
                </bottom>
                <vertical/>
                <horizontal/>
              </border>
            </x14:dxf>
          </x14:cfRule>
          <xm:sqref>T102</xm:sqref>
        </x14:conditionalFormatting>
        <x14:conditionalFormatting xmlns:xm="http://schemas.microsoft.com/office/excel/2006/main">
          <x14:cfRule type="expression" priority="90" id="{364449A0-C5F0-4398-AF66-83C1503B3DAF}">
            <xm:f>$R107=INputs!$AX$3</xm:f>
            <x14:dxf>
              <font>
                <color theme="1"/>
              </font>
              <border>
                <left style="thin">
                  <color auto="1"/>
                </left>
                <right style="thin">
                  <color auto="1"/>
                </right>
                <top style="thin">
                  <color auto="1"/>
                </top>
                <bottom style="thin">
                  <color auto="1"/>
                </bottom>
                <vertical/>
                <horizontal/>
              </border>
            </x14:dxf>
          </x14:cfRule>
          <xm:sqref>T107</xm:sqref>
        </x14:conditionalFormatting>
        <x14:conditionalFormatting xmlns:xm="http://schemas.microsoft.com/office/excel/2006/main">
          <x14:cfRule type="expression" priority="84" id="{B4765161-A85F-42DD-BAD3-4D124312DA67}">
            <xm:f>OR(AND($R12=INputs!AX$4,$M12=TRUE), AND($R17=INputs!AX$4,$M17=TRUE), AND($R22=INputs!AX$4,$M22=TRUE), AND($R27=INputs!AX$4,$M27=TRUE), AND($R32=INputs!AX$4,$M32=TRUE), AND($R37=INputs!AX$4,$M37=TRUE), AND($R42=INputs!AX$4,$M42=TRUE), AND($R47=INputs!AX$4,$M47=TRUE), AND($R52=INputs!AX$4,$M52=TRUE), AND($R57=INputs!AX$4,$M57=TRUE), AND($R62=INputs!AX$4,$M62=TRUE), AND($R67=INputs!AX$4,$M67=TRUE), AND($R72=INputs!AX$4,$M72=TRUE), AND($R77=INputs!AX$4,$M77=TRUE), AND($R82=INputs!AX$4,$M82=TRUE), AND($R87=INputs!AX$4,$M87=TRUE), AND($R92=INputs!AX$4,$M92=TRUE), AND($R97=INputs!AX$4,$M97=TRUE), AND($R102=INputs!AX$4,$M102=TRUE), AND($R107=INputs!AX$4,$M107=TRUE))</xm:f>
            <x14:dxf>
              <font>
                <color theme="1"/>
              </font>
            </x14:dxf>
          </x14:cfRule>
          <xm:sqref>V2</xm:sqref>
        </x14:conditionalFormatting>
        <x14:conditionalFormatting xmlns:xm="http://schemas.microsoft.com/office/excel/2006/main">
          <x14:cfRule type="expression" priority="79" id="{D74EFDAE-6DAE-476A-BA25-F2A87D3DAC94}">
            <xm:f>OR(AND($R12=INputs!AY$4,$M12=TRUE), AND($R17=INputs!AY$4,$M17=TRUE), AND($R22=INputs!AY$4,$M22=TRUE), AND($R27=INputs!AY$4,$M27=TRUE), AND($R32=INputs!AY$4,$M32=TRUE), AND($R37=INputs!AY$4,$M37=TRUE), AND($R42=INputs!AY$4,$M42=TRUE), AND($R47=INputs!AY$4,$M47=TRUE), AND($R52=INputs!AY$4,$M52=TRUE), AND($R57=INputs!AY$4,$M57=TRUE), AND($R62=INputs!AY$4,$M62=TRUE), AND($R67=INputs!AY$4,$M67=TRUE), AND($R72=INputs!AY$4,$M72=TRUE), AND($R77=INputs!AY$4,$M77=TRUE), AND($R82=INputs!AY$4,$M82=TRUE), AND($R87=INputs!AY$4,$M87=TRUE), AND($R92=INputs!AY$4,$M92=TRUE), AND($R97=INputs!AY$4,$M97=TRUE), AND($R102=INputs!AY$4,$M102=TRUE), AND($R107=INputs!AY$4,$M107=TRUE))</xm:f>
            <x14:dxf>
              <font>
                <color theme="0" tint="-0.34998626667073579"/>
              </font>
            </x14:dxf>
          </x14:cfRule>
          <xm:sqref>V9</xm:sqref>
        </x14:conditionalFormatting>
        <x14:conditionalFormatting xmlns:xm="http://schemas.microsoft.com/office/excel/2006/main">
          <x14:cfRule type="expression" priority="1" id="{8F048268-E388-422E-BD55-DF28CDC61CBB}">
            <xm:f>AND($M$12=TRUE,$R$12=INputs!$AX$4)</xm:f>
            <x14:dxf>
              <font>
                <color theme="1"/>
              </font>
              <border>
                <left style="thin">
                  <color auto="1"/>
                </left>
                <right style="thin">
                  <color auto="1"/>
                </right>
                <top style="thin">
                  <color auto="1"/>
                </top>
                <bottom style="thin">
                  <color auto="1"/>
                </bottom>
              </border>
            </x14:dxf>
          </x14:cfRule>
          <xm:sqref>V12</xm:sqref>
        </x14:conditionalFormatting>
        <x14:conditionalFormatting xmlns:xm="http://schemas.microsoft.com/office/excel/2006/main">
          <x14:cfRule type="expression" priority="287" stopIfTrue="1" id="{552257B8-4262-4BBD-A5C3-8DDC647146AC}">
            <xm:f>AND($R17=INputs!$AX$4,$M17=TRUE)</xm:f>
            <x14:dxf>
              <font>
                <color theme="1"/>
              </font>
              <border>
                <left style="thin">
                  <color auto="1"/>
                </left>
                <right style="thin">
                  <color auto="1"/>
                </right>
                <top style="thin">
                  <color auto="1"/>
                </top>
                <bottom style="thin">
                  <color auto="1"/>
                </bottom>
                <vertical/>
                <horizontal/>
              </border>
            </x14:dxf>
          </x14:cfRule>
          <xm:sqref>V17</xm:sqref>
        </x14:conditionalFormatting>
        <x14:conditionalFormatting xmlns:xm="http://schemas.microsoft.com/office/excel/2006/main">
          <x14:cfRule type="expression" priority="276" stopIfTrue="1" id="{34B6077C-5964-4653-B240-9C09CA48EFAF}">
            <xm:f>AND($R22=INputs!$AX$4,$M22=TRUE)</xm:f>
            <x14:dxf>
              <font>
                <color theme="1"/>
              </font>
              <border>
                <left style="thin">
                  <color auto="1"/>
                </left>
                <right style="thin">
                  <color auto="1"/>
                </right>
                <top style="thin">
                  <color auto="1"/>
                </top>
                <bottom style="thin">
                  <color auto="1"/>
                </bottom>
                <vertical/>
                <horizontal/>
              </border>
            </x14:dxf>
          </x14:cfRule>
          <xm:sqref>V22</xm:sqref>
        </x14:conditionalFormatting>
        <x14:conditionalFormatting xmlns:xm="http://schemas.microsoft.com/office/excel/2006/main">
          <x14:cfRule type="expression" priority="265" stopIfTrue="1" id="{02CDB1A7-4A9C-4048-BE30-6378C878ED9C}">
            <xm:f>AND($R27=INputs!$AX$4,$M27=TRUE)</xm:f>
            <x14:dxf>
              <font>
                <color theme="1"/>
              </font>
              <border>
                <left style="thin">
                  <color auto="1"/>
                </left>
                <right style="thin">
                  <color auto="1"/>
                </right>
                <top style="thin">
                  <color auto="1"/>
                </top>
                <bottom style="thin">
                  <color auto="1"/>
                </bottom>
                <vertical/>
                <horizontal/>
              </border>
            </x14:dxf>
          </x14:cfRule>
          <xm:sqref>V27</xm:sqref>
        </x14:conditionalFormatting>
        <x14:conditionalFormatting xmlns:xm="http://schemas.microsoft.com/office/excel/2006/main">
          <x14:cfRule type="expression" priority="254" stopIfTrue="1" id="{41903AFA-0A76-43F8-A4F4-C2FC464EC66F}">
            <xm:f>AND($R32=INputs!$AX$4,$M32=TRUE)</xm:f>
            <x14:dxf>
              <font>
                <color theme="1"/>
              </font>
              <border>
                <left style="thin">
                  <color auto="1"/>
                </left>
                <right style="thin">
                  <color auto="1"/>
                </right>
                <top style="thin">
                  <color auto="1"/>
                </top>
                <bottom style="thin">
                  <color auto="1"/>
                </bottom>
                <vertical/>
                <horizontal/>
              </border>
            </x14:dxf>
          </x14:cfRule>
          <xm:sqref>V32</xm:sqref>
        </x14:conditionalFormatting>
        <x14:conditionalFormatting xmlns:xm="http://schemas.microsoft.com/office/excel/2006/main">
          <x14:cfRule type="expression" priority="243" stopIfTrue="1" id="{3F32E42F-7A13-437D-8274-67BA9E818DCD}">
            <xm:f>AND($R37=INputs!$AX$4,$M37=TRUE)</xm:f>
            <x14:dxf>
              <font>
                <color theme="1"/>
              </font>
              <border>
                <left style="thin">
                  <color auto="1"/>
                </left>
                <right style="thin">
                  <color auto="1"/>
                </right>
                <top style="thin">
                  <color auto="1"/>
                </top>
                <bottom style="thin">
                  <color auto="1"/>
                </bottom>
                <vertical/>
                <horizontal/>
              </border>
            </x14:dxf>
          </x14:cfRule>
          <xm:sqref>V37</xm:sqref>
        </x14:conditionalFormatting>
        <x14:conditionalFormatting xmlns:xm="http://schemas.microsoft.com/office/excel/2006/main">
          <x14:cfRule type="expression" priority="232" stopIfTrue="1" id="{3D6F002C-3A91-47A8-B8BA-93BAF1C32F94}">
            <xm:f>AND($R42=INputs!$AX$4,$M42=TRUE)</xm:f>
            <x14:dxf>
              <font>
                <color theme="1"/>
              </font>
              <border>
                <left style="thin">
                  <color auto="1"/>
                </left>
                <right style="thin">
                  <color auto="1"/>
                </right>
                <top style="thin">
                  <color auto="1"/>
                </top>
                <bottom style="thin">
                  <color auto="1"/>
                </bottom>
                <vertical/>
                <horizontal/>
              </border>
            </x14:dxf>
          </x14:cfRule>
          <xm:sqref>V42</xm:sqref>
        </x14:conditionalFormatting>
        <x14:conditionalFormatting xmlns:xm="http://schemas.microsoft.com/office/excel/2006/main">
          <x14:cfRule type="expression" priority="221" stopIfTrue="1" id="{80AD31EE-5512-4500-9F53-179948AF14BC}">
            <xm:f>AND($R47=INputs!$AX$4,$M47=TRUE)</xm:f>
            <x14:dxf>
              <font>
                <color theme="1"/>
              </font>
              <border>
                <left style="thin">
                  <color auto="1"/>
                </left>
                <right style="thin">
                  <color auto="1"/>
                </right>
                <top style="thin">
                  <color auto="1"/>
                </top>
                <bottom style="thin">
                  <color auto="1"/>
                </bottom>
                <vertical/>
                <horizontal/>
              </border>
            </x14:dxf>
          </x14:cfRule>
          <xm:sqref>V47</xm:sqref>
        </x14:conditionalFormatting>
        <x14:conditionalFormatting xmlns:xm="http://schemas.microsoft.com/office/excel/2006/main">
          <x14:cfRule type="expression" priority="210" stopIfTrue="1" id="{7E1540F6-E78C-49BB-B4EE-67FA4F93B1CE}">
            <xm:f>AND($R52=INputs!$AX$4,$M52=TRUE)</xm:f>
            <x14:dxf>
              <font>
                <color theme="1"/>
              </font>
              <border>
                <left style="thin">
                  <color auto="1"/>
                </left>
                <right style="thin">
                  <color auto="1"/>
                </right>
                <top style="thin">
                  <color auto="1"/>
                </top>
                <bottom style="thin">
                  <color auto="1"/>
                </bottom>
                <vertical/>
                <horizontal/>
              </border>
            </x14:dxf>
          </x14:cfRule>
          <xm:sqref>V52</xm:sqref>
        </x14:conditionalFormatting>
        <x14:conditionalFormatting xmlns:xm="http://schemas.microsoft.com/office/excel/2006/main">
          <x14:cfRule type="expression" priority="199" stopIfTrue="1" id="{E8DD8E08-4D52-41BD-AAD6-A84549EC8E20}">
            <xm:f>AND($R57=INputs!$AX$4,$M57=TRUE)</xm:f>
            <x14:dxf>
              <font>
                <color theme="1"/>
              </font>
              <border>
                <left style="thin">
                  <color auto="1"/>
                </left>
                <right style="thin">
                  <color auto="1"/>
                </right>
                <top style="thin">
                  <color auto="1"/>
                </top>
                <bottom style="thin">
                  <color auto="1"/>
                </bottom>
                <vertical/>
                <horizontal/>
              </border>
            </x14:dxf>
          </x14:cfRule>
          <xm:sqref>V57</xm:sqref>
        </x14:conditionalFormatting>
        <x14:conditionalFormatting xmlns:xm="http://schemas.microsoft.com/office/excel/2006/main">
          <x14:cfRule type="expression" priority="188" stopIfTrue="1" id="{3A51CFB7-D8E3-4743-BC15-1F186BE874DD}">
            <xm:f>AND($R62=INputs!$AX$4,$M62=TRUE)</xm:f>
            <x14:dxf>
              <font>
                <color theme="1"/>
              </font>
              <border>
                <left style="thin">
                  <color auto="1"/>
                </left>
                <right style="thin">
                  <color auto="1"/>
                </right>
                <top style="thin">
                  <color auto="1"/>
                </top>
                <bottom style="thin">
                  <color auto="1"/>
                </bottom>
                <vertical/>
                <horizontal/>
              </border>
            </x14:dxf>
          </x14:cfRule>
          <xm:sqref>V62</xm:sqref>
        </x14:conditionalFormatting>
        <x14:conditionalFormatting xmlns:xm="http://schemas.microsoft.com/office/excel/2006/main">
          <x14:cfRule type="expression" priority="177" stopIfTrue="1" id="{2AA93155-85BA-4EFE-A39A-4CFDCB62FE24}">
            <xm:f>AND($R67=INputs!$AX$4,$M67=TRUE)</xm:f>
            <x14:dxf>
              <font>
                <color theme="1"/>
              </font>
              <border>
                <left style="thin">
                  <color auto="1"/>
                </left>
                <right style="thin">
                  <color auto="1"/>
                </right>
                <top style="thin">
                  <color auto="1"/>
                </top>
                <bottom style="thin">
                  <color auto="1"/>
                </bottom>
                <vertical/>
                <horizontal/>
              </border>
            </x14:dxf>
          </x14:cfRule>
          <xm:sqref>V67</xm:sqref>
        </x14:conditionalFormatting>
        <x14:conditionalFormatting xmlns:xm="http://schemas.microsoft.com/office/excel/2006/main">
          <x14:cfRule type="expression" priority="166" stopIfTrue="1" id="{873A0A0C-0175-49DF-9026-2CA51BE92541}">
            <xm:f>AND($R72=INputs!$AX$4,$M72=TRUE)</xm:f>
            <x14:dxf>
              <font>
                <color theme="1"/>
              </font>
              <border>
                <left style="thin">
                  <color auto="1"/>
                </left>
                <right style="thin">
                  <color auto="1"/>
                </right>
                <top style="thin">
                  <color auto="1"/>
                </top>
                <bottom style="thin">
                  <color auto="1"/>
                </bottom>
                <vertical/>
                <horizontal/>
              </border>
            </x14:dxf>
          </x14:cfRule>
          <xm:sqref>V72</xm:sqref>
        </x14:conditionalFormatting>
        <x14:conditionalFormatting xmlns:xm="http://schemas.microsoft.com/office/excel/2006/main">
          <x14:cfRule type="expression" priority="155" stopIfTrue="1" id="{0673FA05-CD07-4134-8DAB-68E6B01959A7}">
            <xm:f>AND($R77=INputs!$AX$4,$M77=TRUE)</xm:f>
            <x14:dxf>
              <font>
                <color theme="1"/>
              </font>
              <border>
                <left style="thin">
                  <color auto="1"/>
                </left>
                <right style="thin">
                  <color auto="1"/>
                </right>
                <top style="thin">
                  <color auto="1"/>
                </top>
                <bottom style="thin">
                  <color auto="1"/>
                </bottom>
                <vertical/>
                <horizontal/>
              </border>
            </x14:dxf>
          </x14:cfRule>
          <xm:sqref>V77</xm:sqref>
        </x14:conditionalFormatting>
        <x14:conditionalFormatting xmlns:xm="http://schemas.microsoft.com/office/excel/2006/main">
          <x14:cfRule type="expression" priority="144" stopIfTrue="1" id="{0FE08667-3DC7-4E89-BCE2-7504EF698CB8}">
            <xm:f>AND($R82=INputs!$AX$4,$M82=TRUE)</xm:f>
            <x14:dxf>
              <font>
                <color theme="1"/>
              </font>
              <border>
                <left style="thin">
                  <color auto="1"/>
                </left>
                <right style="thin">
                  <color auto="1"/>
                </right>
                <top style="thin">
                  <color auto="1"/>
                </top>
                <bottom style="thin">
                  <color auto="1"/>
                </bottom>
                <vertical/>
                <horizontal/>
              </border>
            </x14:dxf>
          </x14:cfRule>
          <xm:sqref>V82</xm:sqref>
        </x14:conditionalFormatting>
        <x14:conditionalFormatting xmlns:xm="http://schemas.microsoft.com/office/excel/2006/main">
          <x14:cfRule type="expression" priority="133" stopIfTrue="1" id="{2A2AB61E-719F-4D2F-AD49-9EB68BC8B195}">
            <xm:f>AND($R87=INputs!$AX$4,$M87=TRUE)</xm:f>
            <x14:dxf>
              <font>
                <color theme="1"/>
              </font>
              <border>
                <left style="thin">
                  <color auto="1"/>
                </left>
                <right style="thin">
                  <color auto="1"/>
                </right>
                <top style="thin">
                  <color auto="1"/>
                </top>
                <bottom style="thin">
                  <color auto="1"/>
                </bottom>
                <vertical/>
                <horizontal/>
              </border>
            </x14:dxf>
          </x14:cfRule>
          <xm:sqref>V87</xm:sqref>
        </x14:conditionalFormatting>
        <x14:conditionalFormatting xmlns:xm="http://schemas.microsoft.com/office/excel/2006/main">
          <x14:cfRule type="expression" priority="122" stopIfTrue="1" id="{C59DF3B9-A880-4A2F-8BEE-04837F63E7C4}">
            <xm:f>AND($R92=INputs!$AX$4,$M92=TRUE)</xm:f>
            <x14:dxf>
              <font>
                <color theme="1"/>
              </font>
              <border>
                <left style="thin">
                  <color auto="1"/>
                </left>
                <right style="thin">
                  <color auto="1"/>
                </right>
                <top style="thin">
                  <color auto="1"/>
                </top>
                <bottom style="thin">
                  <color auto="1"/>
                </bottom>
                <vertical/>
                <horizontal/>
              </border>
            </x14:dxf>
          </x14:cfRule>
          <xm:sqref>V92</xm:sqref>
        </x14:conditionalFormatting>
        <x14:conditionalFormatting xmlns:xm="http://schemas.microsoft.com/office/excel/2006/main">
          <x14:cfRule type="expression" priority="111" stopIfTrue="1" id="{BE53F2BC-9079-4DF6-8B66-C95ADAE99D6A}">
            <xm:f>AND($R97=INputs!$AX$4,$M97=TRUE)</xm:f>
            <x14:dxf>
              <font>
                <color theme="1"/>
              </font>
              <border>
                <left style="thin">
                  <color auto="1"/>
                </left>
                <right style="thin">
                  <color auto="1"/>
                </right>
                <top style="thin">
                  <color auto="1"/>
                </top>
                <bottom style="thin">
                  <color auto="1"/>
                </bottom>
                <vertical/>
                <horizontal/>
              </border>
            </x14:dxf>
          </x14:cfRule>
          <xm:sqref>V97</xm:sqref>
        </x14:conditionalFormatting>
        <x14:conditionalFormatting xmlns:xm="http://schemas.microsoft.com/office/excel/2006/main">
          <x14:cfRule type="expression" priority="100" stopIfTrue="1" id="{B02EDC7E-0918-42D8-8929-25183B9B65DF}">
            <xm:f>AND($R102=INputs!$AX$4,$M102=TRUE)</xm:f>
            <x14:dxf>
              <font>
                <color theme="1"/>
              </font>
              <border>
                <left style="thin">
                  <color auto="1"/>
                </left>
                <right style="thin">
                  <color auto="1"/>
                </right>
                <top style="thin">
                  <color auto="1"/>
                </top>
                <bottom style="thin">
                  <color auto="1"/>
                </bottom>
                <vertical/>
                <horizontal/>
              </border>
            </x14:dxf>
          </x14:cfRule>
          <xm:sqref>V102</xm:sqref>
        </x14:conditionalFormatting>
        <x14:conditionalFormatting xmlns:xm="http://schemas.microsoft.com/office/excel/2006/main">
          <x14:cfRule type="expression" priority="89" stopIfTrue="1" id="{BF62125B-18CB-4793-BEF7-FB7F3C6493DB}">
            <xm:f>AND($R107=INputs!$AX$4,$M107=TRUE)</xm:f>
            <x14:dxf>
              <font>
                <color theme="1"/>
              </font>
              <border>
                <left style="thin">
                  <color auto="1"/>
                </left>
                <right style="thin">
                  <color auto="1"/>
                </right>
                <top style="thin">
                  <color auto="1"/>
                </top>
                <bottom style="thin">
                  <color auto="1"/>
                </bottom>
                <vertical/>
                <horizontal/>
              </border>
            </x14:dxf>
          </x14:cfRule>
          <xm:sqref>V107</xm:sqref>
        </x14:conditionalFormatting>
        <x14:conditionalFormatting xmlns:xm="http://schemas.microsoft.com/office/excel/2006/main">
          <x14:cfRule type="expression" priority="83" id="{735665FA-EB75-4304-9CFC-1FB135FE4614}">
            <xm:f>OR(AND($R12=INputs!AX$4,$M13=TRUE), AND($R17=INputs!AX$4,$M18=TRUE), AND($R22=INputs!AX$4,$M23=TRUE), AND($R27=INputs!AX$4,$M28=TRUE), AND($R32=INputs!AX$4,$M33=TRUE), AND($R37=INputs!AX$4,$M38=TRUE), AND($R42=INputs!AX$4,$M43=TRUE), AND($R47=INputs!AX$4,$M48=TRUE), AND($R52=INputs!AX$4,$M53=TRUE), AND($R57=INputs!AX$4,$M58=TRUE), AND($R62=INputs!AX$4,$M63=TRUE), AND($R67=INputs!AX$4,$M68=TRUE), AND($R72=INputs!AX$4,$M73=TRUE), AND($R77=INputs!AX$4,$M78=TRUE), AND($R82=INputs!AX$4,$M83=TRUE), AND($R87=INputs!AX$4,$M88=TRUE), AND($R92=INputs!AX$4,$M93=TRUE), AND($R97=INputs!AX$4,$M98=TRUE), AND($R102=INputs!AX$4,$M103=TRUE), AND($R107=INputs!AX$4,$M108=TRUE))</xm:f>
            <x14:dxf>
              <font>
                <color theme="1"/>
              </font>
            </x14:dxf>
          </x14:cfRule>
          <xm:sqref>X2</xm:sqref>
        </x14:conditionalFormatting>
        <x14:conditionalFormatting xmlns:xm="http://schemas.microsoft.com/office/excel/2006/main">
          <x14:cfRule type="expression" priority="80" id="{2FA3F982-9F78-41E6-90DD-B927D5ACA94D}">
            <xm:f>OR(AND($R12=INputs!AY$4,$M13=TRUE), AND($R17=INputs!AY$4,$M18=TRUE), AND($R22=INputs!AY$4,$M23=TRUE), AND($R27=INputs!AY$4,$M28=TRUE), AND($R32=INputs!AY$4,$M33=TRUE), AND($R37=INputs!AY$4,$M38=TRUE), AND($R42=INputs!AY$4,$M43=TRUE), AND($R47=INputs!AY$4,$M48=TRUE), AND($R52=INputs!AY$4,$M53=TRUE), AND($R57=INputs!AY$4,$M58=TRUE), AND($R62=INputs!AY$4,$M63=TRUE), AND($R67=INputs!AY$4,$M68=TRUE), AND($R72=INputs!AY$4,$M73=TRUE), AND($R77=INputs!AY$4,$M78=TRUE), AND($R82=INputs!AY$4,$M83=TRUE), AND($R87=INputs!AY$4,$M88=TRUE), AND($R92=INputs!AY$4,$M93=TRUE), AND($R97=INputs!AY$4,$M98=TRUE), AND($R102=INputs!AY$4,$M103=TRUE), AND($R107=INputs!AY$4,$M108=TRUE))</xm:f>
            <x14:dxf>
              <font>
                <color theme="0" tint="-0.34998626667073579"/>
              </font>
            </x14:dxf>
          </x14:cfRule>
          <xm:sqref>X9</xm:sqref>
        </x14:conditionalFormatting>
        <x14:conditionalFormatting xmlns:xm="http://schemas.microsoft.com/office/excel/2006/main">
          <x14:cfRule type="expression" priority="297" id="{4801EA25-85FB-4F96-928E-2BD62D3F0169}">
            <xm:f>AND($R12=INputs!$AX$4,$M13=TRUE)</xm:f>
            <x14:dxf>
              <font>
                <color theme="1"/>
              </font>
              <border>
                <left style="thin">
                  <color auto="1"/>
                </left>
                <right style="thin">
                  <color auto="1"/>
                </right>
                <top style="thin">
                  <color auto="1"/>
                </top>
                <bottom style="thin">
                  <color auto="1"/>
                </bottom>
                <vertical/>
                <horizontal/>
              </border>
            </x14:dxf>
          </x14:cfRule>
          <xm:sqref>X12</xm:sqref>
        </x14:conditionalFormatting>
        <x14:conditionalFormatting xmlns:xm="http://schemas.microsoft.com/office/excel/2006/main">
          <x14:cfRule type="expression" priority="286" id="{D321A084-778D-4546-9734-E010DC36162D}">
            <xm:f>AND($R17=INputs!$AX$4,$M18=TRUE)</xm:f>
            <x14:dxf>
              <font>
                <color theme="1"/>
              </font>
              <border>
                <left style="thin">
                  <color auto="1"/>
                </left>
                <right style="thin">
                  <color auto="1"/>
                </right>
                <top style="thin">
                  <color auto="1"/>
                </top>
                <bottom style="thin">
                  <color auto="1"/>
                </bottom>
                <vertical/>
                <horizontal/>
              </border>
            </x14:dxf>
          </x14:cfRule>
          <xm:sqref>X17</xm:sqref>
        </x14:conditionalFormatting>
        <x14:conditionalFormatting xmlns:xm="http://schemas.microsoft.com/office/excel/2006/main">
          <x14:cfRule type="expression" priority="275" id="{1D8F0340-1552-4189-9EDB-AF8DFD471D94}">
            <xm:f>AND($R22=INputs!$AX$4,$M23=TRUE)</xm:f>
            <x14:dxf>
              <font>
                <color theme="1"/>
              </font>
              <border>
                <left style="thin">
                  <color auto="1"/>
                </left>
                <right style="thin">
                  <color auto="1"/>
                </right>
                <top style="thin">
                  <color auto="1"/>
                </top>
                <bottom style="thin">
                  <color auto="1"/>
                </bottom>
                <vertical/>
                <horizontal/>
              </border>
            </x14:dxf>
          </x14:cfRule>
          <xm:sqref>X22</xm:sqref>
        </x14:conditionalFormatting>
        <x14:conditionalFormatting xmlns:xm="http://schemas.microsoft.com/office/excel/2006/main">
          <x14:cfRule type="expression" priority="264" id="{0271776A-3C1E-4FC3-A1C7-F046EF68332B}">
            <xm:f>AND($R27=INputs!$AX$4,$M28=TRUE)</xm:f>
            <x14:dxf>
              <font>
                <color theme="1"/>
              </font>
              <border>
                <left style="thin">
                  <color auto="1"/>
                </left>
                <right style="thin">
                  <color auto="1"/>
                </right>
                <top style="thin">
                  <color auto="1"/>
                </top>
                <bottom style="thin">
                  <color auto="1"/>
                </bottom>
                <vertical/>
                <horizontal/>
              </border>
            </x14:dxf>
          </x14:cfRule>
          <xm:sqref>X27</xm:sqref>
        </x14:conditionalFormatting>
        <x14:conditionalFormatting xmlns:xm="http://schemas.microsoft.com/office/excel/2006/main">
          <x14:cfRule type="expression" priority="253" id="{F8B5C5BB-5286-4417-B3B6-6A761A4234C1}">
            <xm:f>AND($R32=INputs!$AX$4,$M33=TRUE)</xm:f>
            <x14:dxf>
              <font>
                <color theme="1"/>
              </font>
              <border>
                <left style="thin">
                  <color auto="1"/>
                </left>
                <right style="thin">
                  <color auto="1"/>
                </right>
                <top style="thin">
                  <color auto="1"/>
                </top>
                <bottom style="thin">
                  <color auto="1"/>
                </bottom>
                <vertical/>
                <horizontal/>
              </border>
            </x14:dxf>
          </x14:cfRule>
          <xm:sqref>X32</xm:sqref>
        </x14:conditionalFormatting>
        <x14:conditionalFormatting xmlns:xm="http://schemas.microsoft.com/office/excel/2006/main">
          <x14:cfRule type="expression" priority="242" id="{29BA4F2B-F516-46CB-A5FA-C4738C24CF45}">
            <xm:f>AND($R37=INputs!$AX$4,$M38=TRUE)</xm:f>
            <x14:dxf>
              <font>
                <color theme="1"/>
              </font>
              <border>
                <left style="thin">
                  <color auto="1"/>
                </left>
                <right style="thin">
                  <color auto="1"/>
                </right>
                <top style="thin">
                  <color auto="1"/>
                </top>
                <bottom style="thin">
                  <color auto="1"/>
                </bottom>
                <vertical/>
                <horizontal/>
              </border>
            </x14:dxf>
          </x14:cfRule>
          <xm:sqref>X37</xm:sqref>
        </x14:conditionalFormatting>
        <x14:conditionalFormatting xmlns:xm="http://schemas.microsoft.com/office/excel/2006/main">
          <x14:cfRule type="expression" priority="231" id="{D0975007-1B95-4B77-A078-2283241A7AA4}">
            <xm:f>AND($R42=INputs!$AX$4,$M43=TRUE)</xm:f>
            <x14:dxf>
              <font>
                <color theme="1"/>
              </font>
              <border>
                <left style="thin">
                  <color auto="1"/>
                </left>
                <right style="thin">
                  <color auto="1"/>
                </right>
                <top style="thin">
                  <color auto="1"/>
                </top>
                <bottom style="thin">
                  <color auto="1"/>
                </bottom>
                <vertical/>
                <horizontal/>
              </border>
            </x14:dxf>
          </x14:cfRule>
          <xm:sqref>X42</xm:sqref>
        </x14:conditionalFormatting>
        <x14:conditionalFormatting xmlns:xm="http://schemas.microsoft.com/office/excel/2006/main">
          <x14:cfRule type="expression" priority="220" id="{2E8A687E-E344-4BD3-AD63-52C02632F378}">
            <xm:f>AND($R47=INputs!$AX$4,$M48=TRUE)</xm:f>
            <x14:dxf>
              <font>
                <color theme="1"/>
              </font>
              <border>
                <left style="thin">
                  <color auto="1"/>
                </left>
                <right style="thin">
                  <color auto="1"/>
                </right>
                <top style="thin">
                  <color auto="1"/>
                </top>
                <bottom style="thin">
                  <color auto="1"/>
                </bottom>
                <vertical/>
                <horizontal/>
              </border>
            </x14:dxf>
          </x14:cfRule>
          <xm:sqref>X47</xm:sqref>
        </x14:conditionalFormatting>
        <x14:conditionalFormatting xmlns:xm="http://schemas.microsoft.com/office/excel/2006/main">
          <x14:cfRule type="expression" priority="209" id="{06206426-7CC0-4EAD-B3DD-32D6FB39FA3A}">
            <xm:f>AND($R52=INputs!$AX$4,$M53=TRUE)</xm:f>
            <x14:dxf>
              <font>
                <color theme="1"/>
              </font>
              <border>
                <left style="thin">
                  <color auto="1"/>
                </left>
                <right style="thin">
                  <color auto="1"/>
                </right>
                <top style="thin">
                  <color auto="1"/>
                </top>
                <bottom style="thin">
                  <color auto="1"/>
                </bottom>
                <vertical/>
                <horizontal/>
              </border>
            </x14:dxf>
          </x14:cfRule>
          <xm:sqref>X52</xm:sqref>
        </x14:conditionalFormatting>
        <x14:conditionalFormatting xmlns:xm="http://schemas.microsoft.com/office/excel/2006/main">
          <x14:cfRule type="expression" priority="198" id="{E91B0E76-71CD-4803-81F4-ACE8FADF05C5}">
            <xm:f>AND($R57=INputs!$AX$4,$M58=TRUE)</xm:f>
            <x14:dxf>
              <font>
                <color theme="1"/>
              </font>
              <border>
                <left style="thin">
                  <color auto="1"/>
                </left>
                <right style="thin">
                  <color auto="1"/>
                </right>
                <top style="thin">
                  <color auto="1"/>
                </top>
                <bottom style="thin">
                  <color auto="1"/>
                </bottom>
                <vertical/>
                <horizontal/>
              </border>
            </x14:dxf>
          </x14:cfRule>
          <xm:sqref>X57</xm:sqref>
        </x14:conditionalFormatting>
        <x14:conditionalFormatting xmlns:xm="http://schemas.microsoft.com/office/excel/2006/main">
          <x14:cfRule type="expression" priority="187" id="{839D121F-2D53-4ED8-9C56-529895C16536}">
            <xm:f>AND($R62=INputs!$AX$4,$M63=TRUE)</xm:f>
            <x14:dxf>
              <font>
                <color theme="1"/>
              </font>
              <border>
                <left style="thin">
                  <color auto="1"/>
                </left>
                <right style="thin">
                  <color auto="1"/>
                </right>
                <top style="thin">
                  <color auto="1"/>
                </top>
                <bottom style="thin">
                  <color auto="1"/>
                </bottom>
                <vertical/>
                <horizontal/>
              </border>
            </x14:dxf>
          </x14:cfRule>
          <xm:sqref>X62</xm:sqref>
        </x14:conditionalFormatting>
        <x14:conditionalFormatting xmlns:xm="http://schemas.microsoft.com/office/excel/2006/main">
          <x14:cfRule type="expression" priority="176" id="{0809FABE-9753-4660-9AF4-0D6F7D6457CB}">
            <xm:f>AND($R67=INputs!$AX$4,$M68=TRUE)</xm:f>
            <x14:dxf>
              <font>
                <color theme="1"/>
              </font>
              <border>
                <left style="thin">
                  <color auto="1"/>
                </left>
                <right style="thin">
                  <color auto="1"/>
                </right>
                <top style="thin">
                  <color auto="1"/>
                </top>
                <bottom style="thin">
                  <color auto="1"/>
                </bottom>
                <vertical/>
                <horizontal/>
              </border>
            </x14:dxf>
          </x14:cfRule>
          <xm:sqref>X67</xm:sqref>
        </x14:conditionalFormatting>
        <x14:conditionalFormatting xmlns:xm="http://schemas.microsoft.com/office/excel/2006/main">
          <x14:cfRule type="expression" priority="165" id="{C4497F70-2741-4C47-A6D2-9DF43B421190}">
            <xm:f>AND($R72=INputs!$AX$4,$M73=TRUE)</xm:f>
            <x14:dxf>
              <font>
                <color theme="1"/>
              </font>
              <border>
                <left style="thin">
                  <color auto="1"/>
                </left>
                <right style="thin">
                  <color auto="1"/>
                </right>
                <top style="thin">
                  <color auto="1"/>
                </top>
                <bottom style="thin">
                  <color auto="1"/>
                </bottom>
                <vertical/>
                <horizontal/>
              </border>
            </x14:dxf>
          </x14:cfRule>
          <xm:sqref>X72</xm:sqref>
        </x14:conditionalFormatting>
        <x14:conditionalFormatting xmlns:xm="http://schemas.microsoft.com/office/excel/2006/main">
          <x14:cfRule type="expression" priority="154" id="{E3834CF9-ED08-42B0-81D5-6A29402F0F8F}">
            <xm:f>AND($R77=INputs!$AX$4,$M78=TRUE)</xm:f>
            <x14:dxf>
              <font>
                <color theme="1"/>
              </font>
              <border>
                <left style="thin">
                  <color auto="1"/>
                </left>
                <right style="thin">
                  <color auto="1"/>
                </right>
                <top style="thin">
                  <color auto="1"/>
                </top>
                <bottom style="thin">
                  <color auto="1"/>
                </bottom>
                <vertical/>
                <horizontal/>
              </border>
            </x14:dxf>
          </x14:cfRule>
          <xm:sqref>X77</xm:sqref>
        </x14:conditionalFormatting>
        <x14:conditionalFormatting xmlns:xm="http://schemas.microsoft.com/office/excel/2006/main">
          <x14:cfRule type="expression" priority="143" id="{379960FF-E708-4616-BC63-651601F11A1E}">
            <xm:f>AND($R82=INputs!$AX$4,$M83=TRUE)</xm:f>
            <x14:dxf>
              <font>
                <color theme="1"/>
              </font>
              <border>
                <left style="thin">
                  <color auto="1"/>
                </left>
                <right style="thin">
                  <color auto="1"/>
                </right>
                <top style="thin">
                  <color auto="1"/>
                </top>
                <bottom style="thin">
                  <color auto="1"/>
                </bottom>
                <vertical/>
                <horizontal/>
              </border>
            </x14:dxf>
          </x14:cfRule>
          <xm:sqref>X82</xm:sqref>
        </x14:conditionalFormatting>
        <x14:conditionalFormatting xmlns:xm="http://schemas.microsoft.com/office/excel/2006/main">
          <x14:cfRule type="expression" priority="132" id="{A41180F7-8FC7-407C-8169-33610DDA6390}">
            <xm:f>AND($R87=INputs!$AX$4,$M88=TRUE)</xm:f>
            <x14:dxf>
              <font>
                <color theme="1"/>
              </font>
              <border>
                <left style="thin">
                  <color auto="1"/>
                </left>
                <right style="thin">
                  <color auto="1"/>
                </right>
                <top style="thin">
                  <color auto="1"/>
                </top>
                <bottom style="thin">
                  <color auto="1"/>
                </bottom>
                <vertical/>
                <horizontal/>
              </border>
            </x14:dxf>
          </x14:cfRule>
          <xm:sqref>X87</xm:sqref>
        </x14:conditionalFormatting>
        <x14:conditionalFormatting xmlns:xm="http://schemas.microsoft.com/office/excel/2006/main">
          <x14:cfRule type="expression" priority="121" id="{28E17C67-60AC-4DC4-99AC-8DF44725D812}">
            <xm:f>AND($R92=INputs!$AX$4,$M93=TRUE)</xm:f>
            <x14:dxf>
              <font>
                <color theme="1"/>
              </font>
              <border>
                <left style="thin">
                  <color auto="1"/>
                </left>
                <right style="thin">
                  <color auto="1"/>
                </right>
                <top style="thin">
                  <color auto="1"/>
                </top>
                <bottom style="thin">
                  <color auto="1"/>
                </bottom>
                <vertical/>
                <horizontal/>
              </border>
            </x14:dxf>
          </x14:cfRule>
          <xm:sqref>X92</xm:sqref>
        </x14:conditionalFormatting>
        <x14:conditionalFormatting xmlns:xm="http://schemas.microsoft.com/office/excel/2006/main">
          <x14:cfRule type="expression" priority="110" id="{53FC5999-A3BE-4C7D-AA12-152383C52FCB}">
            <xm:f>AND($R97=INputs!$AX$4,$M98=TRUE)</xm:f>
            <x14:dxf>
              <font>
                <color theme="1"/>
              </font>
              <border>
                <left style="thin">
                  <color auto="1"/>
                </left>
                <right style="thin">
                  <color auto="1"/>
                </right>
                <top style="thin">
                  <color auto="1"/>
                </top>
                <bottom style="thin">
                  <color auto="1"/>
                </bottom>
                <vertical/>
                <horizontal/>
              </border>
            </x14:dxf>
          </x14:cfRule>
          <xm:sqref>X97</xm:sqref>
        </x14:conditionalFormatting>
        <x14:conditionalFormatting xmlns:xm="http://schemas.microsoft.com/office/excel/2006/main">
          <x14:cfRule type="expression" priority="99" id="{733C1DD4-5E1A-4771-907E-17267409BB56}">
            <xm:f>AND($R102=INputs!$AX$4,$M103=TRUE)</xm:f>
            <x14:dxf>
              <font>
                <color theme="1"/>
              </font>
              <border>
                <left style="thin">
                  <color auto="1"/>
                </left>
                <right style="thin">
                  <color auto="1"/>
                </right>
                <top style="thin">
                  <color auto="1"/>
                </top>
                <bottom style="thin">
                  <color auto="1"/>
                </bottom>
                <vertical/>
                <horizontal/>
              </border>
            </x14:dxf>
          </x14:cfRule>
          <xm:sqref>X102</xm:sqref>
        </x14:conditionalFormatting>
        <x14:conditionalFormatting xmlns:xm="http://schemas.microsoft.com/office/excel/2006/main">
          <x14:cfRule type="expression" priority="88" id="{14ABEE19-AC90-4138-81DD-A801FB966528}">
            <xm:f>AND($R107=INputs!$AX$4,$M108=TRUE)</xm:f>
            <x14:dxf>
              <font>
                <color theme="1"/>
              </font>
              <border>
                <left style="thin">
                  <color auto="1"/>
                </left>
                <right style="thin">
                  <color auto="1"/>
                </right>
                <top style="thin">
                  <color auto="1"/>
                </top>
                <bottom style="thin">
                  <color auto="1"/>
                </bottom>
                <vertical/>
                <horizontal/>
              </border>
            </x14:dxf>
          </x14:cfRule>
          <xm:sqref>X107</xm:sqref>
        </x14:conditionalFormatting>
        <x14:conditionalFormatting xmlns:xm="http://schemas.microsoft.com/office/excel/2006/main">
          <x14:cfRule type="expression" priority="82" id="{4D923CDB-D017-46B4-8852-B60F53228518}">
            <xm:f>OR(AND($R12=INputs!AX$4,$M14=TRUE), AND($R17=INputs!AX$4,$M19=TRUE), AND($R22=INputs!AX$4,$M24=TRUE), AND($R27=INputs!AX$4,$M29=TRUE), AND($R32=INputs!AX$4,$M34=TRUE), AND($R37=INputs!AX$4,$M39=TRUE), AND($R42=INputs!AX$4,$M44=TRUE), AND($R47=INputs!AX$4,$M49=TRUE), AND($R52=INputs!AX$4,$M54=TRUE), AND($R57=INputs!AX$4,$M59=TRUE), AND($R62=INputs!AX$4,$M64=TRUE), AND($R67=INputs!AX$4,$M69=TRUE), AND($R72=INputs!AX$4,$M74=TRUE), AND($R77=INputs!AX$4,$M79=TRUE), AND($R82=INputs!AX$4,$M84=TRUE), AND($R87=INputs!AX$4,$M89=TRUE), AND($R92=INputs!AX$4,$M94=TRUE), AND($R97=INputs!AX$4,$M99=TRUE), AND($R102=INputs!AX$4,$M104=TRUE), AND($R107=INputs!AX$4,$M109=TRUE))</xm:f>
            <x14:dxf>
              <font>
                <color theme="1"/>
              </font>
            </x14:dxf>
          </x14:cfRule>
          <xm:sqref>Z2</xm:sqref>
        </x14:conditionalFormatting>
        <x14:conditionalFormatting xmlns:xm="http://schemas.microsoft.com/office/excel/2006/main">
          <x14:cfRule type="expression" priority="81" id="{029370E7-E677-44F7-B299-4E4F345F9317}">
            <xm:f>OR(AND($R12=INputs!AY$4,$M14=TRUE), AND($R17=INputs!AY$4,$M19=TRUE), AND($R22=INputs!AY$4,$M24=TRUE), AND($R27=INputs!AY$4,$M29=TRUE), AND($R32=INputs!AY$4,$M34=TRUE), AND($R37=INputs!AY$4,$M39=TRUE), AND($R42=INputs!AY$4,$M44=TRUE), AND($R47=INputs!AY$4,$M49=TRUE), AND($R52=INputs!AY$4,$M54=TRUE), AND($R57=INputs!AY$4,$M59=TRUE), AND($R62=INputs!AY$4,$M64=TRUE), AND($R67=INputs!AY$4,$M69=TRUE), AND($R72=INputs!AY$4,$M74=TRUE), AND($R77=INputs!AY$4,$M79=TRUE), AND($R82=INputs!AY$4,$M84=TRUE), AND($R87=INputs!AY$4,$M89=TRUE), AND($R92=INputs!AY$4,$M94=TRUE), AND($R97=INputs!AY$4,$M99=TRUE), AND($R102=INputs!AY$4,$M104=TRUE), AND($R107=INputs!AY$4,$M109=TRUE))</xm:f>
            <x14:dxf>
              <font>
                <color theme="0" tint="-0.34998626667073579"/>
              </font>
            </x14:dxf>
          </x14:cfRule>
          <xm:sqref>Z9</xm:sqref>
        </x14:conditionalFormatting>
        <x14:conditionalFormatting xmlns:xm="http://schemas.microsoft.com/office/excel/2006/main">
          <x14:cfRule type="expression" priority="296" id="{75DBE7AB-0CBE-4A66-B7CF-CBE77C153384}">
            <xm:f>AND($R12=INputs!$AX$4,$M14=TRUE)</xm:f>
            <x14:dxf>
              <font>
                <color theme="1"/>
              </font>
              <border>
                <left style="thin">
                  <color auto="1"/>
                </left>
                <right style="thin">
                  <color auto="1"/>
                </right>
                <top style="thin">
                  <color auto="1"/>
                </top>
                <bottom style="thin">
                  <color auto="1"/>
                </bottom>
                <vertical/>
                <horizontal/>
              </border>
            </x14:dxf>
          </x14:cfRule>
          <xm:sqref>Z12</xm:sqref>
        </x14:conditionalFormatting>
        <x14:conditionalFormatting xmlns:xm="http://schemas.microsoft.com/office/excel/2006/main">
          <x14:cfRule type="expression" priority="285" id="{D05E67CF-A182-4020-A07D-1734009C7EFA}">
            <xm:f>AND($R17=INputs!$AX$4,$M19=TRUE)</xm:f>
            <x14:dxf>
              <font>
                <color theme="1"/>
              </font>
              <border>
                <left style="thin">
                  <color auto="1"/>
                </left>
                <right style="thin">
                  <color auto="1"/>
                </right>
                <top style="thin">
                  <color auto="1"/>
                </top>
                <bottom style="thin">
                  <color auto="1"/>
                </bottom>
                <vertical/>
                <horizontal/>
              </border>
            </x14:dxf>
          </x14:cfRule>
          <xm:sqref>Z17</xm:sqref>
        </x14:conditionalFormatting>
        <x14:conditionalFormatting xmlns:xm="http://schemas.microsoft.com/office/excel/2006/main">
          <x14:cfRule type="expression" priority="274" id="{ED228145-3CFC-4CD1-9DE7-90F1CA5AE67B}">
            <xm:f>AND($R22=INputs!$AX$4,$M24=TRUE)</xm:f>
            <x14:dxf>
              <font>
                <color theme="1"/>
              </font>
              <border>
                <left style="thin">
                  <color auto="1"/>
                </left>
                <right style="thin">
                  <color auto="1"/>
                </right>
                <top style="thin">
                  <color auto="1"/>
                </top>
                <bottom style="thin">
                  <color auto="1"/>
                </bottom>
                <vertical/>
                <horizontal/>
              </border>
            </x14:dxf>
          </x14:cfRule>
          <xm:sqref>Z22</xm:sqref>
        </x14:conditionalFormatting>
        <x14:conditionalFormatting xmlns:xm="http://schemas.microsoft.com/office/excel/2006/main">
          <x14:cfRule type="expression" priority="263" id="{2A621FE2-8AE8-42AF-BC9E-17B8F3AA5B3B}">
            <xm:f>AND($R27=INputs!$AX$4,$M29=TRUE)</xm:f>
            <x14:dxf>
              <font>
                <color theme="1"/>
              </font>
              <border>
                <left style="thin">
                  <color auto="1"/>
                </left>
                <right style="thin">
                  <color auto="1"/>
                </right>
                <top style="thin">
                  <color auto="1"/>
                </top>
                <bottom style="thin">
                  <color auto="1"/>
                </bottom>
                <vertical/>
                <horizontal/>
              </border>
            </x14:dxf>
          </x14:cfRule>
          <xm:sqref>Z27</xm:sqref>
        </x14:conditionalFormatting>
        <x14:conditionalFormatting xmlns:xm="http://schemas.microsoft.com/office/excel/2006/main">
          <x14:cfRule type="expression" priority="252" id="{FC9E51B5-6D7D-4CD8-9C71-9FD98A3B2A5E}">
            <xm:f>AND($R32=INputs!$AX$4,$M34=TRUE)</xm:f>
            <x14:dxf>
              <font>
                <color theme="1"/>
              </font>
              <border>
                <left style="thin">
                  <color auto="1"/>
                </left>
                <right style="thin">
                  <color auto="1"/>
                </right>
                <top style="thin">
                  <color auto="1"/>
                </top>
                <bottom style="thin">
                  <color auto="1"/>
                </bottom>
                <vertical/>
                <horizontal/>
              </border>
            </x14:dxf>
          </x14:cfRule>
          <xm:sqref>Z32</xm:sqref>
        </x14:conditionalFormatting>
        <x14:conditionalFormatting xmlns:xm="http://schemas.microsoft.com/office/excel/2006/main">
          <x14:cfRule type="expression" priority="241" id="{C666AD2F-307B-4457-B140-3EF9CBD782C7}">
            <xm:f>AND($R37=INputs!$AX$4,$M39=TRUE)</xm:f>
            <x14:dxf>
              <font>
                <color theme="1"/>
              </font>
              <border>
                <left style="thin">
                  <color auto="1"/>
                </left>
                <right style="thin">
                  <color auto="1"/>
                </right>
                <top style="thin">
                  <color auto="1"/>
                </top>
                <bottom style="thin">
                  <color auto="1"/>
                </bottom>
                <vertical/>
                <horizontal/>
              </border>
            </x14:dxf>
          </x14:cfRule>
          <xm:sqref>Z37</xm:sqref>
        </x14:conditionalFormatting>
        <x14:conditionalFormatting xmlns:xm="http://schemas.microsoft.com/office/excel/2006/main">
          <x14:cfRule type="expression" priority="230" id="{F87303D7-64BE-4BF0-9AD4-8418A239130E}">
            <xm:f>AND($R42=INputs!$AX$4,$M44=TRUE)</xm:f>
            <x14:dxf>
              <font>
                <color theme="1"/>
              </font>
              <border>
                <left style="thin">
                  <color auto="1"/>
                </left>
                <right style="thin">
                  <color auto="1"/>
                </right>
                <top style="thin">
                  <color auto="1"/>
                </top>
                <bottom style="thin">
                  <color auto="1"/>
                </bottom>
                <vertical/>
                <horizontal/>
              </border>
            </x14:dxf>
          </x14:cfRule>
          <xm:sqref>Z42</xm:sqref>
        </x14:conditionalFormatting>
        <x14:conditionalFormatting xmlns:xm="http://schemas.microsoft.com/office/excel/2006/main">
          <x14:cfRule type="expression" priority="219" id="{B516F509-5B77-44BE-8F66-DD6062BFFB86}">
            <xm:f>AND($R47=INputs!$AX$4,$M49=TRUE)</xm:f>
            <x14:dxf>
              <font>
                <color theme="1"/>
              </font>
              <border>
                <left style="thin">
                  <color auto="1"/>
                </left>
                <right style="thin">
                  <color auto="1"/>
                </right>
                <top style="thin">
                  <color auto="1"/>
                </top>
                <bottom style="thin">
                  <color auto="1"/>
                </bottom>
                <vertical/>
                <horizontal/>
              </border>
            </x14:dxf>
          </x14:cfRule>
          <xm:sqref>Z47</xm:sqref>
        </x14:conditionalFormatting>
        <x14:conditionalFormatting xmlns:xm="http://schemas.microsoft.com/office/excel/2006/main">
          <x14:cfRule type="expression" priority="208" id="{3BC5F787-ABD1-407C-BC32-1F2DDEC80079}">
            <xm:f>AND($R52=INputs!$AX$4,$M54=TRUE)</xm:f>
            <x14:dxf>
              <font>
                <color theme="1"/>
              </font>
              <border>
                <left style="thin">
                  <color auto="1"/>
                </left>
                <right style="thin">
                  <color auto="1"/>
                </right>
                <top style="thin">
                  <color auto="1"/>
                </top>
                <bottom style="thin">
                  <color auto="1"/>
                </bottom>
                <vertical/>
                <horizontal/>
              </border>
            </x14:dxf>
          </x14:cfRule>
          <xm:sqref>Z52</xm:sqref>
        </x14:conditionalFormatting>
        <x14:conditionalFormatting xmlns:xm="http://schemas.microsoft.com/office/excel/2006/main">
          <x14:cfRule type="expression" priority="197" id="{46532124-72CF-441D-AF64-F64879E80301}">
            <xm:f>AND($R57=INputs!$AX$4,$M59=TRUE)</xm:f>
            <x14:dxf>
              <font>
                <color theme="1"/>
              </font>
              <border>
                <left style="thin">
                  <color auto="1"/>
                </left>
                <right style="thin">
                  <color auto="1"/>
                </right>
                <top style="thin">
                  <color auto="1"/>
                </top>
                <bottom style="thin">
                  <color auto="1"/>
                </bottom>
                <vertical/>
                <horizontal/>
              </border>
            </x14:dxf>
          </x14:cfRule>
          <xm:sqref>Z57</xm:sqref>
        </x14:conditionalFormatting>
        <x14:conditionalFormatting xmlns:xm="http://schemas.microsoft.com/office/excel/2006/main">
          <x14:cfRule type="expression" priority="186" id="{8ABEE849-D8DD-4816-9A2E-95A220972A09}">
            <xm:f>AND($R62=INputs!$AX$4,$M64=TRUE)</xm:f>
            <x14:dxf>
              <font>
                <color theme="1"/>
              </font>
              <border>
                <left style="thin">
                  <color auto="1"/>
                </left>
                <right style="thin">
                  <color auto="1"/>
                </right>
                <top style="thin">
                  <color auto="1"/>
                </top>
                <bottom style="thin">
                  <color auto="1"/>
                </bottom>
                <vertical/>
                <horizontal/>
              </border>
            </x14:dxf>
          </x14:cfRule>
          <xm:sqref>Z62</xm:sqref>
        </x14:conditionalFormatting>
        <x14:conditionalFormatting xmlns:xm="http://schemas.microsoft.com/office/excel/2006/main">
          <x14:cfRule type="expression" priority="175" id="{22ED8606-4491-4E80-83B3-F31006BEAF9A}">
            <xm:f>AND($R67=INputs!$AX$4,$M69=TRUE)</xm:f>
            <x14:dxf>
              <font>
                <color theme="1"/>
              </font>
              <border>
                <left style="thin">
                  <color auto="1"/>
                </left>
                <right style="thin">
                  <color auto="1"/>
                </right>
                <top style="thin">
                  <color auto="1"/>
                </top>
                <bottom style="thin">
                  <color auto="1"/>
                </bottom>
                <vertical/>
                <horizontal/>
              </border>
            </x14:dxf>
          </x14:cfRule>
          <xm:sqref>Z67</xm:sqref>
        </x14:conditionalFormatting>
        <x14:conditionalFormatting xmlns:xm="http://schemas.microsoft.com/office/excel/2006/main">
          <x14:cfRule type="expression" priority="164" id="{F6AF147F-6E4F-4749-80AF-853197C61064}">
            <xm:f>AND($R72=INputs!$AX$4,$M74=TRUE)</xm:f>
            <x14:dxf>
              <font>
                <color theme="1"/>
              </font>
              <border>
                <left style="thin">
                  <color auto="1"/>
                </left>
                <right style="thin">
                  <color auto="1"/>
                </right>
                <top style="thin">
                  <color auto="1"/>
                </top>
                <bottom style="thin">
                  <color auto="1"/>
                </bottom>
                <vertical/>
                <horizontal/>
              </border>
            </x14:dxf>
          </x14:cfRule>
          <xm:sqref>Z72</xm:sqref>
        </x14:conditionalFormatting>
        <x14:conditionalFormatting xmlns:xm="http://schemas.microsoft.com/office/excel/2006/main">
          <x14:cfRule type="expression" priority="153" id="{1D0D1F85-9E26-433B-B5CF-BBCC992675B7}">
            <xm:f>AND($R77=INputs!$AX$4,$M79=TRUE)</xm:f>
            <x14:dxf>
              <font>
                <color theme="1"/>
              </font>
              <border>
                <left style="thin">
                  <color auto="1"/>
                </left>
                <right style="thin">
                  <color auto="1"/>
                </right>
                <top style="thin">
                  <color auto="1"/>
                </top>
                <bottom style="thin">
                  <color auto="1"/>
                </bottom>
                <vertical/>
                <horizontal/>
              </border>
            </x14:dxf>
          </x14:cfRule>
          <xm:sqref>Z77</xm:sqref>
        </x14:conditionalFormatting>
        <x14:conditionalFormatting xmlns:xm="http://schemas.microsoft.com/office/excel/2006/main">
          <x14:cfRule type="expression" priority="142" id="{D9ED6093-1749-49BC-AA8D-61E2233DE5CB}">
            <xm:f>AND($R82=INputs!$AX$4,$M84=TRUE)</xm:f>
            <x14:dxf>
              <font>
                <color theme="1"/>
              </font>
              <border>
                <left style="thin">
                  <color auto="1"/>
                </left>
                <right style="thin">
                  <color auto="1"/>
                </right>
                <top style="thin">
                  <color auto="1"/>
                </top>
                <bottom style="thin">
                  <color auto="1"/>
                </bottom>
                <vertical/>
                <horizontal/>
              </border>
            </x14:dxf>
          </x14:cfRule>
          <xm:sqref>Z82</xm:sqref>
        </x14:conditionalFormatting>
        <x14:conditionalFormatting xmlns:xm="http://schemas.microsoft.com/office/excel/2006/main">
          <x14:cfRule type="expression" priority="131" id="{0BE4CFFE-83E5-42D2-85AD-1A06CC0EAC39}">
            <xm:f>AND($R87=INputs!$AX$4,$M89=TRUE)</xm:f>
            <x14:dxf>
              <font>
                <color theme="1"/>
              </font>
              <border>
                <left style="thin">
                  <color auto="1"/>
                </left>
                <right style="thin">
                  <color auto="1"/>
                </right>
                <top style="thin">
                  <color auto="1"/>
                </top>
                <bottom style="thin">
                  <color auto="1"/>
                </bottom>
                <vertical/>
                <horizontal/>
              </border>
            </x14:dxf>
          </x14:cfRule>
          <xm:sqref>Z87</xm:sqref>
        </x14:conditionalFormatting>
        <x14:conditionalFormatting xmlns:xm="http://schemas.microsoft.com/office/excel/2006/main">
          <x14:cfRule type="expression" priority="120" id="{38E0DABA-4D7D-40E7-AFE9-9B495A2F0EE7}">
            <xm:f>AND($R92=INputs!$AX$4,$M94=TRUE)</xm:f>
            <x14:dxf>
              <font>
                <color theme="1"/>
              </font>
              <border>
                <left style="thin">
                  <color auto="1"/>
                </left>
                <right style="thin">
                  <color auto="1"/>
                </right>
                <top style="thin">
                  <color auto="1"/>
                </top>
                <bottom style="thin">
                  <color auto="1"/>
                </bottom>
                <vertical/>
                <horizontal/>
              </border>
            </x14:dxf>
          </x14:cfRule>
          <xm:sqref>Z92</xm:sqref>
        </x14:conditionalFormatting>
        <x14:conditionalFormatting xmlns:xm="http://schemas.microsoft.com/office/excel/2006/main">
          <x14:cfRule type="expression" priority="109" id="{03895056-21C6-49DE-9EDE-71972DCC4AE6}">
            <xm:f>AND($R97=INputs!$AX$4,$M99=TRUE)</xm:f>
            <x14:dxf>
              <font>
                <color theme="1"/>
              </font>
              <border>
                <left style="thin">
                  <color auto="1"/>
                </left>
                <right style="thin">
                  <color auto="1"/>
                </right>
                <top style="thin">
                  <color auto="1"/>
                </top>
                <bottom style="thin">
                  <color auto="1"/>
                </bottom>
                <vertical/>
                <horizontal/>
              </border>
            </x14:dxf>
          </x14:cfRule>
          <xm:sqref>Z97</xm:sqref>
        </x14:conditionalFormatting>
        <x14:conditionalFormatting xmlns:xm="http://schemas.microsoft.com/office/excel/2006/main">
          <x14:cfRule type="expression" priority="98" id="{58A9EC94-4ADF-44FD-8B4D-25BA4F1E5C27}">
            <xm:f>AND($R102=INputs!$AX$4,$M104=TRUE)</xm:f>
            <x14:dxf>
              <font>
                <color theme="1"/>
              </font>
              <border>
                <left style="thin">
                  <color auto="1"/>
                </left>
                <right style="thin">
                  <color auto="1"/>
                </right>
                <top style="thin">
                  <color auto="1"/>
                </top>
                <bottom style="thin">
                  <color auto="1"/>
                </bottom>
                <vertical/>
                <horizontal/>
              </border>
            </x14:dxf>
          </x14:cfRule>
          <xm:sqref>Z102</xm:sqref>
        </x14:conditionalFormatting>
        <x14:conditionalFormatting xmlns:xm="http://schemas.microsoft.com/office/excel/2006/main">
          <x14:cfRule type="expression" priority="87" id="{6643F158-C22D-48A9-85E2-F96CC0E77A7E}">
            <xm:f>AND($R107=INputs!$AX$4,$M109=TRUE)</xm:f>
            <x14:dxf>
              <font>
                <color theme="1"/>
              </font>
              <border>
                <left style="thin">
                  <color auto="1"/>
                </left>
                <right style="thin">
                  <color auto="1"/>
                </right>
                <top style="thin">
                  <color auto="1"/>
                </top>
                <bottom style="thin">
                  <color auto="1"/>
                </bottom>
                <vertical/>
                <horizontal/>
              </border>
            </x14:dxf>
          </x14:cfRule>
          <xm:sqref>Z107</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67417-907F-4E7C-811A-BDB96B04E675}">
  <sheetPr>
    <tabColor theme="8" tint="0.39997558519241921"/>
  </sheetPr>
  <dimension ref="A1:AK130"/>
  <sheetViews>
    <sheetView showGridLines="0" workbookViewId="0">
      <pane ySplit="10" topLeftCell="A11" activePane="bottomLeft" state="frozen"/>
      <selection pane="bottomLeft" activeCell="C12" sqref="C12:C16"/>
    </sheetView>
  </sheetViews>
  <sheetFormatPr defaultRowHeight="14.5" outlineLevelRow="1" x14ac:dyDescent="0.35"/>
  <cols>
    <col min="1" max="1" width="3.54296875" style="92" customWidth="1"/>
    <col min="2" max="2" width="7.26953125" style="92" hidden="1" customWidth="1"/>
    <col min="3" max="3" width="51.81640625" style="3" customWidth="1"/>
    <col min="4" max="4" width="5.81640625" style="25" customWidth="1"/>
    <col min="5" max="5" width="51.26953125" customWidth="1"/>
    <col min="6" max="6" width="0.54296875" customWidth="1"/>
    <col min="7" max="7" width="47.26953125" style="3" customWidth="1"/>
    <col min="8" max="8" width="0.453125" customWidth="1"/>
    <col min="9" max="9" width="34.7265625" style="3" customWidth="1"/>
    <col min="10" max="10" width="0.453125" customWidth="1"/>
    <col min="11" max="11" width="49.26953125" style="3" customWidth="1"/>
    <col min="12" max="12" width="2.1796875" customWidth="1"/>
  </cols>
  <sheetData>
    <row r="1" spans="1:37" ht="23.5" x14ac:dyDescent="0.35">
      <c r="A1" s="812" t="s">
        <v>351</v>
      </c>
      <c r="B1" s="812"/>
      <c r="C1" s="812"/>
      <c r="D1" s="812"/>
      <c r="E1" s="812"/>
    </row>
    <row r="2" spans="1:37" ht="19" thickBot="1" x14ac:dyDescent="0.5">
      <c r="D2" s="26"/>
      <c r="F2" s="12"/>
      <c r="H2" s="12"/>
      <c r="J2" s="12"/>
      <c r="L2" s="12"/>
    </row>
    <row r="3" spans="1:37" ht="19" thickBot="1" x14ac:dyDescent="0.4">
      <c r="C3" s="97" t="s">
        <v>113</v>
      </c>
      <c r="D3" s="27"/>
      <c r="E3" s="96" t="s">
        <v>352</v>
      </c>
      <c r="F3" s="7"/>
      <c r="G3" s="97" t="s">
        <v>268</v>
      </c>
      <c r="H3" s="7"/>
      <c r="I3" s="97" t="s">
        <v>353</v>
      </c>
      <c r="J3" s="7"/>
      <c r="K3" s="97" t="s">
        <v>354</v>
      </c>
      <c r="L3" s="7"/>
    </row>
    <row r="4" spans="1:37" s="3" customFormat="1" ht="291" hidden="1" customHeight="1" outlineLevel="1" x14ac:dyDescent="0.35">
      <c r="A4" s="225" t="s">
        <v>119</v>
      </c>
      <c r="B4" s="147"/>
      <c r="C4" s="171" t="s">
        <v>355</v>
      </c>
      <c r="D4" s="170"/>
      <c r="E4" s="172" t="s">
        <v>356</v>
      </c>
      <c r="F4" s="170"/>
      <c r="G4" s="172" t="s">
        <v>357</v>
      </c>
      <c r="H4" s="170"/>
      <c r="I4" s="172" t="s">
        <v>358</v>
      </c>
      <c r="J4" s="170"/>
      <c r="K4" s="172" t="s">
        <v>359</v>
      </c>
      <c r="L4"/>
      <c r="M4"/>
      <c r="N4"/>
      <c r="O4"/>
      <c r="P4"/>
      <c r="Q4"/>
      <c r="R4"/>
      <c r="S4"/>
      <c r="T4"/>
      <c r="U4"/>
      <c r="V4"/>
      <c r="W4"/>
      <c r="X4"/>
      <c r="Y4"/>
      <c r="Z4"/>
      <c r="AA4"/>
      <c r="AB4"/>
      <c r="AC4"/>
      <c r="AD4"/>
      <c r="AE4"/>
      <c r="AF4"/>
      <c r="AG4"/>
      <c r="AH4"/>
      <c r="AI4"/>
      <c r="AJ4"/>
      <c r="AK4"/>
    </row>
    <row r="5" spans="1:37" s="3" customFormat="1" hidden="1" outlineLevel="1" x14ac:dyDescent="0.35">
      <c r="A5" s="683" t="s">
        <v>127</v>
      </c>
      <c r="B5" s="225"/>
      <c r="C5" s="163"/>
      <c r="D5" s="124"/>
      <c r="E5" s="160" t="s">
        <v>360</v>
      </c>
      <c r="F5" s="124"/>
      <c r="G5" s="160" t="s">
        <v>288</v>
      </c>
      <c r="H5" s="124"/>
      <c r="I5" s="160" t="s">
        <v>289</v>
      </c>
      <c r="J5" s="124"/>
      <c r="K5" s="163"/>
      <c r="L5"/>
      <c r="M5"/>
      <c r="N5"/>
      <c r="O5"/>
      <c r="P5"/>
      <c r="Q5"/>
      <c r="R5"/>
      <c r="S5"/>
      <c r="T5"/>
      <c r="U5"/>
      <c r="V5"/>
      <c r="W5"/>
      <c r="X5"/>
      <c r="Y5"/>
      <c r="Z5"/>
      <c r="AA5"/>
      <c r="AB5"/>
      <c r="AC5"/>
      <c r="AD5"/>
      <c r="AE5"/>
      <c r="AF5"/>
      <c r="AG5"/>
      <c r="AH5"/>
      <c r="AI5"/>
      <c r="AJ5"/>
      <c r="AK5"/>
    </row>
    <row r="6" spans="1:37" s="3" customFormat="1" ht="29" hidden="1" outlineLevel="1" x14ac:dyDescent="0.35">
      <c r="A6" s="683"/>
      <c r="B6" s="225"/>
      <c r="C6" s="163"/>
      <c r="D6" s="124"/>
      <c r="E6" s="163"/>
      <c r="F6" s="124"/>
      <c r="G6" s="163"/>
      <c r="H6" s="124"/>
      <c r="I6" s="160" t="s">
        <v>361</v>
      </c>
      <c r="J6" s="124"/>
      <c r="K6" s="163"/>
      <c r="L6"/>
      <c r="M6"/>
      <c r="N6"/>
      <c r="O6"/>
      <c r="P6"/>
      <c r="Q6"/>
      <c r="R6"/>
      <c r="S6"/>
      <c r="T6"/>
      <c r="U6"/>
      <c r="V6"/>
      <c r="W6"/>
      <c r="X6"/>
      <c r="Y6"/>
      <c r="Z6"/>
      <c r="AA6"/>
      <c r="AB6"/>
      <c r="AC6"/>
      <c r="AD6"/>
      <c r="AE6"/>
      <c r="AF6"/>
      <c r="AG6"/>
      <c r="AH6"/>
      <c r="AI6"/>
      <c r="AJ6"/>
      <c r="AK6"/>
    </row>
    <row r="7" spans="1:37" s="3" customFormat="1" ht="29" hidden="1" outlineLevel="1" x14ac:dyDescent="0.35">
      <c r="A7" s="683"/>
      <c r="B7" s="225"/>
      <c r="C7" s="163"/>
      <c r="D7" s="124"/>
      <c r="E7" s="163"/>
      <c r="F7" s="124"/>
      <c r="G7" s="163"/>
      <c r="H7" s="124"/>
      <c r="I7" s="160" t="s">
        <v>362</v>
      </c>
      <c r="J7" s="124"/>
      <c r="K7" s="163"/>
      <c r="L7"/>
      <c r="M7"/>
      <c r="N7"/>
      <c r="O7"/>
      <c r="P7"/>
      <c r="Q7"/>
      <c r="R7"/>
      <c r="S7"/>
      <c r="T7"/>
      <c r="U7"/>
      <c r="V7"/>
      <c r="W7"/>
      <c r="X7"/>
      <c r="Y7"/>
      <c r="Z7"/>
      <c r="AA7"/>
      <c r="AB7"/>
      <c r="AC7"/>
      <c r="AD7"/>
      <c r="AE7"/>
      <c r="AF7"/>
      <c r="AG7"/>
      <c r="AH7"/>
      <c r="AI7"/>
      <c r="AJ7"/>
      <c r="AK7"/>
    </row>
    <row r="8" spans="1:37" s="3" customFormat="1" hidden="1" outlineLevel="1" x14ac:dyDescent="0.35">
      <c r="A8" s="683"/>
      <c r="B8" s="225"/>
      <c r="C8" s="163"/>
      <c r="D8" s="124"/>
      <c r="E8" s="163"/>
      <c r="F8" s="124"/>
      <c r="G8" s="163"/>
      <c r="H8" s="124"/>
      <c r="I8" s="163"/>
      <c r="J8" s="124"/>
      <c r="K8" s="163"/>
      <c r="L8"/>
      <c r="M8"/>
      <c r="N8"/>
      <c r="O8"/>
      <c r="P8"/>
      <c r="Q8"/>
      <c r="R8"/>
      <c r="S8"/>
      <c r="T8"/>
      <c r="U8"/>
      <c r="V8"/>
      <c r="W8"/>
      <c r="X8"/>
      <c r="Y8"/>
      <c r="Z8"/>
      <c r="AA8"/>
      <c r="AB8"/>
      <c r="AC8"/>
      <c r="AD8"/>
      <c r="AE8"/>
      <c r="AF8"/>
      <c r="AG8"/>
      <c r="AH8"/>
      <c r="AI8"/>
      <c r="AJ8"/>
      <c r="AK8"/>
    </row>
    <row r="9" spans="1:37" s="3" customFormat="1" hidden="1" outlineLevel="1" x14ac:dyDescent="0.35">
      <c r="A9" s="683"/>
      <c r="B9" s="225"/>
      <c r="C9" s="163"/>
      <c r="D9" s="124"/>
      <c r="E9" s="163"/>
      <c r="F9" s="124"/>
      <c r="G9" s="163"/>
      <c r="H9" s="124"/>
      <c r="I9" s="163"/>
      <c r="J9" s="124"/>
      <c r="K9" s="163"/>
      <c r="L9"/>
      <c r="M9"/>
      <c r="N9"/>
      <c r="O9"/>
      <c r="P9"/>
      <c r="Q9"/>
      <c r="R9"/>
      <c r="S9"/>
      <c r="T9"/>
      <c r="U9"/>
      <c r="V9"/>
      <c r="W9"/>
      <c r="X9"/>
      <c r="Y9"/>
      <c r="Z9"/>
      <c r="AA9"/>
      <c r="AB9"/>
      <c r="AC9"/>
      <c r="AD9"/>
      <c r="AE9"/>
      <c r="AF9"/>
      <c r="AG9"/>
      <c r="AH9"/>
      <c r="AI9"/>
      <c r="AJ9"/>
      <c r="AK9"/>
    </row>
    <row r="10" spans="1:37" collapsed="1" x14ac:dyDescent="0.35">
      <c r="C10" s="8" t="s">
        <v>135</v>
      </c>
      <c r="D10" s="28"/>
      <c r="E10" s="8" t="s">
        <v>137</v>
      </c>
      <c r="F10" s="3"/>
      <c r="G10" s="8" t="s">
        <v>135</v>
      </c>
      <c r="H10" s="3"/>
      <c r="I10" s="8" t="s">
        <v>135</v>
      </c>
      <c r="J10" s="3"/>
      <c r="K10" s="8" t="s">
        <v>135</v>
      </c>
      <c r="L10" s="3"/>
    </row>
    <row r="11" spans="1:37" ht="6" customHeight="1" thickBot="1" x14ac:dyDescent="0.4">
      <c r="A11" s="93"/>
      <c r="B11" s="93"/>
      <c r="C11" s="33"/>
      <c r="D11" s="31"/>
      <c r="E11" s="30"/>
      <c r="F11" s="30"/>
      <c r="G11" s="33"/>
      <c r="H11" s="30"/>
      <c r="I11" s="33"/>
      <c r="J11" s="30"/>
      <c r="K11" s="33"/>
    </row>
    <row r="12" spans="1:37" ht="14.5" customHeight="1" x14ac:dyDescent="0.35">
      <c r="A12" s="813">
        <v>1</v>
      </c>
      <c r="B12" s="13">
        <f>A12+10</f>
        <v>11</v>
      </c>
      <c r="C12" s="798"/>
      <c r="D12" s="78"/>
      <c r="E12" s="76"/>
      <c r="F12" s="62"/>
      <c r="G12" s="819"/>
      <c r="H12" s="122"/>
      <c r="I12" s="802"/>
      <c r="J12" s="122"/>
      <c r="K12" s="816"/>
    </row>
    <row r="13" spans="1:37" ht="16.5" customHeight="1" x14ac:dyDescent="0.35">
      <c r="A13" s="814"/>
      <c r="B13" s="242">
        <f>B12+1</f>
        <v>12</v>
      </c>
      <c r="C13" s="799"/>
      <c r="E13" s="24" t="s">
        <v>136</v>
      </c>
      <c r="F13" s="24"/>
      <c r="G13" s="820"/>
      <c r="H13" s="125"/>
      <c r="I13" s="538"/>
      <c r="J13" s="125"/>
      <c r="K13" s="817"/>
    </row>
    <row r="14" spans="1:37" ht="14.5" customHeight="1" x14ac:dyDescent="0.35">
      <c r="A14" s="814"/>
      <c r="B14" s="242">
        <f>B13+1</f>
        <v>13</v>
      </c>
      <c r="C14" s="799"/>
      <c r="D14" s="79" t="b">
        <v>0</v>
      </c>
      <c r="E14" s="44" t="s">
        <v>363</v>
      </c>
      <c r="G14" s="820"/>
      <c r="H14" s="125"/>
      <c r="I14" s="538"/>
      <c r="J14" s="125"/>
      <c r="K14" s="817"/>
    </row>
    <row r="15" spans="1:37" ht="6.75" customHeight="1" x14ac:dyDescent="0.35">
      <c r="A15" s="814"/>
      <c r="B15" s="242">
        <f>B14+1</f>
        <v>14</v>
      </c>
      <c r="C15" s="799"/>
      <c r="D15" s="80"/>
      <c r="E15" s="44"/>
      <c r="G15" s="820"/>
      <c r="H15" s="125"/>
      <c r="I15" s="538"/>
      <c r="J15" s="125"/>
      <c r="K15" s="817"/>
    </row>
    <row r="16" spans="1:37" ht="29.5" customHeight="1" thickBot="1" x14ac:dyDescent="0.4">
      <c r="A16" s="815"/>
      <c r="B16" s="242">
        <f>B15+1</f>
        <v>15</v>
      </c>
      <c r="C16" s="801"/>
      <c r="D16" s="81" t="b">
        <v>0</v>
      </c>
      <c r="E16" s="58" t="s">
        <v>364</v>
      </c>
      <c r="F16" s="67"/>
      <c r="G16" s="821"/>
      <c r="H16" s="127"/>
      <c r="I16" s="804"/>
      <c r="J16" s="127"/>
      <c r="K16" s="818"/>
    </row>
    <row r="17" spans="1:11" ht="6" customHeight="1" thickBot="1" x14ac:dyDescent="0.4">
      <c r="A17" s="93"/>
      <c r="B17" s="93"/>
      <c r="C17" s="191"/>
      <c r="D17" s="31"/>
      <c r="E17" s="30"/>
      <c r="F17" s="30"/>
      <c r="G17" s="191"/>
      <c r="H17" s="132"/>
      <c r="I17" s="191"/>
      <c r="J17" s="132"/>
      <c r="K17" s="191"/>
    </row>
    <row r="18" spans="1:11" x14ac:dyDescent="0.35">
      <c r="A18" s="813">
        <f>A12+1</f>
        <v>2</v>
      </c>
      <c r="B18" s="36">
        <f>B12+10</f>
        <v>21</v>
      </c>
      <c r="C18" s="798"/>
      <c r="D18" s="78"/>
      <c r="E18" s="76"/>
      <c r="F18" s="62"/>
      <c r="G18" s="802"/>
      <c r="H18" s="122"/>
      <c r="I18" s="802"/>
      <c r="J18" s="122"/>
      <c r="K18" s="816"/>
    </row>
    <row r="19" spans="1:11" x14ac:dyDescent="0.35">
      <c r="A19" s="814"/>
      <c r="B19" s="36">
        <f>B13+10</f>
        <v>22</v>
      </c>
      <c r="C19" s="799"/>
      <c r="D19" s="44"/>
      <c r="E19" s="24" t="s">
        <v>136</v>
      </c>
      <c r="F19" s="24"/>
      <c r="G19" s="538"/>
      <c r="H19" s="125"/>
      <c r="I19" s="538"/>
      <c r="J19" s="125"/>
      <c r="K19" s="817"/>
    </row>
    <row r="20" spans="1:11" x14ac:dyDescent="0.35">
      <c r="A20" s="814"/>
      <c r="B20" s="36">
        <f>B14+10</f>
        <v>23</v>
      </c>
      <c r="C20" s="799"/>
      <c r="D20" s="79" t="b">
        <v>0</v>
      </c>
      <c r="E20" s="44" t="s">
        <v>363</v>
      </c>
      <c r="G20" s="538"/>
      <c r="H20" s="125"/>
      <c r="I20" s="538"/>
      <c r="J20" s="125"/>
      <c r="K20" s="817"/>
    </row>
    <row r="21" spans="1:11" ht="7.5" customHeight="1" x14ac:dyDescent="0.35">
      <c r="A21" s="814"/>
      <c r="B21" s="36">
        <f>B15+10</f>
        <v>24</v>
      </c>
      <c r="C21" s="799"/>
      <c r="D21" s="44"/>
      <c r="E21" s="44"/>
      <c r="G21" s="538"/>
      <c r="H21" s="125"/>
      <c r="I21" s="538"/>
      <c r="J21" s="125"/>
      <c r="K21" s="817"/>
    </row>
    <row r="22" spans="1:11" ht="29.5" thickBot="1" x14ac:dyDescent="0.4">
      <c r="A22" s="815"/>
      <c r="B22" s="36">
        <f>B16+10</f>
        <v>25</v>
      </c>
      <c r="C22" s="801"/>
      <c r="D22" s="81" t="b">
        <v>0</v>
      </c>
      <c r="E22" s="58" t="s">
        <v>364</v>
      </c>
      <c r="F22" s="67"/>
      <c r="G22" s="804"/>
      <c r="H22" s="127"/>
      <c r="I22" s="804"/>
      <c r="J22" s="127"/>
      <c r="K22" s="818"/>
    </row>
    <row r="23" spans="1:11" ht="6" customHeight="1" thickBot="1" x14ac:dyDescent="0.4">
      <c r="A23" s="93"/>
      <c r="B23" s="93"/>
      <c r="C23" s="191"/>
      <c r="D23" s="31"/>
      <c r="E23" s="30"/>
      <c r="F23" s="30"/>
      <c r="G23" s="191"/>
      <c r="H23" s="132"/>
      <c r="I23" s="191"/>
      <c r="J23" s="132"/>
      <c r="K23" s="191"/>
    </row>
    <row r="24" spans="1:11" x14ac:dyDescent="0.35">
      <c r="A24" s="822">
        <f>A18+1</f>
        <v>3</v>
      </c>
      <c r="B24" s="36">
        <f>B18+10</f>
        <v>31</v>
      </c>
      <c r="C24" s="825"/>
      <c r="D24" s="82"/>
      <c r="E24" s="83"/>
      <c r="F24" s="62"/>
      <c r="G24" s="802"/>
      <c r="H24" s="122"/>
      <c r="I24" s="802"/>
      <c r="J24" s="122"/>
      <c r="K24" s="816"/>
    </row>
    <row r="25" spans="1:11" x14ac:dyDescent="0.35">
      <c r="A25" s="823"/>
      <c r="B25" s="36">
        <f>B19+10</f>
        <v>32</v>
      </c>
      <c r="C25" s="826"/>
      <c r="D25" s="84"/>
      <c r="E25" s="24" t="s">
        <v>136</v>
      </c>
      <c r="F25" s="24"/>
      <c r="G25" s="538"/>
      <c r="H25" s="125"/>
      <c r="I25" s="538"/>
      <c r="J25" s="125"/>
      <c r="K25" s="817"/>
    </row>
    <row r="26" spans="1:11" x14ac:dyDescent="0.35">
      <c r="A26" s="823"/>
      <c r="B26" s="36">
        <f>B20+10</f>
        <v>33</v>
      </c>
      <c r="C26" s="826"/>
      <c r="D26" s="79" t="b">
        <v>0</v>
      </c>
      <c r="E26" s="44" t="s">
        <v>363</v>
      </c>
      <c r="G26" s="538"/>
      <c r="H26" s="125"/>
      <c r="I26" s="538"/>
      <c r="J26" s="125"/>
      <c r="K26" s="817"/>
    </row>
    <row r="27" spans="1:11" ht="6.75" customHeight="1" x14ac:dyDescent="0.35">
      <c r="A27" s="823"/>
      <c r="B27" s="36">
        <f>B21+10</f>
        <v>34</v>
      </c>
      <c r="C27" s="826"/>
      <c r="D27" s="80"/>
      <c r="E27" s="44"/>
      <c r="G27" s="538"/>
      <c r="H27" s="125"/>
      <c r="I27" s="538"/>
      <c r="J27" s="125"/>
      <c r="K27" s="817"/>
    </row>
    <row r="28" spans="1:11" ht="29.5" thickBot="1" x14ac:dyDescent="0.4">
      <c r="A28" s="824"/>
      <c r="B28" s="36">
        <f>B22+10</f>
        <v>35</v>
      </c>
      <c r="C28" s="827"/>
      <c r="D28" s="81" t="b">
        <v>0</v>
      </c>
      <c r="E28" s="58" t="s">
        <v>364</v>
      </c>
      <c r="F28" s="67"/>
      <c r="G28" s="804"/>
      <c r="H28" s="127"/>
      <c r="I28" s="804"/>
      <c r="J28" s="127"/>
      <c r="K28" s="818"/>
    </row>
    <row r="29" spans="1:11" ht="6" customHeight="1" thickBot="1" x14ac:dyDescent="0.4">
      <c r="A29" s="93"/>
      <c r="B29" s="93"/>
      <c r="C29" s="191"/>
      <c r="D29" s="31"/>
      <c r="E29" s="30"/>
      <c r="F29" s="30"/>
      <c r="G29" s="191"/>
      <c r="H29" s="132"/>
      <c r="I29" s="191"/>
      <c r="J29" s="132"/>
      <c r="K29" s="191"/>
    </row>
    <row r="30" spans="1:11" x14ac:dyDescent="0.35">
      <c r="A30" s="822">
        <f>A24+1</f>
        <v>4</v>
      </c>
      <c r="B30" s="36">
        <f>B24+10</f>
        <v>41</v>
      </c>
      <c r="C30" s="825"/>
      <c r="D30" s="82"/>
      <c r="E30" s="83"/>
      <c r="F30" s="62"/>
      <c r="G30" s="802"/>
      <c r="H30" s="122"/>
      <c r="I30" s="802"/>
      <c r="J30" s="122"/>
      <c r="K30" s="816"/>
    </row>
    <row r="31" spans="1:11" x14ac:dyDescent="0.35">
      <c r="A31" s="823"/>
      <c r="B31" s="36">
        <f>B25+10</f>
        <v>42</v>
      </c>
      <c r="C31" s="826"/>
      <c r="D31" s="84"/>
      <c r="E31" s="24" t="s">
        <v>136</v>
      </c>
      <c r="F31" s="24"/>
      <c r="G31" s="538"/>
      <c r="H31" s="125"/>
      <c r="I31" s="538"/>
      <c r="J31" s="125"/>
      <c r="K31" s="817"/>
    </row>
    <row r="32" spans="1:11" x14ac:dyDescent="0.35">
      <c r="A32" s="823"/>
      <c r="B32" s="36">
        <f>B26+10</f>
        <v>43</v>
      </c>
      <c r="C32" s="826"/>
      <c r="D32" s="79" t="b">
        <v>0</v>
      </c>
      <c r="E32" s="44" t="s">
        <v>363</v>
      </c>
      <c r="G32" s="538"/>
      <c r="H32" s="125"/>
      <c r="I32" s="538"/>
      <c r="J32" s="125"/>
      <c r="K32" s="817"/>
    </row>
    <row r="33" spans="1:11" ht="6.75" customHeight="1" x14ac:dyDescent="0.35">
      <c r="A33" s="823"/>
      <c r="B33" s="36">
        <f>B27+10</f>
        <v>44</v>
      </c>
      <c r="C33" s="826"/>
      <c r="D33" s="80"/>
      <c r="E33" s="44"/>
      <c r="G33" s="538"/>
      <c r="H33" s="125"/>
      <c r="I33" s="538"/>
      <c r="J33" s="125"/>
      <c r="K33" s="817"/>
    </row>
    <row r="34" spans="1:11" ht="29.5" thickBot="1" x14ac:dyDescent="0.4">
      <c r="A34" s="824"/>
      <c r="B34" s="36">
        <f>B28+10</f>
        <v>45</v>
      </c>
      <c r="C34" s="827"/>
      <c r="D34" s="81" t="b">
        <v>0</v>
      </c>
      <c r="E34" s="58" t="s">
        <v>364</v>
      </c>
      <c r="F34" s="67"/>
      <c r="G34" s="804"/>
      <c r="H34" s="127"/>
      <c r="I34" s="804"/>
      <c r="J34" s="127"/>
      <c r="K34" s="818"/>
    </row>
    <row r="35" spans="1:11" ht="6" customHeight="1" thickBot="1" x14ac:dyDescent="0.4">
      <c r="A35" s="93"/>
      <c r="B35" s="93"/>
      <c r="C35" s="191"/>
      <c r="D35" s="31"/>
      <c r="E35" s="30"/>
      <c r="F35" s="30"/>
      <c r="G35" s="191"/>
      <c r="H35" s="132"/>
      <c r="I35" s="191"/>
      <c r="J35" s="132"/>
      <c r="K35" s="191"/>
    </row>
    <row r="36" spans="1:11" x14ac:dyDescent="0.35">
      <c r="A36" s="822">
        <f>A30+1</f>
        <v>5</v>
      </c>
      <c r="B36" s="36">
        <f>B30+10</f>
        <v>51</v>
      </c>
      <c r="C36" s="825"/>
      <c r="D36" s="82"/>
      <c r="E36" s="83"/>
      <c r="F36" s="62"/>
      <c r="G36" s="802"/>
      <c r="H36" s="122"/>
      <c r="I36" s="802"/>
      <c r="J36" s="122"/>
      <c r="K36" s="816"/>
    </row>
    <row r="37" spans="1:11" x14ac:dyDescent="0.35">
      <c r="A37" s="823"/>
      <c r="B37" s="36">
        <f>B31+10</f>
        <v>52</v>
      </c>
      <c r="C37" s="826"/>
      <c r="D37" s="84"/>
      <c r="E37" s="24" t="s">
        <v>136</v>
      </c>
      <c r="F37" s="24"/>
      <c r="G37" s="538"/>
      <c r="H37" s="125"/>
      <c r="I37" s="538"/>
      <c r="J37" s="125"/>
      <c r="K37" s="817"/>
    </row>
    <row r="38" spans="1:11" x14ac:dyDescent="0.35">
      <c r="A38" s="823"/>
      <c r="B38" s="36">
        <f>B32+10</f>
        <v>53</v>
      </c>
      <c r="C38" s="826"/>
      <c r="D38" s="85" t="b">
        <v>0</v>
      </c>
      <c r="E38" s="44" t="s">
        <v>363</v>
      </c>
      <c r="G38" s="538"/>
      <c r="H38" s="125"/>
      <c r="I38" s="538"/>
      <c r="J38" s="125"/>
      <c r="K38" s="817"/>
    </row>
    <row r="39" spans="1:11" ht="6.75" customHeight="1" x14ac:dyDescent="0.35">
      <c r="A39" s="823"/>
      <c r="B39" s="36">
        <f>B33+10</f>
        <v>54</v>
      </c>
      <c r="C39" s="826"/>
      <c r="D39" s="80"/>
      <c r="E39" s="44"/>
      <c r="G39" s="538"/>
      <c r="H39" s="125"/>
      <c r="I39" s="538"/>
      <c r="J39" s="125"/>
      <c r="K39" s="817"/>
    </row>
    <row r="40" spans="1:11" ht="29.5" thickBot="1" x14ac:dyDescent="0.4">
      <c r="A40" s="824"/>
      <c r="B40" s="36">
        <f>B34+10</f>
        <v>55</v>
      </c>
      <c r="C40" s="827"/>
      <c r="D40" s="81" t="b">
        <v>0</v>
      </c>
      <c r="E40" s="58" t="s">
        <v>364</v>
      </c>
      <c r="F40" s="67"/>
      <c r="G40" s="804"/>
      <c r="H40" s="127"/>
      <c r="I40" s="804"/>
      <c r="J40" s="127"/>
      <c r="K40" s="818"/>
    </row>
    <row r="41" spans="1:11" ht="6" customHeight="1" thickBot="1" x14ac:dyDescent="0.4">
      <c r="A41" s="93"/>
      <c r="B41" s="93"/>
      <c r="C41" s="191"/>
      <c r="D41" s="31"/>
      <c r="E41" s="30"/>
      <c r="F41" s="30"/>
      <c r="G41" s="191"/>
      <c r="H41" s="132"/>
      <c r="I41" s="191"/>
      <c r="J41" s="132"/>
      <c r="K41" s="191"/>
    </row>
    <row r="42" spans="1:11" x14ac:dyDescent="0.35">
      <c r="A42" s="822">
        <f>A36+1</f>
        <v>6</v>
      </c>
      <c r="B42" s="36">
        <f>B36+10</f>
        <v>61</v>
      </c>
      <c r="C42" s="825"/>
      <c r="D42" s="82"/>
      <c r="E42" s="83"/>
      <c r="F42" s="62"/>
      <c r="G42" s="802"/>
      <c r="H42" s="122"/>
      <c r="I42" s="802"/>
      <c r="J42" s="122"/>
      <c r="K42" s="816"/>
    </row>
    <row r="43" spans="1:11" x14ac:dyDescent="0.35">
      <c r="A43" s="823"/>
      <c r="B43" s="36">
        <f>B37+10</f>
        <v>62</v>
      </c>
      <c r="C43" s="826"/>
      <c r="D43" s="84"/>
      <c r="E43" s="24" t="s">
        <v>136</v>
      </c>
      <c r="F43" s="24"/>
      <c r="G43" s="538"/>
      <c r="H43" s="125"/>
      <c r="I43" s="538"/>
      <c r="J43" s="125"/>
      <c r="K43" s="817"/>
    </row>
    <row r="44" spans="1:11" x14ac:dyDescent="0.35">
      <c r="A44" s="823"/>
      <c r="B44" s="36">
        <f>B38+10</f>
        <v>63</v>
      </c>
      <c r="C44" s="826"/>
      <c r="D44" s="79" t="b">
        <v>0</v>
      </c>
      <c r="E44" s="44" t="s">
        <v>363</v>
      </c>
      <c r="G44" s="538"/>
      <c r="H44" s="125"/>
      <c r="I44" s="538"/>
      <c r="J44" s="125"/>
      <c r="K44" s="817"/>
    </row>
    <row r="45" spans="1:11" ht="6.75" customHeight="1" x14ac:dyDescent="0.35">
      <c r="A45" s="823"/>
      <c r="B45" s="36">
        <f>B39+10</f>
        <v>64</v>
      </c>
      <c r="C45" s="826"/>
      <c r="D45" s="80"/>
      <c r="E45" s="44"/>
      <c r="G45" s="538"/>
      <c r="H45" s="125"/>
      <c r="I45" s="538"/>
      <c r="J45" s="125"/>
      <c r="K45" s="817"/>
    </row>
    <row r="46" spans="1:11" ht="29.5" thickBot="1" x14ac:dyDescent="0.4">
      <c r="A46" s="824"/>
      <c r="B46" s="36">
        <f>B40+10</f>
        <v>65</v>
      </c>
      <c r="C46" s="827"/>
      <c r="D46" s="81" t="b">
        <v>0</v>
      </c>
      <c r="E46" s="58" t="s">
        <v>364</v>
      </c>
      <c r="F46" s="67"/>
      <c r="G46" s="804"/>
      <c r="H46" s="127"/>
      <c r="I46" s="804"/>
      <c r="J46" s="127"/>
      <c r="K46" s="818"/>
    </row>
    <row r="47" spans="1:11" ht="6" customHeight="1" thickBot="1" x14ac:dyDescent="0.4">
      <c r="A47" s="93"/>
      <c r="B47" s="93"/>
      <c r="C47" s="191"/>
      <c r="D47" s="31"/>
      <c r="E47" s="30"/>
      <c r="F47" s="30"/>
      <c r="G47" s="191"/>
      <c r="H47" s="132"/>
      <c r="I47" s="191"/>
      <c r="J47" s="132"/>
      <c r="K47" s="191"/>
    </row>
    <row r="48" spans="1:11" x14ac:dyDescent="0.35">
      <c r="A48" s="822">
        <f>A42+1</f>
        <v>7</v>
      </c>
      <c r="B48" s="36">
        <f>B42+10</f>
        <v>71</v>
      </c>
      <c r="C48" s="825"/>
      <c r="D48" s="82"/>
      <c r="E48" s="83"/>
      <c r="F48" s="62"/>
      <c r="G48" s="802"/>
      <c r="H48" s="122"/>
      <c r="I48" s="802"/>
      <c r="J48" s="122"/>
      <c r="K48" s="816"/>
    </row>
    <row r="49" spans="1:11" x14ac:dyDescent="0.35">
      <c r="A49" s="823"/>
      <c r="B49" s="36">
        <f>B43+10</f>
        <v>72</v>
      </c>
      <c r="C49" s="826"/>
      <c r="D49" s="84"/>
      <c r="E49" s="24" t="s">
        <v>136</v>
      </c>
      <c r="F49" s="24"/>
      <c r="G49" s="538"/>
      <c r="H49" s="125"/>
      <c r="I49" s="538"/>
      <c r="J49" s="125"/>
      <c r="K49" s="817"/>
    </row>
    <row r="50" spans="1:11" x14ac:dyDescent="0.35">
      <c r="A50" s="823"/>
      <c r="B50" s="36">
        <f>B44+10</f>
        <v>73</v>
      </c>
      <c r="C50" s="826"/>
      <c r="D50" s="79" t="b">
        <v>0</v>
      </c>
      <c r="E50" s="44" t="s">
        <v>363</v>
      </c>
      <c r="G50" s="538"/>
      <c r="H50" s="125"/>
      <c r="I50" s="538"/>
      <c r="J50" s="125"/>
      <c r="K50" s="817"/>
    </row>
    <row r="51" spans="1:11" ht="6.75" customHeight="1" x14ac:dyDescent="0.35">
      <c r="A51" s="823"/>
      <c r="B51" s="36">
        <f>B45+10</f>
        <v>74</v>
      </c>
      <c r="C51" s="826"/>
      <c r="D51" s="80"/>
      <c r="E51" s="44"/>
      <c r="G51" s="538"/>
      <c r="H51" s="125"/>
      <c r="I51" s="538"/>
      <c r="J51" s="125"/>
      <c r="K51" s="817"/>
    </row>
    <row r="52" spans="1:11" ht="29.5" thickBot="1" x14ac:dyDescent="0.4">
      <c r="A52" s="824"/>
      <c r="B52" s="36">
        <f>B46+10</f>
        <v>75</v>
      </c>
      <c r="C52" s="827"/>
      <c r="D52" s="81" t="b">
        <v>0</v>
      </c>
      <c r="E52" s="58" t="s">
        <v>364</v>
      </c>
      <c r="F52" s="67"/>
      <c r="G52" s="804"/>
      <c r="H52" s="127"/>
      <c r="I52" s="804"/>
      <c r="J52" s="127"/>
      <c r="K52" s="818"/>
    </row>
    <row r="53" spans="1:11" ht="6" customHeight="1" thickBot="1" x14ac:dyDescent="0.4">
      <c r="A53" s="93"/>
      <c r="B53" s="93"/>
      <c r="C53" s="191"/>
      <c r="D53" s="31"/>
      <c r="E53" s="30"/>
      <c r="F53" s="30"/>
      <c r="G53" s="191"/>
      <c r="H53" s="132"/>
      <c r="I53" s="191"/>
      <c r="J53" s="132"/>
      <c r="K53" s="191"/>
    </row>
    <row r="54" spans="1:11" x14ac:dyDescent="0.35">
      <c r="A54" s="822">
        <f>A48+1</f>
        <v>8</v>
      </c>
      <c r="B54" s="36">
        <f>B48+10</f>
        <v>81</v>
      </c>
      <c r="C54" s="825"/>
      <c r="D54" s="82"/>
      <c r="E54" s="83"/>
      <c r="F54" s="62"/>
      <c r="G54" s="802"/>
      <c r="H54" s="122"/>
      <c r="I54" s="802"/>
      <c r="J54" s="122"/>
      <c r="K54" s="816"/>
    </row>
    <row r="55" spans="1:11" x14ac:dyDescent="0.35">
      <c r="A55" s="823"/>
      <c r="B55" s="36">
        <f>B49+10</f>
        <v>82</v>
      </c>
      <c r="C55" s="826"/>
      <c r="D55" s="84"/>
      <c r="E55" s="24" t="s">
        <v>136</v>
      </c>
      <c r="F55" s="24"/>
      <c r="G55" s="538"/>
      <c r="H55" s="125"/>
      <c r="I55" s="538"/>
      <c r="J55" s="125"/>
      <c r="K55" s="817"/>
    </row>
    <row r="56" spans="1:11" x14ac:dyDescent="0.35">
      <c r="A56" s="823"/>
      <c r="B56" s="36">
        <f>B50+10</f>
        <v>83</v>
      </c>
      <c r="C56" s="826"/>
      <c r="D56" s="79" t="b">
        <v>0</v>
      </c>
      <c r="E56" s="44" t="s">
        <v>363</v>
      </c>
      <c r="G56" s="538"/>
      <c r="H56" s="125"/>
      <c r="I56" s="538"/>
      <c r="J56" s="125"/>
      <c r="K56" s="817"/>
    </row>
    <row r="57" spans="1:11" ht="6.75" customHeight="1" x14ac:dyDescent="0.35">
      <c r="A57" s="823"/>
      <c r="B57" s="36">
        <f>B51+10</f>
        <v>84</v>
      </c>
      <c r="C57" s="826"/>
      <c r="D57" s="80"/>
      <c r="E57" s="44"/>
      <c r="G57" s="538"/>
      <c r="H57" s="125"/>
      <c r="I57" s="538"/>
      <c r="J57" s="125"/>
      <c r="K57" s="817"/>
    </row>
    <row r="58" spans="1:11" ht="29.5" thickBot="1" x14ac:dyDescent="0.4">
      <c r="A58" s="824"/>
      <c r="B58" s="36">
        <f>B52+10</f>
        <v>85</v>
      </c>
      <c r="C58" s="827"/>
      <c r="D58" s="81" t="b">
        <v>0</v>
      </c>
      <c r="E58" s="58" t="s">
        <v>364</v>
      </c>
      <c r="F58" s="67"/>
      <c r="G58" s="804"/>
      <c r="H58" s="127"/>
      <c r="I58" s="804"/>
      <c r="J58" s="127"/>
      <c r="K58" s="818"/>
    </row>
    <row r="59" spans="1:11" ht="6" customHeight="1" thickBot="1" x14ac:dyDescent="0.4">
      <c r="A59" s="93"/>
      <c r="B59" s="93"/>
      <c r="C59" s="191"/>
      <c r="D59" s="31"/>
      <c r="E59" s="30"/>
      <c r="F59" s="30"/>
      <c r="G59" s="191"/>
      <c r="H59" s="132"/>
      <c r="I59" s="191"/>
      <c r="J59" s="132"/>
      <c r="K59" s="191"/>
    </row>
    <row r="60" spans="1:11" x14ac:dyDescent="0.35">
      <c r="A60" s="822">
        <f>A54+1</f>
        <v>9</v>
      </c>
      <c r="B60" s="36">
        <f>B54+10</f>
        <v>91</v>
      </c>
      <c r="C60" s="825"/>
      <c r="D60" s="82"/>
      <c r="E60" s="83"/>
      <c r="F60" s="62"/>
      <c r="G60" s="802"/>
      <c r="H60" s="122"/>
      <c r="I60" s="802"/>
      <c r="J60" s="122"/>
      <c r="K60" s="816"/>
    </row>
    <row r="61" spans="1:11" x14ac:dyDescent="0.35">
      <c r="A61" s="823"/>
      <c r="B61" s="36">
        <f>B55+10</f>
        <v>92</v>
      </c>
      <c r="C61" s="826"/>
      <c r="D61" s="84"/>
      <c r="E61" s="24" t="s">
        <v>136</v>
      </c>
      <c r="F61" s="24"/>
      <c r="G61" s="538"/>
      <c r="H61" s="125"/>
      <c r="I61" s="538"/>
      <c r="J61" s="125"/>
      <c r="K61" s="817"/>
    </row>
    <row r="62" spans="1:11" x14ac:dyDescent="0.35">
      <c r="A62" s="823"/>
      <c r="B62" s="36">
        <f>B56+10</f>
        <v>93</v>
      </c>
      <c r="C62" s="826"/>
      <c r="D62" s="79" t="b">
        <v>0</v>
      </c>
      <c r="E62" s="44" t="s">
        <v>363</v>
      </c>
      <c r="G62" s="538"/>
      <c r="H62" s="125"/>
      <c r="I62" s="538"/>
      <c r="J62" s="125"/>
      <c r="K62" s="817"/>
    </row>
    <row r="63" spans="1:11" ht="6.75" customHeight="1" x14ac:dyDescent="0.35">
      <c r="A63" s="823"/>
      <c r="B63" s="36">
        <f>B57+10</f>
        <v>94</v>
      </c>
      <c r="C63" s="826"/>
      <c r="D63" s="80"/>
      <c r="E63" s="44"/>
      <c r="G63" s="538"/>
      <c r="H63" s="125"/>
      <c r="I63" s="538"/>
      <c r="J63" s="125"/>
      <c r="K63" s="817"/>
    </row>
    <row r="64" spans="1:11" ht="29.5" thickBot="1" x14ac:dyDescent="0.4">
      <c r="A64" s="824"/>
      <c r="B64" s="36">
        <f>B58+10</f>
        <v>95</v>
      </c>
      <c r="C64" s="827"/>
      <c r="D64" s="81" t="b">
        <v>0</v>
      </c>
      <c r="E64" s="58" t="s">
        <v>364</v>
      </c>
      <c r="F64" s="67"/>
      <c r="G64" s="804"/>
      <c r="H64" s="127"/>
      <c r="I64" s="804"/>
      <c r="J64" s="127"/>
      <c r="K64" s="818"/>
    </row>
    <row r="65" spans="1:11" ht="6" customHeight="1" thickBot="1" x14ac:dyDescent="0.4">
      <c r="A65" s="93"/>
      <c r="B65" s="93"/>
      <c r="C65" s="191"/>
      <c r="D65" s="31"/>
      <c r="E65" s="30"/>
      <c r="F65" s="30"/>
      <c r="G65" s="191"/>
      <c r="H65" s="132"/>
      <c r="I65" s="191"/>
      <c r="J65" s="132"/>
      <c r="K65" s="191"/>
    </row>
    <row r="66" spans="1:11" x14ac:dyDescent="0.35">
      <c r="A66" s="822">
        <f>A60+1</f>
        <v>10</v>
      </c>
      <c r="B66" s="36">
        <f>B60+10</f>
        <v>101</v>
      </c>
      <c r="C66" s="825"/>
      <c r="D66" s="82"/>
      <c r="E66" s="83"/>
      <c r="F66" s="62"/>
      <c r="G66" s="802"/>
      <c r="H66" s="122"/>
      <c r="I66" s="802"/>
      <c r="J66" s="122"/>
      <c r="K66" s="816"/>
    </row>
    <row r="67" spans="1:11" x14ac:dyDescent="0.35">
      <c r="A67" s="823"/>
      <c r="B67" s="36">
        <f>B61+10</f>
        <v>102</v>
      </c>
      <c r="C67" s="826"/>
      <c r="D67" s="84"/>
      <c r="E67" s="24" t="s">
        <v>136</v>
      </c>
      <c r="F67" s="24"/>
      <c r="G67" s="538"/>
      <c r="H67" s="125"/>
      <c r="I67" s="538"/>
      <c r="J67" s="125"/>
      <c r="K67" s="817"/>
    </row>
    <row r="68" spans="1:11" x14ac:dyDescent="0.35">
      <c r="A68" s="823"/>
      <c r="B68" s="36">
        <f>B62+10</f>
        <v>103</v>
      </c>
      <c r="C68" s="826"/>
      <c r="D68" s="79" t="b">
        <v>0</v>
      </c>
      <c r="E68" s="44" t="s">
        <v>363</v>
      </c>
      <c r="G68" s="538"/>
      <c r="H68" s="125"/>
      <c r="I68" s="538"/>
      <c r="J68" s="125"/>
      <c r="K68" s="817"/>
    </row>
    <row r="69" spans="1:11" ht="6.75" customHeight="1" x14ac:dyDescent="0.35">
      <c r="A69" s="823"/>
      <c r="B69" s="36">
        <f>B63+10</f>
        <v>104</v>
      </c>
      <c r="C69" s="826"/>
      <c r="D69" s="80"/>
      <c r="E69" s="44"/>
      <c r="G69" s="538"/>
      <c r="H69" s="125"/>
      <c r="I69" s="538"/>
      <c r="J69" s="125"/>
      <c r="K69" s="817"/>
    </row>
    <row r="70" spans="1:11" ht="29.5" thickBot="1" x14ac:dyDescent="0.4">
      <c r="A70" s="824"/>
      <c r="B70" s="36">
        <f>B64+10</f>
        <v>105</v>
      </c>
      <c r="C70" s="827"/>
      <c r="D70" s="81" t="b">
        <v>0</v>
      </c>
      <c r="E70" s="58" t="s">
        <v>364</v>
      </c>
      <c r="F70" s="67"/>
      <c r="G70" s="804"/>
      <c r="H70" s="127"/>
      <c r="I70" s="804"/>
      <c r="J70" s="127"/>
      <c r="K70" s="818"/>
    </row>
    <row r="71" spans="1:11" ht="6" customHeight="1" thickBot="1" x14ac:dyDescent="0.4">
      <c r="A71" s="93"/>
      <c r="B71" s="93"/>
      <c r="C71" s="191"/>
      <c r="D71" s="31"/>
      <c r="E71" s="30"/>
      <c r="F71" s="30"/>
      <c r="G71" s="191"/>
      <c r="H71" s="132"/>
      <c r="I71" s="191"/>
      <c r="J71" s="132"/>
      <c r="K71" s="191"/>
    </row>
    <row r="72" spans="1:11" x14ac:dyDescent="0.35">
      <c r="A72" s="822">
        <f>A66+1</f>
        <v>11</v>
      </c>
      <c r="B72" s="36">
        <f>B66+10</f>
        <v>111</v>
      </c>
      <c r="C72" s="825"/>
      <c r="D72" s="82"/>
      <c r="E72" s="83"/>
      <c r="F72" s="62"/>
      <c r="G72" s="802"/>
      <c r="H72" s="122"/>
      <c r="I72" s="802"/>
      <c r="J72" s="122"/>
      <c r="K72" s="816"/>
    </row>
    <row r="73" spans="1:11" x14ac:dyDescent="0.35">
      <c r="A73" s="823"/>
      <c r="B73" s="36">
        <f>B67+10</f>
        <v>112</v>
      </c>
      <c r="C73" s="826"/>
      <c r="D73" s="84"/>
      <c r="E73" s="24" t="s">
        <v>136</v>
      </c>
      <c r="F73" s="24"/>
      <c r="G73" s="538"/>
      <c r="H73" s="125"/>
      <c r="I73" s="538"/>
      <c r="J73" s="125"/>
      <c r="K73" s="817"/>
    </row>
    <row r="74" spans="1:11" x14ac:dyDescent="0.35">
      <c r="A74" s="823"/>
      <c r="B74" s="36">
        <f>B68+10</f>
        <v>113</v>
      </c>
      <c r="C74" s="826"/>
      <c r="D74" s="79" t="b">
        <v>0</v>
      </c>
      <c r="E74" s="44" t="s">
        <v>363</v>
      </c>
      <c r="G74" s="538"/>
      <c r="H74" s="125"/>
      <c r="I74" s="538"/>
      <c r="J74" s="125"/>
      <c r="K74" s="817"/>
    </row>
    <row r="75" spans="1:11" ht="6.75" customHeight="1" x14ac:dyDescent="0.35">
      <c r="A75" s="823"/>
      <c r="B75" s="36">
        <f>B69+10</f>
        <v>114</v>
      </c>
      <c r="C75" s="826"/>
      <c r="D75" s="80"/>
      <c r="E75" s="44"/>
      <c r="G75" s="538"/>
      <c r="H75" s="125"/>
      <c r="I75" s="538"/>
      <c r="J75" s="125"/>
      <c r="K75" s="817"/>
    </row>
    <row r="76" spans="1:11" ht="29.5" thickBot="1" x14ac:dyDescent="0.4">
      <c r="A76" s="824"/>
      <c r="B76" s="36">
        <f>B70+10</f>
        <v>115</v>
      </c>
      <c r="C76" s="827"/>
      <c r="D76" s="81" t="b">
        <v>0</v>
      </c>
      <c r="E76" s="58" t="s">
        <v>364</v>
      </c>
      <c r="F76" s="67"/>
      <c r="G76" s="804"/>
      <c r="H76" s="127"/>
      <c r="I76" s="804"/>
      <c r="J76" s="127"/>
      <c r="K76" s="818"/>
    </row>
    <row r="77" spans="1:11" ht="6" customHeight="1" thickBot="1" x14ac:dyDescent="0.4">
      <c r="A77" s="93"/>
      <c r="B77" s="93"/>
      <c r="C77" s="191"/>
      <c r="D77" s="31"/>
      <c r="E77" s="30"/>
      <c r="F77" s="30"/>
      <c r="G77" s="191"/>
      <c r="H77" s="132"/>
      <c r="I77" s="191"/>
      <c r="J77" s="132"/>
      <c r="K77" s="191"/>
    </row>
    <row r="78" spans="1:11" x14ac:dyDescent="0.35">
      <c r="A78" s="822">
        <f>A72+1</f>
        <v>12</v>
      </c>
      <c r="B78" s="36">
        <f>B72+10</f>
        <v>121</v>
      </c>
      <c r="C78" s="825"/>
      <c r="D78" s="82"/>
      <c r="E78" s="83"/>
      <c r="F78" s="62"/>
      <c r="G78" s="802"/>
      <c r="H78" s="122"/>
      <c r="I78" s="802"/>
      <c r="J78" s="122"/>
      <c r="K78" s="816"/>
    </row>
    <row r="79" spans="1:11" x14ac:dyDescent="0.35">
      <c r="A79" s="823"/>
      <c r="B79" s="36">
        <f>B73+10</f>
        <v>122</v>
      </c>
      <c r="C79" s="826"/>
      <c r="D79" s="84"/>
      <c r="E79" s="24" t="s">
        <v>136</v>
      </c>
      <c r="F79" s="24"/>
      <c r="G79" s="538"/>
      <c r="H79" s="125"/>
      <c r="I79" s="538"/>
      <c r="J79" s="125"/>
      <c r="K79" s="817"/>
    </row>
    <row r="80" spans="1:11" x14ac:dyDescent="0.35">
      <c r="A80" s="823"/>
      <c r="B80" s="36">
        <f>B74+10</f>
        <v>123</v>
      </c>
      <c r="C80" s="826"/>
      <c r="D80" s="79" t="b">
        <v>0</v>
      </c>
      <c r="E80" s="44" t="s">
        <v>363</v>
      </c>
      <c r="G80" s="538"/>
      <c r="H80" s="125"/>
      <c r="I80" s="538"/>
      <c r="J80" s="125"/>
      <c r="K80" s="817"/>
    </row>
    <row r="81" spans="1:11" ht="6.75" customHeight="1" x14ac:dyDescent="0.35">
      <c r="A81" s="823"/>
      <c r="B81" s="36">
        <f>B75+10</f>
        <v>124</v>
      </c>
      <c r="C81" s="826"/>
      <c r="D81" s="80"/>
      <c r="E81" s="44"/>
      <c r="G81" s="538"/>
      <c r="H81" s="125"/>
      <c r="I81" s="538"/>
      <c r="J81" s="125"/>
      <c r="K81" s="817"/>
    </row>
    <row r="82" spans="1:11" ht="29.5" thickBot="1" x14ac:dyDescent="0.4">
      <c r="A82" s="824"/>
      <c r="B82" s="36">
        <f>B76+10</f>
        <v>125</v>
      </c>
      <c r="C82" s="827"/>
      <c r="D82" s="81" t="b">
        <v>0</v>
      </c>
      <c r="E82" s="58" t="s">
        <v>364</v>
      </c>
      <c r="F82" s="67"/>
      <c r="G82" s="804"/>
      <c r="H82" s="127"/>
      <c r="I82" s="804"/>
      <c r="J82" s="127"/>
      <c r="K82" s="818"/>
    </row>
    <row r="83" spans="1:11" ht="6" customHeight="1" thickBot="1" x14ac:dyDescent="0.4">
      <c r="A83" s="93"/>
      <c r="B83" s="93"/>
      <c r="C83" s="191"/>
      <c r="D83" s="31"/>
      <c r="E83" s="30"/>
      <c r="F83" s="30"/>
      <c r="G83" s="191"/>
      <c r="H83" s="132"/>
      <c r="I83" s="191"/>
      <c r="J83" s="132"/>
      <c r="K83" s="191"/>
    </row>
    <row r="84" spans="1:11" x14ac:dyDescent="0.35">
      <c r="A84" s="822">
        <f>A78+1</f>
        <v>13</v>
      </c>
      <c r="B84" s="36">
        <f>B78+10</f>
        <v>131</v>
      </c>
      <c r="C84" s="825"/>
      <c r="D84" s="82"/>
      <c r="E84" s="83"/>
      <c r="F84" s="62"/>
      <c r="G84" s="802"/>
      <c r="H84" s="122"/>
      <c r="I84" s="802"/>
      <c r="J84" s="122"/>
      <c r="K84" s="816"/>
    </row>
    <row r="85" spans="1:11" x14ac:dyDescent="0.35">
      <c r="A85" s="823"/>
      <c r="B85" s="36">
        <f>B79+10</f>
        <v>132</v>
      </c>
      <c r="C85" s="826"/>
      <c r="D85" s="84"/>
      <c r="E85" s="24" t="s">
        <v>136</v>
      </c>
      <c r="F85" s="24"/>
      <c r="G85" s="538"/>
      <c r="H85" s="125"/>
      <c r="I85" s="538"/>
      <c r="J85" s="125"/>
      <c r="K85" s="817"/>
    </row>
    <row r="86" spans="1:11" x14ac:dyDescent="0.35">
      <c r="A86" s="823"/>
      <c r="B86" s="36">
        <f>B80+10</f>
        <v>133</v>
      </c>
      <c r="C86" s="826"/>
      <c r="D86" s="79" t="b">
        <v>0</v>
      </c>
      <c r="E86" s="44" t="s">
        <v>363</v>
      </c>
      <c r="G86" s="538"/>
      <c r="H86" s="125"/>
      <c r="I86" s="538"/>
      <c r="J86" s="125"/>
      <c r="K86" s="817"/>
    </row>
    <row r="87" spans="1:11" ht="6.75" customHeight="1" x14ac:dyDescent="0.35">
      <c r="A87" s="823"/>
      <c r="B87" s="36">
        <f>B81+10</f>
        <v>134</v>
      </c>
      <c r="C87" s="826"/>
      <c r="D87" s="80"/>
      <c r="E87" s="44"/>
      <c r="G87" s="538"/>
      <c r="H87" s="125"/>
      <c r="I87" s="538"/>
      <c r="J87" s="125"/>
      <c r="K87" s="817"/>
    </row>
    <row r="88" spans="1:11" ht="29.5" thickBot="1" x14ac:dyDescent="0.4">
      <c r="A88" s="824"/>
      <c r="B88" s="36">
        <f>B82+10</f>
        <v>135</v>
      </c>
      <c r="C88" s="827"/>
      <c r="D88" s="81" t="b">
        <v>0</v>
      </c>
      <c r="E88" s="58" t="s">
        <v>364</v>
      </c>
      <c r="F88" s="67"/>
      <c r="G88" s="804"/>
      <c r="H88" s="127"/>
      <c r="I88" s="804"/>
      <c r="J88" s="127"/>
      <c r="K88" s="818"/>
    </row>
    <row r="89" spans="1:11" ht="6" customHeight="1" thickBot="1" x14ac:dyDescent="0.4">
      <c r="A89" s="93"/>
      <c r="B89" s="93"/>
      <c r="C89" s="191"/>
      <c r="D89" s="31"/>
      <c r="E89" s="30"/>
      <c r="F89" s="30"/>
      <c r="G89" s="191"/>
      <c r="H89" s="132"/>
      <c r="I89" s="191"/>
      <c r="J89" s="132"/>
      <c r="K89" s="191"/>
    </row>
    <row r="90" spans="1:11" x14ac:dyDescent="0.35">
      <c r="A90" s="822">
        <f>A84+1</f>
        <v>14</v>
      </c>
      <c r="B90" s="36">
        <f>B84+10</f>
        <v>141</v>
      </c>
      <c r="C90" s="825"/>
      <c r="D90" s="82"/>
      <c r="E90" s="83"/>
      <c r="F90" s="62"/>
      <c r="G90" s="802"/>
      <c r="H90" s="122"/>
      <c r="I90" s="802"/>
      <c r="J90" s="122"/>
      <c r="K90" s="816"/>
    </row>
    <row r="91" spans="1:11" x14ac:dyDescent="0.35">
      <c r="A91" s="823"/>
      <c r="B91" s="36">
        <f>B85+10</f>
        <v>142</v>
      </c>
      <c r="C91" s="826"/>
      <c r="D91" s="84"/>
      <c r="E91" s="24" t="s">
        <v>136</v>
      </c>
      <c r="F91" s="24"/>
      <c r="G91" s="538"/>
      <c r="H91" s="125"/>
      <c r="I91" s="538"/>
      <c r="J91" s="125"/>
      <c r="K91" s="817"/>
    </row>
    <row r="92" spans="1:11" x14ac:dyDescent="0.35">
      <c r="A92" s="823"/>
      <c r="B92" s="36">
        <f>B86+10</f>
        <v>143</v>
      </c>
      <c r="C92" s="826"/>
      <c r="D92" s="79" t="b">
        <v>0</v>
      </c>
      <c r="E92" s="44" t="s">
        <v>363</v>
      </c>
      <c r="G92" s="538"/>
      <c r="H92" s="125"/>
      <c r="I92" s="538"/>
      <c r="J92" s="125"/>
      <c r="K92" s="817"/>
    </row>
    <row r="93" spans="1:11" ht="6.75" customHeight="1" x14ac:dyDescent="0.35">
      <c r="A93" s="823"/>
      <c r="B93" s="36">
        <f>B87+10</f>
        <v>144</v>
      </c>
      <c r="C93" s="826"/>
      <c r="D93" s="80"/>
      <c r="E93" s="44"/>
      <c r="G93" s="538"/>
      <c r="H93" s="125"/>
      <c r="I93" s="538"/>
      <c r="J93" s="125"/>
      <c r="K93" s="817"/>
    </row>
    <row r="94" spans="1:11" ht="29.5" thickBot="1" x14ac:dyDescent="0.4">
      <c r="A94" s="824"/>
      <c r="B94" s="36">
        <f>B88+10</f>
        <v>145</v>
      </c>
      <c r="C94" s="827"/>
      <c r="D94" s="81" t="b">
        <v>0</v>
      </c>
      <c r="E94" s="58" t="s">
        <v>364</v>
      </c>
      <c r="F94" s="67"/>
      <c r="G94" s="804"/>
      <c r="H94" s="127"/>
      <c r="I94" s="804"/>
      <c r="J94" s="127"/>
      <c r="K94" s="818"/>
    </row>
    <row r="95" spans="1:11" ht="6" customHeight="1" thickBot="1" x14ac:dyDescent="0.4">
      <c r="A95" s="93"/>
      <c r="B95" s="93"/>
      <c r="C95" s="191"/>
      <c r="D95" s="31"/>
      <c r="E95" s="30"/>
      <c r="F95" s="30"/>
      <c r="G95" s="191"/>
      <c r="H95" s="132"/>
      <c r="I95" s="191"/>
      <c r="J95" s="132"/>
      <c r="K95" s="191"/>
    </row>
    <row r="96" spans="1:11" x14ac:dyDescent="0.35">
      <c r="A96" s="822">
        <f>A90+1</f>
        <v>15</v>
      </c>
      <c r="B96" s="36">
        <f>B90+10</f>
        <v>151</v>
      </c>
      <c r="C96" s="825"/>
      <c r="D96" s="82"/>
      <c r="E96" s="83"/>
      <c r="F96" s="62"/>
      <c r="G96" s="802"/>
      <c r="H96" s="122"/>
      <c r="I96" s="802"/>
      <c r="J96" s="122"/>
      <c r="K96" s="816"/>
    </row>
    <row r="97" spans="1:11" x14ac:dyDescent="0.35">
      <c r="A97" s="823"/>
      <c r="B97" s="36">
        <f>B91+10</f>
        <v>152</v>
      </c>
      <c r="C97" s="826"/>
      <c r="D97" s="84"/>
      <c r="E97" s="24" t="s">
        <v>136</v>
      </c>
      <c r="F97" s="24"/>
      <c r="G97" s="538"/>
      <c r="H97" s="125"/>
      <c r="I97" s="538"/>
      <c r="J97" s="125"/>
      <c r="K97" s="817"/>
    </row>
    <row r="98" spans="1:11" x14ac:dyDescent="0.35">
      <c r="A98" s="823"/>
      <c r="B98" s="36">
        <f>B92+10</f>
        <v>153</v>
      </c>
      <c r="C98" s="826"/>
      <c r="D98" s="79" t="b">
        <v>1</v>
      </c>
      <c r="E98" s="44" t="s">
        <v>363</v>
      </c>
      <c r="G98" s="538"/>
      <c r="H98" s="125"/>
      <c r="I98" s="538"/>
      <c r="J98" s="125"/>
      <c r="K98" s="817"/>
    </row>
    <row r="99" spans="1:11" ht="6.75" customHeight="1" x14ac:dyDescent="0.35">
      <c r="A99" s="823"/>
      <c r="B99" s="36">
        <f>B93+10</f>
        <v>154</v>
      </c>
      <c r="C99" s="826"/>
      <c r="D99" s="80"/>
      <c r="E99" s="44"/>
      <c r="G99" s="538"/>
      <c r="H99" s="125"/>
      <c r="I99" s="538"/>
      <c r="J99" s="125"/>
      <c r="K99" s="817"/>
    </row>
    <row r="100" spans="1:11" ht="29.5" thickBot="1" x14ac:dyDescent="0.4">
      <c r="A100" s="824"/>
      <c r="B100" s="36">
        <f>B94+10</f>
        <v>155</v>
      </c>
      <c r="C100" s="827"/>
      <c r="D100" s="81" t="b">
        <v>0</v>
      </c>
      <c r="E100" s="58" t="s">
        <v>364</v>
      </c>
      <c r="F100" s="67"/>
      <c r="G100" s="804"/>
      <c r="H100" s="127"/>
      <c r="I100" s="804"/>
      <c r="J100" s="127"/>
      <c r="K100" s="818"/>
    </row>
    <row r="101" spans="1:11" ht="6" customHeight="1" thickBot="1" x14ac:dyDescent="0.4">
      <c r="A101" s="93"/>
      <c r="B101" s="93"/>
      <c r="C101" s="191"/>
      <c r="D101" s="31"/>
      <c r="E101" s="30"/>
      <c r="F101" s="30"/>
      <c r="G101" s="191"/>
      <c r="H101" s="132"/>
      <c r="I101" s="191"/>
      <c r="J101" s="132"/>
      <c r="K101" s="191"/>
    </row>
    <row r="102" spans="1:11" x14ac:dyDescent="0.35">
      <c r="A102" s="822">
        <f>A96+1</f>
        <v>16</v>
      </c>
      <c r="B102" s="36">
        <f>B96+10</f>
        <v>161</v>
      </c>
      <c r="C102" s="825"/>
      <c r="D102" s="82"/>
      <c r="E102" s="83"/>
      <c r="F102" s="62"/>
      <c r="G102" s="802"/>
      <c r="H102" s="122"/>
      <c r="I102" s="802"/>
      <c r="J102" s="122"/>
      <c r="K102" s="816"/>
    </row>
    <row r="103" spans="1:11" x14ac:dyDescent="0.35">
      <c r="A103" s="823"/>
      <c r="B103" s="36">
        <f>B97+10</f>
        <v>162</v>
      </c>
      <c r="C103" s="826"/>
      <c r="D103" s="84"/>
      <c r="E103" s="24" t="s">
        <v>136</v>
      </c>
      <c r="F103" s="24"/>
      <c r="G103" s="538"/>
      <c r="H103" s="125"/>
      <c r="I103" s="538"/>
      <c r="J103" s="125"/>
      <c r="K103" s="817"/>
    </row>
    <row r="104" spans="1:11" x14ac:dyDescent="0.35">
      <c r="A104" s="823"/>
      <c r="B104" s="36">
        <f>B98+10</f>
        <v>163</v>
      </c>
      <c r="C104" s="826"/>
      <c r="D104" s="79" t="b">
        <v>0</v>
      </c>
      <c r="E104" s="44" t="s">
        <v>363</v>
      </c>
      <c r="G104" s="538"/>
      <c r="H104" s="125"/>
      <c r="I104" s="538"/>
      <c r="J104" s="125"/>
      <c r="K104" s="817"/>
    </row>
    <row r="105" spans="1:11" ht="6.75" customHeight="1" x14ac:dyDescent="0.35">
      <c r="A105" s="823"/>
      <c r="B105" s="36">
        <f>B99+10</f>
        <v>164</v>
      </c>
      <c r="C105" s="826"/>
      <c r="D105" s="80"/>
      <c r="E105" s="44"/>
      <c r="G105" s="538"/>
      <c r="H105" s="125"/>
      <c r="I105" s="538"/>
      <c r="J105" s="125"/>
      <c r="K105" s="817"/>
    </row>
    <row r="106" spans="1:11" ht="29.5" thickBot="1" x14ac:dyDescent="0.4">
      <c r="A106" s="824"/>
      <c r="B106" s="36">
        <f>B100+10</f>
        <v>165</v>
      </c>
      <c r="C106" s="827"/>
      <c r="D106" s="81" t="b">
        <v>0</v>
      </c>
      <c r="E106" s="58" t="s">
        <v>364</v>
      </c>
      <c r="F106" s="67"/>
      <c r="G106" s="804"/>
      <c r="H106" s="127"/>
      <c r="I106" s="804"/>
      <c r="J106" s="127"/>
      <c r="K106" s="818"/>
    </row>
    <row r="107" spans="1:11" ht="6" customHeight="1" thickBot="1" x14ac:dyDescent="0.4">
      <c r="A107" s="93"/>
      <c r="B107" s="93"/>
      <c r="C107" s="191"/>
      <c r="D107" s="31"/>
      <c r="E107" s="30"/>
      <c r="F107" s="30"/>
      <c r="G107" s="191"/>
      <c r="H107" s="132"/>
      <c r="I107" s="191"/>
      <c r="J107" s="132"/>
      <c r="K107" s="191"/>
    </row>
    <row r="108" spans="1:11" x14ac:dyDescent="0.35">
      <c r="A108" s="822">
        <f>A102+1</f>
        <v>17</v>
      </c>
      <c r="B108" s="36">
        <f>B102+10</f>
        <v>171</v>
      </c>
      <c r="C108" s="825"/>
      <c r="D108" s="82"/>
      <c r="E108" s="83"/>
      <c r="F108" s="62"/>
      <c r="G108" s="802"/>
      <c r="H108" s="122"/>
      <c r="I108" s="802"/>
      <c r="J108" s="122"/>
      <c r="K108" s="816"/>
    </row>
    <row r="109" spans="1:11" x14ac:dyDescent="0.35">
      <c r="A109" s="823"/>
      <c r="B109" s="36">
        <f>B103+10</f>
        <v>172</v>
      </c>
      <c r="C109" s="826"/>
      <c r="D109" s="84"/>
      <c r="E109" s="24" t="s">
        <v>136</v>
      </c>
      <c r="F109" s="24"/>
      <c r="G109" s="538"/>
      <c r="H109" s="125"/>
      <c r="I109" s="538"/>
      <c r="J109" s="125"/>
      <c r="K109" s="817"/>
    </row>
    <row r="110" spans="1:11" x14ac:dyDescent="0.35">
      <c r="A110" s="823"/>
      <c r="B110" s="36">
        <f>B104+10</f>
        <v>173</v>
      </c>
      <c r="C110" s="826"/>
      <c r="D110" s="79" t="b">
        <v>0</v>
      </c>
      <c r="E110" s="44" t="s">
        <v>363</v>
      </c>
      <c r="G110" s="538"/>
      <c r="H110" s="125"/>
      <c r="I110" s="538"/>
      <c r="J110" s="125"/>
      <c r="K110" s="817"/>
    </row>
    <row r="111" spans="1:11" ht="6.75" customHeight="1" x14ac:dyDescent="0.35">
      <c r="A111" s="823"/>
      <c r="B111" s="36">
        <f>B105+10</f>
        <v>174</v>
      </c>
      <c r="C111" s="826"/>
      <c r="D111" s="80"/>
      <c r="E111" s="44"/>
      <c r="G111" s="538"/>
      <c r="H111" s="125"/>
      <c r="I111" s="538"/>
      <c r="J111" s="125"/>
      <c r="K111" s="817"/>
    </row>
    <row r="112" spans="1:11" ht="29.5" thickBot="1" x14ac:dyDescent="0.4">
      <c r="A112" s="824"/>
      <c r="B112" s="36">
        <f>B106+10</f>
        <v>175</v>
      </c>
      <c r="C112" s="827"/>
      <c r="D112" s="81" t="b">
        <v>0</v>
      </c>
      <c r="E112" s="58" t="s">
        <v>364</v>
      </c>
      <c r="F112" s="67"/>
      <c r="G112" s="804"/>
      <c r="H112" s="127"/>
      <c r="I112" s="804"/>
      <c r="J112" s="127"/>
      <c r="K112" s="818"/>
    </row>
    <row r="113" spans="1:11" ht="6" customHeight="1" thickBot="1" x14ac:dyDescent="0.4">
      <c r="A113" s="93"/>
      <c r="B113" s="93"/>
      <c r="C113" s="191"/>
      <c r="D113" s="31"/>
      <c r="E113" s="30"/>
      <c r="F113" s="30"/>
      <c r="G113" s="191"/>
      <c r="H113" s="132"/>
      <c r="I113" s="191"/>
      <c r="J113" s="132"/>
      <c r="K113" s="191"/>
    </row>
    <row r="114" spans="1:11" x14ac:dyDescent="0.35">
      <c r="A114" s="822">
        <f>A108+1</f>
        <v>18</v>
      </c>
      <c r="B114" s="36">
        <f>B108+10</f>
        <v>181</v>
      </c>
      <c r="C114" s="825"/>
      <c r="D114" s="82"/>
      <c r="E114" s="83"/>
      <c r="F114" s="62"/>
      <c r="G114" s="802"/>
      <c r="H114" s="122"/>
      <c r="I114" s="802"/>
      <c r="J114" s="122"/>
      <c r="K114" s="816"/>
    </row>
    <row r="115" spans="1:11" x14ac:dyDescent="0.35">
      <c r="A115" s="823"/>
      <c r="B115" s="36">
        <f>B109+10</f>
        <v>182</v>
      </c>
      <c r="C115" s="826"/>
      <c r="D115" s="84"/>
      <c r="E115" s="24" t="s">
        <v>136</v>
      </c>
      <c r="F115" s="24"/>
      <c r="G115" s="538"/>
      <c r="H115" s="125"/>
      <c r="I115" s="538"/>
      <c r="J115" s="125"/>
      <c r="K115" s="817"/>
    </row>
    <row r="116" spans="1:11" x14ac:dyDescent="0.35">
      <c r="A116" s="823"/>
      <c r="B116" s="36">
        <f>B110+10</f>
        <v>183</v>
      </c>
      <c r="C116" s="826"/>
      <c r="D116" s="79" t="b">
        <v>0</v>
      </c>
      <c r="E116" s="44" t="s">
        <v>363</v>
      </c>
      <c r="G116" s="538"/>
      <c r="H116" s="125"/>
      <c r="I116" s="538"/>
      <c r="J116" s="125"/>
      <c r="K116" s="817"/>
    </row>
    <row r="117" spans="1:11" ht="6.75" customHeight="1" x14ac:dyDescent="0.35">
      <c r="A117" s="823"/>
      <c r="B117" s="36">
        <f>B111+10</f>
        <v>184</v>
      </c>
      <c r="C117" s="826"/>
      <c r="D117" s="80"/>
      <c r="E117" s="44"/>
      <c r="G117" s="538"/>
      <c r="H117" s="125"/>
      <c r="I117" s="538"/>
      <c r="J117" s="125"/>
      <c r="K117" s="817"/>
    </row>
    <row r="118" spans="1:11" ht="29.5" thickBot="1" x14ac:dyDescent="0.4">
      <c r="A118" s="824"/>
      <c r="B118" s="36">
        <f>B112+10</f>
        <v>185</v>
      </c>
      <c r="C118" s="827"/>
      <c r="D118" s="81" t="b">
        <v>0</v>
      </c>
      <c r="E118" s="58" t="s">
        <v>364</v>
      </c>
      <c r="F118" s="67"/>
      <c r="G118" s="804"/>
      <c r="H118" s="127"/>
      <c r="I118" s="804"/>
      <c r="J118" s="127"/>
      <c r="K118" s="818"/>
    </row>
    <row r="119" spans="1:11" ht="6" customHeight="1" thickBot="1" x14ac:dyDescent="0.4">
      <c r="A119" s="93"/>
      <c r="B119" s="93"/>
      <c r="C119" s="191"/>
      <c r="D119" s="31"/>
      <c r="E119" s="30"/>
      <c r="F119" s="30"/>
      <c r="G119" s="191"/>
      <c r="H119" s="132"/>
      <c r="I119" s="191"/>
      <c r="J119" s="132"/>
      <c r="K119" s="191"/>
    </row>
    <row r="120" spans="1:11" x14ac:dyDescent="0.35">
      <c r="A120" s="822">
        <f>A114+1</f>
        <v>19</v>
      </c>
      <c r="B120" s="36">
        <f>B114+10</f>
        <v>191</v>
      </c>
      <c r="C120" s="825"/>
      <c r="D120" s="82"/>
      <c r="E120" s="83"/>
      <c r="F120" s="62"/>
      <c r="G120" s="802"/>
      <c r="H120" s="122"/>
      <c r="I120" s="802"/>
      <c r="J120" s="122"/>
      <c r="K120" s="816"/>
    </row>
    <row r="121" spans="1:11" x14ac:dyDescent="0.35">
      <c r="A121" s="823"/>
      <c r="B121" s="36">
        <f>B115+10</f>
        <v>192</v>
      </c>
      <c r="C121" s="826"/>
      <c r="D121" s="84"/>
      <c r="E121" s="24" t="s">
        <v>136</v>
      </c>
      <c r="F121" s="24"/>
      <c r="G121" s="538"/>
      <c r="H121" s="125"/>
      <c r="I121" s="538"/>
      <c r="J121" s="125"/>
      <c r="K121" s="817"/>
    </row>
    <row r="122" spans="1:11" x14ac:dyDescent="0.35">
      <c r="A122" s="823"/>
      <c r="B122" s="36">
        <f>B116+10</f>
        <v>193</v>
      </c>
      <c r="C122" s="826"/>
      <c r="D122" s="79" t="b">
        <v>0</v>
      </c>
      <c r="E122" s="44" t="s">
        <v>363</v>
      </c>
      <c r="G122" s="538"/>
      <c r="H122" s="125"/>
      <c r="I122" s="538"/>
      <c r="J122" s="125"/>
      <c r="K122" s="817"/>
    </row>
    <row r="123" spans="1:11" ht="6.75" customHeight="1" x14ac:dyDescent="0.35">
      <c r="A123" s="823"/>
      <c r="B123" s="36">
        <f>B117+10</f>
        <v>194</v>
      </c>
      <c r="C123" s="826"/>
      <c r="D123" s="80"/>
      <c r="E123" s="44"/>
      <c r="G123" s="538"/>
      <c r="H123" s="125"/>
      <c r="I123" s="538"/>
      <c r="J123" s="125"/>
      <c r="K123" s="817"/>
    </row>
    <row r="124" spans="1:11" ht="29.5" thickBot="1" x14ac:dyDescent="0.4">
      <c r="A124" s="824"/>
      <c r="B124" s="36">
        <f>B118+10</f>
        <v>195</v>
      </c>
      <c r="C124" s="827"/>
      <c r="D124" s="81" t="b">
        <v>0</v>
      </c>
      <c r="E124" s="58" t="s">
        <v>364</v>
      </c>
      <c r="F124" s="67"/>
      <c r="G124" s="804"/>
      <c r="H124" s="127"/>
      <c r="I124" s="804"/>
      <c r="J124" s="127"/>
      <c r="K124" s="818"/>
    </row>
    <row r="125" spans="1:11" ht="6" customHeight="1" thickBot="1" x14ac:dyDescent="0.4">
      <c r="A125" s="93"/>
      <c r="B125" s="93"/>
      <c r="C125" s="191"/>
      <c r="D125" s="31"/>
      <c r="E125" s="30"/>
      <c r="F125" s="30"/>
      <c r="G125" s="191"/>
      <c r="H125" s="132"/>
      <c r="I125" s="191"/>
      <c r="J125" s="132"/>
      <c r="K125" s="191"/>
    </row>
    <row r="126" spans="1:11" x14ac:dyDescent="0.35">
      <c r="A126" s="822">
        <f>A120+1</f>
        <v>20</v>
      </c>
      <c r="B126" s="36">
        <f>B120+10</f>
        <v>201</v>
      </c>
      <c r="C126" s="825"/>
      <c r="D126" s="82"/>
      <c r="E126" s="83"/>
      <c r="F126" s="62"/>
      <c r="G126" s="802"/>
      <c r="H126" s="122"/>
      <c r="I126" s="802"/>
      <c r="J126" s="122"/>
      <c r="K126" s="816"/>
    </row>
    <row r="127" spans="1:11" x14ac:dyDescent="0.35">
      <c r="A127" s="823"/>
      <c r="B127" s="36">
        <f>B121+10</f>
        <v>202</v>
      </c>
      <c r="C127" s="826"/>
      <c r="D127" s="84"/>
      <c r="E127" s="24" t="s">
        <v>136</v>
      </c>
      <c r="F127" s="24"/>
      <c r="G127" s="538"/>
      <c r="H127" s="125"/>
      <c r="I127" s="538"/>
      <c r="J127" s="125"/>
      <c r="K127" s="817"/>
    </row>
    <row r="128" spans="1:11" x14ac:dyDescent="0.35">
      <c r="A128" s="823"/>
      <c r="B128" s="36">
        <f>B122+10</f>
        <v>203</v>
      </c>
      <c r="C128" s="826"/>
      <c r="D128" s="79" t="b">
        <v>0</v>
      </c>
      <c r="E128" s="44" t="s">
        <v>363</v>
      </c>
      <c r="G128" s="538"/>
      <c r="H128" s="125"/>
      <c r="I128" s="538"/>
      <c r="J128" s="125"/>
      <c r="K128" s="817"/>
    </row>
    <row r="129" spans="1:11" ht="6.75" customHeight="1" x14ac:dyDescent="0.35">
      <c r="A129" s="823"/>
      <c r="B129" s="36">
        <f>B123+10</f>
        <v>204</v>
      </c>
      <c r="C129" s="826"/>
      <c r="D129" s="80"/>
      <c r="E129" s="44"/>
      <c r="G129" s="538"/>
      <c r="H129" s="125"/>
      <c r="I129" s="538"/>
      <c r="J129" s="125"/>
      <c r="K129" s="817"/>
    </row>
    <row r="130" spans="1:11" ht="29.5" thickBot="1" x14ac:dyDescent="0.4">
      <c r="A130" s="824"/>
      <c r="B130" s="36">
        <f>B124+10</f>
        <v>205</v>
      </c>
      <c r="C130" s="827"/>
      <c r="D130" s="81" t="b">
        <v>0</v>
      </c>
      <c r="E130" s="58" t="s">
        <v>364</v>
      </c>
      <c r="F130" s="67"/>
      <c r="G130" s="804"/>
      <c r="H130" s="127"/>
      <c r="I130" s="804"/>
      <c r="J130" s="127"/>
      <c r="K130" s="818"/>
    </row>
  </sheetData>
  <mergeCells count="102">
    <mergeCell ref="A126:A130"/>
    <mergeCell ref="C126:C130"/>
    <mergeCell ref="G126:G130"/>
    <mergeCell ref="I126:I130"/>
    <mergeCell ref="K126:K130"/>
    <mergeCell ref="A120:A124"/>
    <mergeCell ref="C120:C124"/>
    <mergeCell ref="G120:G124"/>
    <mergeCell ref="I120:I124"/>
    <mergeCell ref="K120:K124"/>
    <mergeCell ref="A114:A118"/>
    <mergeCell ref="C114:C118"/>
    <mergeCell ref="G114:G118"/>
    <mergeCell ref="I114:I118"/>
    <mergeCell ref="K114:K118"/>
    <mergeCell ref="A108:A112"/>
    <mergeCell ref="C108:C112"/>
    <mergeCell ref="G108:G112"/>
    <mergeCell ref="I108:I112"/>
    <mergeCell ref="K108:K112"/>
    <mergeCell ref="A102:A106"/>
    <mergeCell ref="C102:C106"/>
    <mergeCell ref="G102:G106"/>
    <mergeCell ref="I102:I106"/>
    <mergeCell ref="K102:K106"/>
    <mergeCell ref="A96:A100"/>
    <mergeCell ref="C96:C100"/>
    <mergeCell ref="G96:G100"/>
    <mergeCell ref="I96:I100"/>
    <mergeCell ref="K96:K100"/>
    <mergeCell ref="A90:A94"/>
    <mergeCell ref="C90:C94"/>
    <mergeCell ref="G90:G94"/>
    <mergeCell ref="I90:I94"/>
    <mergeCell ref="K90:K94"/>
    <mergeCell ref="A84:A88"/>
    <mergeCell ref="C84:C88"/>
    <mergeCell ref="G84:G88"/>
    <mergeCell ref="I84:I88"/>
    <mergeCell ref="K84:K88"/>
    <mergeCell ref="A78:A82"/>
    <mergeCell ref="C78:C82"/>
    <mergeCell ref="G78:G82"/>
    <mergeCell ref="I78:I82"/>
    <mergeCell ref="K78:K82"/>
    <mergeCell ref="A72:A76"/>
    <mergeCell ref="C72:C76"/>
    <mergeCell ref="G72:G76"/>
    <mergeCell ref="I72:I76"/>
    <mergeCell ref="K72:K76"/>
    <mergeCell ref="A66:A70"/>
    <mergeCell ref="C66:C70"/>
    <mergeCell ref="G66:G70"/>
    <mergeCell ref="I66:I70"/>
    <mergeCell ref="K66:K70"/>
    <mergeCell ref="A60:A64"/>
    <mergeCell ref="C60:C64"/>
    <mergeCell ref="G60:G64"/>
    <mergeCell ref="I60:I64"/>
    <mergeCell ref="K60:K64"/>
    <mergeCell ref="A54:A58"/>
    <mergeCell ref="C54:C58"/>
    <mergeCell ref="G54:G58"/>
    <mergeCell ref="I54:I58"/>
    <mergeCell ref="K54:K58"/>
    <mergeCell ref="A48:A52"/>
    <mergeCell ref="C48:C52"/>
    <mergeCell ref="G48:G52"/>
    <mergeCell ref="I48:I52"/>
    <mergeCell ref="K48:K52"/>
    <mergeCell ref="A42:A46"/>
    <mergeCell ref="C42:C46"/>
    <mergeCell ref="G42:G46"/>
    <mergeCell ref="I42:I46"/>
    <mergeCell ref="K42:K46"/>
    <mergeCell ref="A36:A40"/>
    <mergeCell ref="C36:C40"/>
    <mergeCell ref="G36:G40"/>
    <mergeCell ref="I36:I40"/>
    <mergeCell ref="K36:K40"/>
    <mergeCell ref="A30:A34"/>
    <mergeCell ref="C30:C34"/>
    <mergeCell ref="G30:G34"/>
    <mergeCell ref="I30:I34"/>
    <mergeCell ref="K30:K34"/>
    <mergeCell ref="A24:A28"/>
    <mergeCell ref="C24:C28"/>
    <mergeCell ref="G24:G28"/>
    <mergeCell ref="I24:I28"/>
    <mergeCell ref="K24:K28"/>
    <mergeCell ref="A1:E1"/>
    <mergeCell ref="A18:A22"/>
    <mergeCell ref="C18:C22"/>
    <mergeCell ref="G18:G22"/>
    <mergeCell ref="I18:I22"/>
    <mergeCell ref="K18:K22"/>
    <mergeCell ref="G12:G16"/>
    <mergeCell ref="I12:I16"/>
    <mergeCell ref="K12:K16"/>
    <mergeCell ref="C12:C16"/>
    <mergeCell ref="A12:A16"/>
    <mergeCell ref="A5:A9"/>
  </mergeCells>
  <dataValidations count="1">
    <dataValidation type="list" allowBlank="1" showInputMessage="1" showErrorMessage="1" sqref="E18 E24 E48 E12 E42 E30 E36 E54 E60 E66 E72 E78 E84 E90 E96 E102 E108 E114 E120 E126" xr:uid="{E8259D78-42B6-445E-B295-AA55CCFB0CCE}">
      <formula1>policy</formula1>
    </dataValidation>
  </dataValidations>
  <hyperlinks>
    <hyperlink ref="G5" r:id="rId1" xr:uid="{4D3CC61B-3976-4382-985C-E70D23F471FF}"/>
    <hyperlink ref="I5" r:id="rId2" location="role-groups-in-the-security--compliance-center" xr:uid="{900BC7A0-2074-4DAE-9EE8-5F62087E22FB}"/>
    <hyperlink ref="I6" r:id="rId3" xr:uid="{0F31E98E-5FA6-43B0-95B9-9F4AA41E4E80}"/>
    <hyperlink ref="I7" r:id="rId4" xr:uid="{47D88371-F682-458F-A646-1E18AFC62F87}"/>
    <hyperlink ref="E5" r:id="rId5" xr:uid="{10472806-8D88-466A-98A8-A8776A0B67A1}"/>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55" id="{E96C9311-B35C-4A7E-82AE-4E76DAFA4557}">
            <xm:f>$E$12=INputs!$AZ$3</xm:f>
            <x14:dxf>
              <font>
                <color theme="1"/>
              </font>
            </x14:dxf>
          </x14:cfRule>
          <xm:sqref>D14:E16</xm:sqref>
        </x14:conditionalFormatting>
        <x14:conditionalFormatting xmlns:xm="http://schemas.microsoft.com/office/excel/2006/main">
          <x14:cfRule type="expression" priority="144" id="{2D39303C-8098-4D3D-A0E1-4C2CA515ECA8}">
            <xm:f>$E$18=INputs!$AZ$3</xm:f>
            <x14:dxf>
              <font>
                <color theme="1"/>
              </font>
            </x14:dxf>
          </x14:cfRule>
          <xm:sqref>D20:E20</xm:sqref>
        </x14:conditionalFormatting>
        <x14:conditionalFormatting xmlns:xm="http://schemas.microsoft.com/office/excel/2006/main">
          <x14:cfRule type="expression" priority="143" id="{8CE16887-73C8-4F2F-845B-B173D5D59BE0}">
            <xm:f>$E$18=INputs!$AZ$3</xm:f>
            <x14:dxf>
              <font>
                <color theme="1"/>
              </font>
            </x14:dxf>
          </x14:cfRule>
          <xm:sqref>D22:E22</xm:sqref>
        </x14:conditionalFormatting>
        <x14:conditionalFormatting xmlns:xm="http://schemas.microsoft.com/office/excel/2006/main">
          <x14:cfRule type="expression" priority="139" id="{3022968A-B44B-4108-A58D-03939480D1A5}">
            <xm:f>$E$24=INputs!$AZ$3</xm:f>
            <x14:dxf>
              <font>
                <color theme="1"/>
              </font>
            </x14:dxf>
          </x14:cfRule>
          <xm:sqref>D26:E26</xm:sqref>
        </x14:conditionalFormatting>
        <x14:conditionalFormatting xmlns:xm="http://schemas.microsoft.com/office/excel/2006/main">
          <x14:cfRule type="expression" priority="110" id="{5BDBE183-DF31-4550-95CF-6F8B04AD6C4B}">
            <xm:f>$E$12=INputs!$AZ$3</xm:f>
            <x14:dxf>
              <font>
                <color theme="1"/>
              </font>
            </x14:dxf>
          </x14:cfRule>
          <xm:sqref>D27:E27</xm:sqref>
        </x14:conditionalFormatting>
        <x14:conditionalFormatting xmlns:xm="http://schemas.microsoft.com/office/excel/2006/main">
          <x14:cfRule type="expression" priority="140" id="{5892C245-12FA-4EEC-B3B2-CA0A5149EAEC}">
            <xm:f>$E$24=INputs!$AZ$3</xm:f>
            <x14:dxf>
              <font>
                <color theme="1"/>
              </font>
            </x14:dxf>
          </x14:cfRule>
          <xm:sqref>D28:E28</xm:sqref>
        </x14:conditionalFormatting>
        <x14:conditionalFormatting xmlns:xm="http://schemas.microsoft.com/office/excel/2006/main">
          <x14:cfRule type="expression" priority="136" id="{850193AF-AB9B-47D1-BBE1-529235F19191}">
            <xm:f>$E$30=INputs!$AZ$3</xm:f>
            <x14:dxf>
              <font>
                <color theme="1"/>
              </font>
            </x14:dxf>
          </x14:cfRule>
          <xm:sqref>D32:E32</xm:sqref>
        </x14:conditionalFormatting>
        <x14:conditionalFormatting xmlns:xm="http://schemas.microsoft.com/office/excel/2006/main">
          <x14:cfRule type="expression" priority="109" id="{D110DF07-149E-4C9F-A1A6-82C6339BC279}">
            <xm:f>$E$12=INputs!$AZ$3</xm:f>
            <x14:dxf>
              <font>
                <color theme="1"/>
              </font>
            </x14:dxf>
          </x14:cfRule>
          <xm:sqref>D33:E33</xm:sqref>
        </x14:conditionalFormatting>
        <x14:conditionalFormatting xmlns:xm="http://schemas.microsoft.com/office/excel/2006/main">
          <x14:cfRule type="expression" priority="135" id="{5E0CDD6A-C354-4E2A-952C-481221020A74}">
            <xm:f>$E$30=INputs!$AZ$3</xm:f>
            <x14:dxf>
              <font>
                <color theme="1"/>
              </font>
            </x14:dxf>
          </x14:cfRule>
          <xm:sqref>D34:E34</xm:sqref>
        </x14:conditionalFormatting>
        <x14:conditionalFormatting xmlns:xm="http://schemas.microsoft.com/office/excel/2006/main">
          <x14:cfRule type="expression" priority="131" id="{1989838F-0D3A-4083-9BB7-E1E7F87FB76A}">
            <xm:f>$E$36=INputs!$AZ$3</xm:f>
            <x14:dxf>
              <font>
                <color theme="1"/>
              </font>
            </x14:dxf>
          </x14:cfRule>
          <xm:sqref>D38:E38</xm:sqref>
        </x14:conditionalFormatting>
        <x14:conditionalFormatting xmlns:xm="http://schemas.microsoft.com/office/excel/2006/main">
          <x14:cfRule type="expression" priority="108" id="{FFD7841E-AC27-451F-801E-4C334B92D87B}">
            <xm:f>$E$12=INputs!$AZ$3</xm:f>
            <x14:dxf>
              <font>
                <color theme="1"/>
              </font>
            </x14:dxf>
          </x14:cfRule>
          <xm:sqref>D39:E39</xm:sqref>
        </x14:conditionalFormatting>
        <x14:conditionalFormatting xmlns:xm="http://schemas.microsoft.com/office/excel/2006/main">
          <x14:cfRule type="expression" priority="132" id="{2C326432-DA87-4862-BF8C-210420BC99A4}">
            <xm:f>$E$36=INputs!$AZ$3</xm:f>
            <x14:dxf>
              <font>
                <color theme="1"/>
              </font>
            </x14:dxf>
          </x14:cfRule>
          <xm:sqref>D40:E40</xm:sqref>
        </x14:conditionalFormatting>
        <x14:conditionalFormatting xmlns:xm="http://schemas.microsoft.com/office/excel/2006/main">
          <x14:cfRule type="expression" priority="128" id="{3A5585F0-AC7E-4098-8CE0-CFFDAB91E14E}">
            <xm:f>$E$42=INputs!$AZ$3</xm:f>
            <x14:dxf>
              <font>
                <color theme="1"/>
              </font>
            </x14:dxf>
          </x14:cfRule>
          <xm:sqref>D44:E44</xm:sqref>
        </x14:conditionalFormatting>
        <x14:conditionalFormatting xmlns:xm="http://schemas.microsoft.com/office/excel/2006/main">
          <x14:cfRule type="expression" priority="107" id="{EBB2895D-5202-413B-B03E-1F2152D62F42}">
            <xm:f>$E$12=INputs!$AZ$3</xm:f>
            <x14:dxf>
              <font>
                <color theme="1"/>
              </font>
            </x14:dxf>
          </x14:cfRule>
          <xm:sqref>D45:E45</xm:sqref>
        </x14:conditionalFormatting>
        <x14:conditionalFormatting xmlns:xm="http://schemas.microsoft.com/office/excel/2006/main">
          <x14:cfRule type="expression" priority="127" id="{DA0FE692-5269-4BF0-B313-CC932AEB4DFD}">
            <xm:f>$E$42=INputs!$AZ$3</xm:f>
            <x14:dxf>
              <font>
                <color theme="1"/>
              </font>
            </x14:dxf>
          </x14:cfRule>
          <xm:sqref>D46:E46</xm:sqref>
        </x14:conditionalFormatting>
        <x14:conditionalFormatting xmlns:xm="http://schemas.microsoft.com/office/excel/2006/main">
          <x14:cfRule type="expression" priority="124" id="{07642CD1-9552-4B38-9654-FFD6096B078F}">
            <xm:f>$E$48=INputs!$AZ$3</xm:f>
            <x14:dxf>
              <font>
                <color theme="1"/>
              </font>
            </x14:dxf>
          </x14:cfRule>
          <xm:sqref>D50:E50</xm:sqref>
        </x14:conditionalFormatting>
        <x14:conditionalFormatting xmlns:xm="http://schemas.microsoft.com/office/excel/2006/main">
          <x14:cfRule type="expression" priority="106" id="{F68576F7-F6F5-4CBC-AE8D-36A94EFE4F82}">
            <xm:f>$E$12=INputs!$AZ$3</xm:f>
            <x14:dxf>
              <font>
                <color theme="1"/>
              </font>
            </x14:dxf>
          </x14:cfRule>
          <xm:sqref>D51:E51</xm:sqref>
        </x14:conditionalFormatting>
        <x14:conditionalFormatting xmlns:xm="http://schemas.microsoft.com/office/excel/2006/main">
          <x14:cfRule type="expression" priority="123" id="{D2E3EFC1-47C6-4A31-BAA3-FF85128A8056}">
            <xm:f>$E$48=INputs!$AZ$3</xm:f>
            <x14:dxf>
              <font>
                <color theme="1"/>
              </font>
            </x14:dxf>
          </x14:cfRule>
          <xm:sqref>D52:E52</xm:sqref>
        </x14:conditionalFormatting>
        <x14:conditionalFormatting xmlns:xm="http://schemas.microsoft.com/office/excel/2006/main">
          <x14:cfRule type="expression" priority="120" id="{583A6CCF-8598-46E7-9E9B-CFF7BC0E85BA}">
            <xm:f>$E54=INputs!$AZ$3</xm:f>
            <x14:dxf>
              <font>
                <color theme="1"/>
              </font>
            </x14:dxf>
          </x14:cfRule>
          <xm:sqref>D56:E56</xm:sqref>
        </x14:conditionalFormatting>
        <x14:conditionalFormatting xmlns:xm="http://schemas.microsoft.com/office/excel/2006/main">
          <x14:cfRule type="expression" priority="105" id="{23E310DB-755D-4B21-97D5-39B4994FE310}">
            <xm:f>$E$12=INputs!$AZ$3</xm:f>
            <x14:dxf>
              <font>
                <color theme="1"/>
              </font>
            </x14:dxf>
          </x14:cfRule>
          <xm:sqref>D57:E57</xm:sqref>
        </x14:conditionalFormatting>
        <x14:conditionalFormatting xmlns:xm="http://schemas.microsoft.com/office/excel/2006/main">
          <x14:cfRule type="expression" priority="119" id="{5E84C641-D9A8-42AF-845A-D373F164ECD5}">
            <xm:f>$E54=INputs!$AZ$3</xm:f>
            <x14:dxf>
              <font>
                <color theme="1"/>
              </font>
            </x14:dxf>
          </x14:cfRule>
          <xm:sqref>D58:E58</xm:sqref>
        </x14:conditionalFormatting>
        <x14:conditionalFormatting xmlns:xm="http://schemas.microsoft.com/office/excel/2006/main">
          <x14:cfRule type="expression" priority="56" id="{B1A3F153-6654-47DD-9758-B34A03A24A34}">
            <xm:f>$E60=INputs!$AZ$3</xm:f>
            <x14:dxf>
              <font>
                <color theme="1"/>
              </font>
            </x14:dxf>
          </x14:cfRule>
          <xm:sqref>D62:E62</xm:sqref>
        </x14:conditionalFormatting>
        <x14:conditionalFormatting xmlns:xm="http://schemas.microsoft.com/office/excel/2006/main">
          <x14:cfRule type="expression" priority="53" id="{7C186968-A56D-4327-9E7D-275FA872011A}">
            <xm:f>$E$12=INputs!$AZ$3</xm:f>
            <x14:dxf>
              <font>
                <color theme="1"/>
              </font>
            </x14:dxf>
          </x14:cfRule>
          <xm:sqref>D63:E63</xm:sqref>
        </x14:conditionalFormatting>
        <x14:conditionalFormatting xmlns:xm="http://schemas.microsoft.com/office/excel/2006/main">
          <x14:cfRule type="expression" priority="55" id="{C3703E42-C10A-4BD6-803B-17807C1980FF}">
            <xm:f>$E60=INputs!$AZ$3</xm:f>
            <x14:dxf>
              <font>
                <color theme="1"/>
              </font>
            </x14:dxf>
          </x14:cfRule>
          <xm:sqref>D64:E64</xm:sqref>
        </x14:conditionalFormatting>
        <x14:conditionalFormatting xmlns:xm="http://schemas.microsoft.com/office/excel/2006/main">
          <x14:cfRule type="expression" priority="52" id="{0D70CD30-1695-4E1F-9134-DEEB7B0171BF}">
            <xm:f>$E66=INputs!$AZ$3</xm:f>
            <x14:dxf>
              <font>
                <color theme="1"/>
              </font>
            </x14:dxf>
          </x14:cfRule>
          <xm:sqref>D68:E68</xm:sqref>
        </x14:conditionalFormatting>
        <x14:conditionalFormatting xmlns:xm="http://schemas.microsoft.com/office/excel/2006/main">
          <x14:cfRule type="expression" priority="49" id="{0B39E377-C326-4B5A-AAA7-22CCD6253278}">
            <xm:f>$E$12=INputs!$AZ$3</xm:f>
            <x14:dxf>
              <font>
                <color theme="1"/>
              </font>
            </x14:dxf>
          </x14:cfRule>
          <xm:sqref>D69:E69</xm:sqref>
        </x14:conditionalFormatting>
        <x14:conditionalFormatting xmlns:xm="http://schemas.microsoft.com/office/excel/2006/main">
          <x14:cfRule type="expression" priority="51" id="{7A62BF0E-1E06-45BC-AFE1-CA5066CD9F1A}">
            <xm:f>$E66=INputs!$AZ$3</xm:f>
            <x14:dxf>
              <font>
                <color theme="1"/>
              </font>
            </x14:dxf>
          </x14:cfRule>
          <xm:sqref>D70:E70</xm:sqref>
        </x14:conditionalFormatting>
        <x14:conditionalFormatting xmlns:xm="http://schemas.microsoft.com/office/excel/2006/main">
          <x14:cfRule type="expression" priority="48" id="{CF472755-7F8B-447B-963A-24D042855BF3}">
            <xm:f>$E72=INputs!$AZ$3</xm:f>
            <x14:dxf>
              <font>
                <color theme="1"/>
              </font>
            </x14:dxf>
          </x14:cfRule>
          <xm:sqref>D74:E74</xm:sqref>
        </x14:conditionalFormatting>
        <x14:conditionalFormatting xmlns:xm="http://schemas.microsoft.com/office/excel/2006/main">
          <x14:cfRule type="expression" priority="45" id="{3A2D2377-D80D-4637-86A6-D06D0FEB93CB}">
            <xm:f>$E$12=INputs!$AZ$3</xm:f>
            <x14:dxf>
              <font>
                <color theme="1"/>
              </font>
            </x14:dxf>
          </x14:cfRule>
          <xm:sqref>D75:E75</xm:sqref>
        </x14:conditionalFormatting>
        <x14:conditionalFormatting xmlns:xm="http://schemas.microsoft.com/office/excel/2006/main">
          <x14:cfRule type="expression" priority="47" id="{D5BE80D6-2E0E-47AA-AA64-1474983E0EA5}">
            <xm:f>$E72=INputs!$AZ$3</xm:f>
            <x14:dxf>
              <font>
                <color theme="1"/>
              </font>
            </x14:dxf>
          </x14:cfRule>
          <xm:sqref>D76:E76</xm:sqref>
        </x14:conditionalFormatting>
        <x14:conditionalFormatting xmlns:xm="http://schemas.microsoft.com/office/excel/2006/main">
          <x14:cfRule type="expression" priority="44" id="{82E25267-92E7-4940-B8C7-4BD193B5EAB5}">
            <xm:f>$E78=INputs!$AZ$3</xm:f>
            <x14:dxf>
              <font>
                <color theme="1"/>
              </font>
            </x14:dxf>
          </x14:cfRule>
          <xm:sqref>D80:E80</xm:sqref>
        </x14:conditionalFormatting>
        <x14:conditionalFormatting xmlns:xm="http://schemas.microsoft.com/office/excel/2006/main">
          <x14:cfRule type="expression" priority="41" id="{F469CE43-3CDB-4570-B682-6E14A1507EA1}">
            <xm:f>$E$12=INputs!$AZ$3</xm:f>
            <x14:dxf>
              <font>
                <color theme="1"/>
              </font>
            </x14:dxf>
          </x14:cfRule>
          <xm:sqref>D81:E81</xm:sqref>
        </x14:conditionalFormatting>
        <x14:conditionalFormatting xmlns:xm="http://schemas.microsoft.com/office/excel/2006/main">
          <x14:cfRule type="expression" priority="43" id="{C02B664F-A821-436B-9DCD-EB91E5AE0505}">
            <xm:f>$E78=INputs!$AZ$3</xm:f>
            <x14:dxf>
              <font>
                <color theme="1"/>
              </font>
            </x14:dxf>
          </x14:cfRule>
          <xm:sqref>D82:E82</xm:sqref>
        </x14:conditionalFormatting>
        <x14:conditionalFormatting xmlns:xm="http://schemas.microsoft.com/office/excel/2006/main">
          <x14:cfRule type="expression" priority="40" id="{35543E00-FDCF-4841-968A-C3C88198FC7C}">
            <xm:f>$E84=INputs!$AZ$3</xm:f>
            <x14:dxf>
              <font>
                <color theme="1"/>
              </font>
            </x14:dxf>
          </x14:cfRule>
          <xm:sqref>D86:E86</xm:sqref>
        </x14:conditionalFormatting>
        <x14:conditionalFormatting xmlns:xm="http://schemas.microsoft.com/office/excel/2006/main">
          <x14:cfRule type="expression" priority="37" id="{27B45BF5-4DB7-4285-8550-6C2E7E08EC97}">
            <xm:f>$E$12=INputs!$AZ$3</xm:f>
            <x14:dxf>
              <font>
                <color theme="1"/>
              </font>
            </x14:dxf>
          </x14:cfRule>
          <xm:sqref>D87:E87</xm:sqref>
        </x14:conditionalFormatting>
        <x14:conditionalFormatting xmlns:xm="http://schemas.microsoft.com/office/excel/2006/main">
          <x14:cfRule type="expression" priority="39" id="{9FC7312E-FE35-49F8-8B9A-5A10DA9E7F59}">
            <xm:f>$E84=INputs!$AZ$3</xm:f>
            <x14:dxf>
              <font>
                <color theme="1"/>
              </font>
            </x14:dxf>
          </x14:cfRule>
          <xm:sqref>D88:E88</xm:sqref>
        </x14:conditionalFormatting>
        <x14:conditionalFormatting xmlns:xm="http://schemas.microsoft.com/office/excel/2006/main">
          <x14:cfRule type="expression" priority="36" id="{476E2A2D-33C5-4B9D-A9E3-7A27AFDB7C70}">
            <xm:f>$E90=INputs!$AZ$3</xm:f>
            <x14:dxf>
              <font>
                <color theme="1"/>
              </font>
            </x14:dxf>
          </x14:cfRule>
          <xm:sqref>D92:E92</xm:sqref>
        </x14:conditionalFormatting>
        <x14:conditionalFormatting xmlns:xm="http://schemas.microsoft.com/office/excel/2006/main">
          <x14:cfRule type="expression" priority="33" id="{396BA10C-FFD5-455F-814B-F101D1A64240}">
            <xm:f>$E$12=INputs!$AZ$3</xm:f>
            <x14:dxf>
              <font>
                <color theme="1"/>
              </font>
            </x14:dxf>
          </x14:cfRule>
          <xm:sqref>D93:E93</xm:sqref>
        </x14:conditionalFormatting>
        <x14:conditionalFormatting xmlns:xm="http://schemas.microsoft.com/office/excel/2006/main">
          <x14:cfRule type="expression" priority="35" id="{BF6E7A18-7BEC-4704-9F7A-A832A23BECAD}">
            <xm:f>$E90=INputs!$AZ$3</xm:f>
            <x14:dxf>
              <font>
                <color theme="1"/>
              </font>
            </x14:dxf>
          </x14:cfRule>
          <xm:sqref>D94:E94</xm:sqref>
        </x14:conditionalFormatting>
        <x14:conditionalFormatting xmlns:xm="http://schemas.microsoft.com/office/excel/2006/main">
          <x14:cfRule type="expression" priority="28" id="{21178AEC-3905-4769-96B6-C58B65A45C6F}">
            <xm:f>$E96=INputs!$AZ$3</xm:f>
            <x14:dxf>
              <font>
                <color theme="1"/>
              </font>
            </x14:dxf>
          </x14:cfRule>
          <xm:sqref>D98:E98</xm:sqref>
        </x14:conditionalFormatting>
        <x14:conditionalFormatting xmlns:xm="http://schemas.microsoft.com/office/excel/2006/main">
          <x14:cfRule type="expression" priority="25" id="{C183F19E-83C4-4CAD-B659-175E7E992663}">
            <xm:f>$E$12=INputs!$AZ$3</xm:f>
            <x14:dxf>
              <font>
                <color theme="1"/>
              </font>
            </x14:dxf>
          </x14:cfRule>
          <xm:sqref>D99:E99</xm:sqref>
        </x14:conditionalFormatting>
        <x14:conditionalFormatting xmlns:xm="http://schemas.microsoft.com/office/excel/2006/main">
          <x14:cfRule type="expression" priority="27" id="{838026A2-07BE-41B0-ACA2-1BBD68A9CAC9}">
            <xm:f>$E96=INputs!$AZ$3</xm:f>
            <x14:dxf>
              <font>
                <color theme="1"/>
              </font>
            </x14:dxf>
          </x14:cfRule>
          <xm:sqref>D100:E100</xm:sqref>
        </x14:conditionalFormatting>
        <x14:conditionalFormatting xmlns:xm="http://schemas.microsoft.com/office/excel/2006/main">
          <x14:cfRule type="expression" priority="32" id="{DE284DB7-1136-4646-A083-12001D8C0564}">
            <xm:f>$E102=INputs!$AZ$3</xm:f>
            <x14:dxf>
              <font>
                <color theme="1"/>
              </font>
            </x14:dxf>
          </x14:cfRule>
          <xm:sqref>D104:E104</xm:sqref>
        </x14:conditionalFormatting>
        <x14:conditionalFormatting xmlns:xm="http://schemas.microsoft.com/office/excel/2006/main">
          <x14:cfRule type="expression" priority="29" id="{3A16BBE7-6260-4349-9E7E-BC417C37D694}">
            <xm:f>$E$12=INputs!$AZ$3</xm:f>
            <x14:dxf>
              <font>
                <color theme="1"/>
              </font>
            </x14:dxf>
          </x14:cfRule>
          <xm:sqref>D105:E105</xm:sqref>
        </x14:conditionalFormatting>
        <x14:conditionalFormatting xmlns:xm="http://schemas.microsoft.com/office/excel/2006/main">
          <x14:cfRule type="expression" priority="31" id="{E0AE9492-5026-49E1-9CF3-F05418B38FD6}">
            <xm:f>$E102=INputs!$AZ$3</xm:f>
            <x14:dxf>
              <font>
                <color theme="1"/>
              </font>
            </x14:dxf>
          </x14:cfRule>
          <xm:sqref>D106:E106</xm:sqref>
        </x14:conditionalFormatting>
        <x14:conditionalFormatting xmlns:xm="http://schemas.microsoft.com/office/excel/2006/main">
          <x14:cfRule type="expression" priority="24" id="{BDE25F99-1A39-4B32-8A9A-7CAAF8B546B4}">
            <xm:f>$E108=INputs!$AZ$3</xm:f>
            <x14:dxf>
              <font>
                <color theme="1"/>
              </font>
            </x14:dxf>
          </x14:cfRule>
          <xm:sqref>D110:E110</xm:sqref>
        </x14:conditionalFormatting>
        <x14:conditionalFormatting xmlns:xm="http://schemas.microsoft.com/office/excel/2006/main">
          <x14:cfRule type="expression" priority="21" id="{C0701E6C-298C-419A-A9FF-DDB6479D8F86}">
            <xm:f>$E$12=INputs!$AZ$3</xm:f>
            <x14:dxf>
              <font>
                <color theme="1"/>
              </font>
            </x14:dxf>
          </x14:cfRule>
          <xm:sqref>D111:E111</xm:sqref>
        </x14:conditionalFormatting>
        <x14:conditionalFormatting xmlns:xm="http://schemas.microsoft.com/office/excel/2006/main">
          <x14:cfRule type="expression" priority="23" id="{EB8C41BE-0D33-4977-A1A6-AF3F7E87184B}">
            <xm:f>$E108=INputs!$AZ$3</xm:f>
            <x14:dxf>
              <font>
                <color theme="1"/>
              </font>
            </x14:dxf>
          </x14:cfRule>
          <xm:sqref>D112:E112</xm:sqref>
        </x14:conditionalFormatting>
        <x14:conditionalFormatting xmlns:xm="http://schemas.microsoft.com/office/excel/2006/main">
          <x14:cfRule type="expression" priority="20" id="{A519C586-FF76-4F62-AD05-429B27D05EE3}">
            <xm:f>$E114=INputs!$AZ$3</xm:f>
            <x14:dxf>
              <font>
                <color theme="1"/>
              </font>
            </x14:dxf>
          </x14:cfRule>
          <xm:sqref>D116:E116</xm:sqref>
        </x14:conditionalFormatting>
        <x14:conditionalFormatting xmlns:xm="http://schemas.microsoft.com/office/excel/2006/main">
          <x14:cfRule type="expression" priority="17" id="{D88B6ABD-803E-4A7C-9AC6-372A17D7B25B}">
            <xm:f>$E$12=INputs!$AZ$3</xm:f>
            <x14:dxf>
              <font>
                <color theme="1"/>
              </font>
            </x14:dxf>
          </x14:cfRule>
          <xm:sqref>D117:E117</xm:sqref>
        </x14:conditionalFormatting>
        <x14:conditionalFormatting xmlns:xm="http://schemas.microsoft.com/office/excel/2006/main">
          <x14:cfRule type="expression" priority="19" id="{1F7C6A3A-6AC0-4A63-8776-8ECD2639FF72}">
            <xm:f>$E114=INputs!$AZ$3</xm:f>
            <x14:dxf>
              <font>
                <color theme="1"/>
              </font>
            </x14:dxf>
          </x14:cfRule>
          <xm:sqref>D118:E118</xm:sqref>
        </x14:conditionalFormatting>
        <x14:conditionalFormatting xmlns:xm="http://schemas.microsoft.com/office/excel/2006/main">
          <x14:cfRule type="expression" priority="8" id="{F8741A5D-87A6-41D7-9116-9B25FCC136E4}">
            <xm:f>$E120=INputs!$AZ$3</xm:f>
            <x14:dxf>
              <font>
                <color theme="1"/>
              </font>
            </x14:dxf>
          </x14:cfRule>
          <xm:sqref>D122:E122</xm:sqref>
        </x14:conditionalFormatting>
        <x14:conditionalFormatting xmlns:xm="http://schemas.microsoft.com/office/excel/2006/main">
          <x14:cfRule type="expression" priority="5" id="{B8245BC3-BA44-4321-8465-21038B164822}">
            <xm:f>$E$12=INputs!$AZ$3</xm:f>
            <x14:dxf>
              <font>
                <color theme="1"/>
              </font>
            </x14:dxf>
          </x14:cfRule>
          <xm:sqref>D123:E123</xm:sqref>
        </x14:conditionalFormatting>
        <x14:conditionalFormatting xmlns:xm="http://schemas.microsoft.com/office/excel/2006/main">
          <x14:cfRule type="expression" priority="7" id="{9C2E3A35-70E5-4DD1-A221-4130530E5400}">
            <xm:f>$E120=INputs!$AZ$3</xm:f>
            <x14:dxf>
              <font>
                <color theme="1"/>
              </font>
            </x14:dxf>
          </x14:cfRule>
          <xm:sqref>D124:E124</xm:sqref>
        </x14:conditionalFormatting>
        <x14:conditionalFormatting xmlns:xm="http://schemas.microsoft.com/office/excel/2006/main">
          <x14:cfRule type="expression" priority="4" id="{6EB4E429-F5A5-43EF-B495-2472EC7B23A5}">
            <xm:f>$E126=INputs!$AZ$3</xm:f>
            <x14:dxf>
              <font>
                <color theme="1"/>
              </font>
            </x14:dxf>
          </x14:cfRule>
          <xm:sqref>D128:E128</xm:sqref>
        </x14:conditionalFormatting>
        <x14:conditionalFormatting xmlns:xm="http://schemas.microsoft.com/office/excel/2006/main">
          <x14:cfRule type="expression" priority="1" id="{B77E763B-A5BD-40EF-915D-9953E1FB3971}">
            <xm:f>$E$12=INputs!$AZ$3</xm:f>
            <x14:dxf>
              <font>
                <color theme="1"/>
              </font>
            </x14:dxf>
          </x14:cfRule>
          <xm:sqref>D129:E129</xm:sqref>
        </x14:conditionalFormatting>
        <x14:conditionalFormatting xmlns:xm="http://schemas.microsoft.com/office/excel/2006/main">
          <x14:cfRule type="expression" priority="3" id="{F2C1786A-2240-402A-A6B7-4F60B6BDFDD4}">
            <xm:f>$E126=INputs!$AZ$3</xm:f>
            <x14:dxf>
              <font>
                <color theme="1"/>
              </font>
            </x14:dxf>
          </x14:cfRule>
          <xm:sqref>D130:E130</xm:sqref>
        </x14:conditionalFormatting>
        <x14:conditionalFormatting xmlns:xm="http://schemas.microsoft.com/office/excel/2006/main">
          <x14:cfRule type="expression" priority="117" id="{ED55928B-1615-459C-9BF8-E6E6309DB928}">
            <xm:f>$E12=INputs!$AZ$3</xm:f>
            <x14:dxf>
              <font>
                <color theme="0" tint="-0.34998626667073579"/>
              </font>
            </x14:dxf>
          </x14:cfRule>
          <xm:sqref>E13:F13</xm:sqref>
        </x14:conditionalFormatting>
        <x14:conditionalFormatting xmlns:xm="http://schemas.microsoft.com/office/excel/2006/main">
          <x14:cfRule type="expression" priority="118" id="{A548BF81-C9D3-4B4D-A1DD-02B79395130D}">
            <xm:f>$E18=INputs!$AZ$3</xm:f>
            <x14:dxf>
              <font>
                <color theme="0" tint="-0.34998626667073579"/>
              </font>
            </x14:dxf>
          </x14:cfRule>
          <xm:sqref>E19:F19</xm:sqref>
        </x14:conditionalFormatting>
        <x14:conditionalFormatting xmlns:xm="http://schemas.microsoft.com/office/excel/2006/main">
          <x14:cfRule type="expression" priority="116" id="{85E848A7-C365-4CDB-BE25-6F2D82D41497}">
            <xm:f>$E24=INputs!$AZ$3</xm:f>
            <x14:dxf>
              <font>
                <color theme="0" tint="-0.34998626667073579"/>
              </font>
            </x14:dxf>
          </x14:cfRule>
          <xm:sqref>E25:F25</xm:sqref>
        </x14:conditionalFormatting>
        <x14:conditionalFormatting xmlns:xm="http://schemas.microsoft.com/office/excel/2006/main">
          <x14:cfRule type="expression" priority="115" id="{9AA6048A-3583-480E-89C3-399C554CBB04}">
            <xm:f>$E30=INputs!$AZ$3</xm:f>
            <x14:dxf>
              <font>
                <color theme="0" tint="-0.34998626667073579"/>
              </font>
            </x14:dxf>
          </x14:cfRule>
          <xm:sqref>E31:F31</xm:sqref>
        </x14:conditionalFormatting>
        <x14:conditionalFormatting xmlns:xm="http://schemas.microsoft.com/office/excel/2006/main">
          <x14:cfRule type="expression" priority="114" id="{3BDC5073-4827-4113-AE78-90A0C38FF1C6}">
            <xm:f>$E36=INputs!$AZ$3</xm:f>
            <x14:dxf>
              <font>
                <color theme="0" tint="-0.34998626667073579"/>
              </font>
            </x14:dxf>
          </x14:cfRule>
          <xm:sqref>E37:F37</xm:sqref>
        </x14:conditionalFormatting>
        <x14:conditionalFormatting xmlns:xm="http://schemas.microsoft.com/office/excel/2006/main">
          <x14:cfRule type="expression" priority="113" id="{3485E4BF-5896-44C8-9C64-BAD362042DEB}">
            <xm:f>$E42=INputs!$AZ$3</xm:f>
            <x14:dxf>
              <font>
                <color theme="0" tint="-0.34998626667073579"/>
              </font>
            </x14:dxf>
          </x14:cfRule>
          <xm:sqref>E43:F43</xm:sqref>
        </x14:conditionalFormatting>
        <x14:conditionalFormatting xmlns:xm="http://schemas.microsoft.com/office/excel/2006/main">
          <x14:cfRule type="expression" priority="112" id="{F06A7726-8209-4F31-AC55-F74F1FC03085}">
            <xm:f>$E48=INputs!$AZ$3</xm:f>
            <x14:dxf>
              <font>
                <color theme="0" tint="-0.34998626667073579"/>
              </font>
            </x14:dxf>
          </x14:cfRule>
          <xm:sqref>E49:F49</xm:sqref>
        </x14:conditionalFormatting>
        <x14:conditionalFormatting xmlns:xm="http://schemas.microsoft.com/office/excel/2006/main">
          <x14:cfRule type="expression" priority="111" id="{EB1EACEA-4394-4EC6-841E-250B66CA3922}">
            <xm:f>$E54=INputs!$AZ$3</xm:f>
            <x14:dxf>
              <font>
                <color theme="0" tint="-0.34998626667073579"/>
              </font>
            </x14:dxf>
          </x14:cfRule>
          <xm:sqref>E55:F55</xm:sqref>
        </x14:conditionalFormatting>
        <x14:conditionalFormatting xmlns:xm="http://schemas.microsoft.com/office/excel/2006/main">
          <x14:cfRule type="expression" priority="54" id="{78D4E442-BC4B-4C01-A72B-FFF9D953C2F3}">
            <xm:f>$E60=INputs!$AZ$3</xm:f>
            <x14:dxf>
              <font>
                <color theme="0" tint="-0.34998626667073579"/>
              </font>
            </x14:dxf>
          </x14:cfRule>
          <xm:sqref>E61:F61</xm:sqref>
        </x14:conditionalFormatting>
        <x14:conditionalFormatting xmlns:xm="http://schemas.microsoft.com/office/excel/2006/main">
          <x14:cfRule type="expression" priority="50" id="{7CA46171-C817-4837-B37D-8495F4A93F2C}">
            <xm:f>$E66=INputs!$AZ$3</xm:f>
            <x14:dxf>
              <font>
                <color theme="0" tint="-0.34998626667073579"/>
              </font>
            </x14:dxf>
          </x14:cfRule>
          <xm:sqref>E67:F67</xm:sqref>
        </x14:conditionalFormatting>
        <x14:conditionalFormatting xmlns:xm="http://schemas.microsoft.com/office/excel/2006/main">
          <x14:cfRule type="expression" priority="46" id="{9C65CF3D-9EAF-482C-A0EC-706605EF4808}">
            <xm:f>$E72=INputs!$AZ$3</xm:f>
            <x14:dxf>
              <font>
                <color theme="0" tint="-0.34998626667073579"/>
              </font>
            </x14:dxf>
          </x14:cfRule>
          <xm:sqref>E73:F73</xm:sqref>
        </x14:conditionalFormatting>
        <x14:conditionalFormatting xmlns:xm="http://schemas.microsoft.com/office/excel/2006/main">
          <x14:cfRule type="expression" priority="42" id="{2CD6404D-CF46-4D2D-9228-A8157ED0A60F}">
            <xm:f>$E78=INputs!$AZ$3</xm:f>
            <x14:dxf>
              <font>
                <color theme="0" tint="-0.34998626667073579"/>
              </font>
            </x14:dxf>
          </x14:cfRule>
          <xm:sqref>E79:F79</xm:sqref>
        </x14:conditionalFormatting>
        <x14:conditionalFormatting xmlns:xm="http://schemas.microsoft.com/office/excel/2006/main">
          <x14:cfRule type="expression" priority="38" id="{6D0F883A-8233-4921-8AF8-B2F5C422348F}">
            <xm:f>$E84=INputs!$AZ$3</xm:f>
            <x14:dxf>
              <font>
                <color theme="0" tint="-0.34998626667073579"/>
              </font>
            </x14:dxf>
          </x14:cfRule>
          <xm:sqref>E85:F85</xm:sqref>
        </x14:conditionalFormatting>
        <x14:conditionalFormatting xmlns:xm="http://schemas.microsoft.com/office/excel/2006/main">
          <x14:cfRule type="expression" priority="34" id="{F7148D7C-1E5C-4674-A1A0-162A5F3A34E3}">
            <xm:f>$E90=INputs!$AZ$3</xm:f>
            <x14:dxf>
              <font>
                <color theme="0" tint="-0.34998626667073579"/>
              </font>
            </x14:dxf>
          </x14:cfRule>
          <xm:sqref>E91:F91</xm:sqref>
        </x14:conditionalFormatting>
        <x14:conditionalFormatting xmlns:xm="http://schemas.microsoft.com/office/excel/2006/main">
          <x14:cfRule type="expression" priority="26" id="{955E12A2-C315-4C5A-9FFB-078BA846F975}">
            <xm:f>$E96=INputs!$AZ$3</xm:f>
            <x14:dxf>
              <font>
                <color theme="0" tint="-0.34998626667073579"/>
              </font>
            </x14:dxf>
          </x14:cfRule>
          <xm:sqref>E97:F97</xm:sqref>
        </x14:conditionalFormatting>
        <x14:conditionalFormatting xmlns:xm="http://schemas.microsoft.com/office/excel/2006/main">
          <x14:cfRule type="expression" priority="30" id="{5E4E53EE-2FDB-4A28-BF3F-8A297F41906C}">
            <xm:f>$E102=INputs!$AZ$3</xm:f>
            <x14:dxf>
              <font>
                <color theme="0" tint="-0.34998626667073579"/>
              </font>
            </x14:dxf>
          </x14:cfRule>
          <xm:sqref>E103:F103</xm:sqref>
        </x14:conditionalFormatting>
        <x14:conditionalFormatting xmlns:xm="http://schemas.microsoft.com/office/excel/2006/main">
          <x14:cfRule type="expression" priority="22" id="{F285D2EB-8686-4372-91E7-65AB95B18F19}">
            <xm:f>$E108=INputs!$AZ$3</xm:f>
            <x14:dxf>
              <font>
                <color theme="0" tint="-0.34998626667073579"/>
              </font>
            </x14:dxf>
          </x14:cfRule>
          <xm:sqref>E109:F109</xm:sqref>
        </x14:conditionalFormatting>
        <x14:conditionalFormatting xmlns:xm="http://schemas.microsoft.com/office/excel/2006/main">
          <x14:cfRule type="expression" priority="18" id="{302CAA44-7206-4CF0-97C1-675689F86F36}">
            <xm:f>$E114=INputs!$AZ$3</xm:f>
            <x14:dxf>
              <font>
                <color theme="0" tint="-0.34998626667073579"/>
              </font>
            </x14:dxf>
          </x14:cfRule>
          <xm:sqref>E115:F115</xm:sqref>
        </x14:conditionalFormatting>
        <x14:conditionalFormatting xmlns:xm="http://schemas.microsoft.com/office/excel/2006/main">
          <x14:cfRule type="expression" priority="6" id="{5E07845D-2CEF-4B01-831D-599640BD4FB8}">
            <xm:f>$E120=INputs!$AZ$3</xm:f>
            <x14:dxf>
              <font>
                <color theme="0" tint="-0.34998626667073579"/>
              </font>
            </x14:dxf>
          </x14:cfRule>
          <xm:sqref>E121:F121</xm:sqref>
        </x14:conditionalFormatting>
        <x14:conditionalFormatting xmlns:xm="http://schemas.microsoft.com/office/excel/2006/main">
          <x14:cfRule type="expression" priority="2" id="{DBF74ED7-546A-4E66-9BE1-E683172A2731}">
            <xm:f>$E126=INputs!$AZ$3</xm:f>
            <x14:dxf>
              <font>
                <color theme="0" tint="-0.34998626667073579"/>
              </font>
            </x14:dxf>
          </x14:cfRule>
          <xm:sqref>E127:F127</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E829C-9A46-432A-B662-C61A5D6F8DC2}">
  <sheetPr>
    <tabColor theme="6" tint="0.39997558519241921"/>
  </sheetPr>
  <dimension ref="A1:AK73"/>
  <sheetViews>
    <sheetView showGridLines="0" topLeftCell="B1" zoomScaleNormal="100" workbookViewId="0">
      <pane xSplit="2" ySplit="6" topLeftCell="D7" activePane="bottomRight" state="frozen"/>
      <selection pane="topRight" activeCell="D1" sqref="D1"/>
      <selection pane="bottomLeft" activeCell="B7" sqref="B7"/>
      <selection pane="bottomRight" activeCell="H1" sqref="H1"/>
    </sheetView>
  </sheetViews>
  <sheetFormatPr defaultRowHeight="14.5" outlineLevelRow="1" x14ac:dyDescent="0.35"/>
  <cols>
    <col min="1" max="1" width="2.81640625" style="232" hidden="1" customWidth="1"/>
    <col min="2" max="2" width="3.81640625" style="461" customWidth="1"/>
    <col min="3" max="3" width="0.453125" style="34" customWidth="1"/>
    <col min="4" max="4" width="24.453125" bestFit="1" customWidth="1"/>
    <col min="5" max="5" width="4.81640625" customWidth="1"/>
    <col min="6" max="6" width="33.1796875" customWidth="1"/>
    <col min="7" max="7" width="5.1796875" customWidth="1"/>
    <col min="8" max="8" width="31.1796875" customWidth="1"/>
    <col min="9" max="9" width="4.26953125" customWidth="1"/>
    <col min="10" max="10" width="22.453125" customWidth="1"/>
    <col min="11" max="11" width="5.1796875" customWidth="1"/>
    <col min="12" max="12" width="28.81640625" customWidth="1"/>
    <col min="13" max="13" width="5.453125" customWidth="1"/>
    <col min="14" max="14" width="13.54296875" customWidth="1"/>
    <col min="15" max="15" width="5" customWidth="1"/>
    <col min="16" max="16" width="27.54296875" customWidth="1"/>
    <col min="17" max="17" width="11" customWidth="1"/>
    <col min="18" max="18" width="3.81640625" customWidth="1"/>
    <col min="19" max="20" width="13.1796875" customWidth="1"/>
    <col min="21" max="21" width="29.453125" customWidth="1"/>
    <col min="22" max="22" width="8.7265625" customWidth="1"/>
    <col min="23" max="23" width="38" customWidth="1"/>
    <col min="24" max="24" width="4.54296875" customWidth="1"/>
    <col min="25" max="25" width="20.7265625" customWidth="1"/>
    <col min="26" max="26" width="34.7265625" customWidth="1"/>
    <col min="27" max="27" width="4.453125" customWidth="1"/>
    <col min="28" max="28" width="4.1796875" customWidth="1"/>
    <col min="29" max="29" width="40.81640625" customWidth="1"/>
    <col min="30" max="30" width="2.1796875" customWidth="1"/>
    <col min="31" max="31" width="5.26953125" customWidth="1"/>
    <col min="32" max="32" width="42.26953125" customWidth="1"/>
    <col min="33" max="33" width="1.26953125" customWidth="1"/>
    <col min="34" max="34" width="3.26953125" bestFit="1" customWidth="1"/>
    <col min="35" max="35" width="25.81640625" customWidth="1"/>
    <col min="36" max="36" width="2" bestFit="1" customWidth="1"/>
    <col min="37" max="37" width="3.26953125" bestFit="1" customWidth="1"/>
    <col min="38" max="38" width="35.81640625" customWidth="1"/>
    <col min="39" max="39" width="22" bestFit="1" customWidth="1"/>
    <col min="40" max="40" width="2.1796875" customWidth="1"/>
    <col min="41" max="41" width="3.26953125" bestFit="1" customWidth="1"/>
    <col min="42" max="42" width="30.1796875" customWidth="1"/>
    <col min="43" max="43" width="4" customWidth="1"/>
    <col min="44" max="44" width="3.1796875" customWidth="1"/>
    <col min="45" max="45" width="3.26953125" bestFit="1" customWidth="1"/>
    <col min="46" max="46" width="19.54296875" customWidth="1"/>
    <col min="47" max="47" width="24" customWidth="1"/>
    <col min="48" max="48" width="2.1796875" customWidth="1"/>
    <col min="49" max="49" width="3.26953125" bestFit="1" customWidth="1"/>
    <col min="50" max="50" width="30.54296875" customWidth="1"/>
    <col min="51" max="51" width="2.1796875" customWidth="1"/>
    <col min="52" max="52" width="35.54296875" customWidth="1"/>
  </cols>
  <sheetData>
    <row r="1" spans="1:37" ht="33" customHeight="1" x14ac:dyDescent="0.65">
      <c r="A1" s="282"/>
      <c r="B1" s="475"/>
      <c r="C1" s="294"/>
      <c r="D1" s="293" t="s">
        <v>110</v>
      </c>
      <c r="E1" s="222"/>
      <c r="F1" s="949" t="s">
        <v>365</v>
      </c>
      <c r="G1" s="949"/>
      <c r="H1" s="291">
        <v>1</v>
      </c>
      <c r="I1" s="292"/>
      <c r="J1" s="291">
        <v>1</v>
      </c>
      <c r="K1" s="292"/>
      <c r="L1" s="291">
        <v>1</v>
      </c>
      <c r="M1" s="292"/>
      <c r="N1" s="952">
        <v>1</v>
      </c>
      <c r="O1" s="953"/>
      <c r="P1" s="288"/>
      <c r="Q1" s="223"/>
      <c r="R1" s="223"/>
      <c r="S1" s="222"/>
      <c r="T1" s="222"/>
      <c r="U1" s="222"/>
      <c r="V1" s="222"/>
      <c r="W1" s="222"/>
      <c r="X1" s="222"/>
      <c r="Y1" s="222"/>
      <c r="Z1" s="222"/>
      <c r="AA1" s="222"/>
      <c r="AB1" s="222"/>
      <c r="AC1" s="222"/>
      <c r="AD1" s="222"/>
      <c r="AE1" s="222"/>
      <c r="AF1" s="222"/>
      <c r="AG1" s="222"/>
      <c r="AH1" s="222"/>
      <c r="AI1" s="222"/>
      <c r="AJ1" s="222"/>
      <c r="AK1" s="222"/>
    </row>
    <row r="2" spans="1:37" s="13" customFormat="1" ht="35.15" customHeight="1" x14ac:dyDescent="0.35">
      <c r="A2" s="287"/>
      <c r="B2" s="462"/>
      <c r="C2" s="295"/>
      <c r="D2" s="287"/>
      <c r="E2" s="287"/>
      <c r="F2" s="949"/>
      <c r="G2" s="949"/>
      <c r="H2" s="289" t="str">
        <f>D7</f>
        <v>Sensitivity Labels</v>
      </c>
      <c r="I2" s="287"/>
      <c r="J2" s="289" t="str">
        <f>D43</f>
        <v>Publishing</v>
      </c>
      <c r="K2" s="289"/>
      <c r="L2" s="289" t="str">
        <f>D57</f>
        <v>Service-Side Auto-Labeling Policies</v>
      </c>
      <c r="M2" s="289"/>
      <c r="N2" s="948" t="str">
        <f>D64</f>
        <v>Data Loss Prevention (DLP)</v>
      </c>
      <c r="O2" s="948"/>
      <c r="P2" s="222"/>
      <c r="Q2" s="287"/>
      <c r="R2" s="287"/>
      <c r="S2" s="287"/>
      <c r="T2" s="287"/>
      <c r="U2" s="287"/>
      <c r="V2" s="287"/>
      <c r="W2" s="287"/>
      <c r="X2" s="287"/>
      <c r="Y2" s="287"/>
      <c r="Z2" s="287"/>
      <c r="AA2" s="287"/>
      <c r="AB2" s="287"/>
      <c r="AC2" s="287"/>
      <c r="AD2" s="287"/>
      <c r="AE2" s="287"/>
      <c r="AF2" s="287"/>
      <c r="AG2" s="287"/>
      <c r="AH2" s="287"/>
      <c r="AI2" s="287"/>
      <c r="AJ2" s="287"/>
      <c r="AK2" s="287"/>
    </row>
    <row r="3" spans="1:37" s="13" customFormat="1" ht="35.15" hidden="1" customHeight="1" outlineLevel="1" x14ac:dyDescent="0.35">
      <c r="A3" s="287"/>
      <c r="B3" s="484"/>
      <c r="C3" s="954" t="s">
        <v>119</v>
      </c>
      <c r="D3" s="640" t="s">
        <v>264</v>
      </c>
      <c r="E3" s="640"/>
      <c r="F3" s="640"/>
      <c r="G3" s="297"/>
      <c r="H3" s="956" t="s">
        <v>366</v>
      </c>
      <c r="I3" s="298"/>
      <c r="J3" s="956" t="s">
        <v>367</v>
      </c>
      <c r="K3" s="299"/>
      <c r="L3" s="956" t="s">
        <v>368</v>
      </c>
      <c r="M3" s="299"/>
      <c r="N3" s="958" t="s">
        <v>369</v>
      </c>
      <c r="O3" s="959"/>
      <c r="P3"/>
    </row>
    <row r="4" spans="1:37" s="13" customFormat="1" ht="48.65" hidden="1" customHeight="1" outlineLevel="1" x14ac:dyDescent="0.35">
      <c r="A4" s="287"/>
      <c r="B4" s="484"/>
      <c r="C4" s="955"/>
      <c r="D4" s="640"/>
      <c r="E4" s="640"/>
      <c r="F4" s="640"/>
      <c r="G4" s="297"/>
      <c r="H4" s="957"/>
      <c r="I4" s="298"/>
      <c r="J4" s="957"/>
      <c r="K4" s="299"/>
      <c r="L4" s="957"/>
      <c r="M4" s="299"/>
      <c r="N4" s="630"/>
      <c r="O4" s="631"/>
      <c r="P4"/>
    </row>
    <row r="5" spans="1:37" s="13" customFormat="1" ht="35.15" hidden="1" customHeight="1" outlineLevel="1" x14ac:dyDescent="0.35">
      <c r="A5" s="287"/>
      <c r="B5" s="484"/>
      <c r="C5" s="960" t="s">
        <v>127</v>
      </c>
      <c r="D5" s="606"/>
      <c r="E5" s="606"/>
      <c r="F5" s="606"/>
      <c r="G5" s="297"/>
      <c r="H5" s="300"/>
      <c r="I5" s="298"/>
      <c r="J5" s="300"/>
      <c r="K5" s="299"/>
      <c r="L5" s="300"/>
      <c r="M5" s="299"/>
      <c r="N5" s="969"/>
      <c r="O5" s="969"/>
      <c r="P5"/>
    </row>
    <row r="6" spans="1:37" s="13" customFormat="1" ht="35.15" hidden="1" customHeight="1" outlineLevel="1" x14ac:dyDescent="0.35">
      <c r="A6" s="287"/>
      <c r="B6" s="484"/>
      <c r="C6" s="960"/>
      <c r="D6" s="606"/>
      <c r="E6" s="606"/>
      <c r="F6" s="606"/>
      <c r="G6" s="297"/>
      <c r="H6" s="300"/>
      <c r="I6" s="298"/>
      <c r="J6" s="300"/>
      <c r="K6" s="299"/>
      <c r="L6" s="300"/>
      <c r="M6" s="299"/>
      <c r="N6" s="969"/>
      <c r="O6" s="969"/>
      <c r="P6"/>
    </row>
    <row r="7" spans="1:37" ht="18.5" collapsed="1" x14ac:dyDescent="0.45">
      <c r="C7" s="361"/>
      <c r="D7" s="234" t="str">
        <f>'Sensitivity Labels'!C1</f>
        <v>Sensitivity Labels</v>
      </c>
      <c r="E7" s="195"/>
    </row>
    <row r="8" spans="1:37" s="228" customFormat="1" ht="29.5" customHeight="1" x14ac:dyDescent="0.35">
      <c r="A8" s="283"/>
      <c r="B8" s="463"/>
      <c r="C8" s="295"/>
      <c r="D8" s="474" t="str">
        <f>'Sensitivity Labels'!C3</f>
        <v>Label/Parent Label/Label Group/Sub-Label:</v>
      </c>
      <c r="E8" s="951" t="str">
        <f>'Sensitivity Labels'!D3</f>
        <v>Name:</v>
      </c>
      <c r="F8" s="950"/>
      <c r="G8" s="950" t="str">
        <f>'Sensitivity Labels'!E3</f>
        <v>Display Name:</v>
      </c>
      <c r="H8" s="950"/>
      <c r="I8" s="950" t="str">
        <f>'Sensitivity Labels'!F3</f>
        <v>Scope:</v>
      </c>
      <c r="J8" s="950"/>
      <c r="K8" s="950"/>
      <c r="L8" s="950"/>
      <c r="M8" s="950"/>
      <c r="N8" s="950"/>
      <c r="O8" s="950"/>
      <c r="P8" s="950"/>
      <c r="Q8" s="950"/>
      <c r="R8" s="950" t="str">
        <f>'Sensitivity Labels'!I3</f>
        <v>Description for users:</v>
      </c>
      <c r="S8" s="950"/>
      <c r="T8" s="950"/>
      <c r="U8" s="950"/>
      <c r="V8" s="950" t="str">
        <f>'Sensitivity Labels'!J3</f>
        <v>Description for admins:</v>
      </c>
      <c r="W8" s="950"/>
      <c r="X8" s="950" t="str">
        <f>'Sensitivity Labels'!K3</f>
        <v>Label Color:</v>
      </c>
      <c r="Y8" s="950"/>
    </row>
    <row r="9" spans="1:37" x14ac:dyDescent="0.35">
      <c r="A9" s="232">
        <f>VLOOKUP(B9,'Sensitivity Labels'!$A$11:$K$170,2,FALSE)</f>
        <v>11</v>
      </c>
      <c r="B9" s="929">
        <f>H$1</f>
        <v>1</v>
      </c>
      <c r="C9" s="296"/>
      <c r="D9" s="542" t="str">
        <f>IF(VLOOKUP($A9,'Sensitivity Labels'!$B$11:$K$170,2,FALSE)="","",VLOOKUP($A9,'Sensitivity Labels'!$B$11:$K$170,2,FALSE))</f>
        <v/>
      </c>
      <c r="E9" s="915" t="str">
        <f>IF(VLOOKUP($A9,'Sensitivity Labels'!$B$11:$K$170,3,FALSE)="","",VLOOKUP($A9,'Sensitivity Labels'!$B$11:$K$170,3,FALSE))</f>
        <v/>
      </c>
      <c r="F9" s="602"/>
      <c r="G9" s="915" t="str">
        <f>IF(VLOOKUP($A9,'Sensitivity Labels'!$B$11:$K$170,4,FALSE)="","",VLOOKUP($A9,'Sensitivity Labels'!$B$11:$K$170,4,FALSE))</f>
        <v/>
      </c>
      <c r="H9" s="602"/>
      <c r="I9" s="402" t="b">
        <f>VLOOKUP($A9,'Sensitivity Labels'!$B$11:$K$170,5,FALSE)</f>
        <v>0</v>
      </c>
      <c r="J9" s="256" t="s">
        <v>138</v>
      </c>
      <c r="K9" s="850" t="s">
        <v>139</v>
      </c>
      <c r="L9" s="850"/>
      <c r="M9" s="850"/>
      <c r="N9" s="850"/>
      <c r="O9" s="850"/>
      <c r="P9" s="850"/>
      <c r="Q9" s="850"/>
      <c r="R9" s="915" t="str">
        <f>IF(VLOOKUP($A9,'Sensitivity Labels'!$B$11:$K$170,8,FALSE)="","",VLOOKUP($A9,'Sensitivity Labels'!$B$11:$K$170,8,FALSE))</f>
        <v/>
      </c>
      <c r="S9" s="846"/>
      <c r="T9" s="846"/>
      <c r="U9" s="602"/>
      <c r="V9" s="915" t="str">
        <f>IF(VLOOKUP($A9,'Sensitivity Labels'!$B$11:$K$170,9,FALSE)="","",VLOOKUP($A9,'Sensitivity Labels'!$B$11:$K$170,9,FALSE))</f>
        <v/>
      </c>
      <c r="W9" s="846"/>
      <c r="X9" s="838">
        <f>VLOOKUP($A9,'Sensitivity Labels'!$B$11:$K$170,10,FALSE)</f>
        <v>0</v>
      </c>
      <c r="Y9" s="839"/>
    </row>
    <row r="10" spans="1:37" x14ac:dyDescent="0.35">
      <c r="A10" s="232">
        <f t="shared" ref="A10:A15" si="0">A9+1</f>
        <v>12</v>
      </c>
      <c r="B10" s="930"/>
      <c r="C10" s="296"/>
      <c r="D10" s="542"/>
      <c r="E10" s="767"/>
      <c r="F10" s="586"/>
      <c r="G10" s="767"/>
      <c r="H10" s="586"/>
      <c r="I10" s="25"/>
      <c r="J10" s="25"/>
      <c r="L10" s="3"/>
      <c r="M10" s="3"/>
      <c r="N10" s="3"/>
      <c r="O10" s="3"/>
      <c r="P10" s="3"/>
      <c r="Q10" s="3"/>
      <c r="R10" s="767"/>
      <c r="S10" s="847"/>
      <c r="T10" s="847"/>
      <c r="U10" s="586"/>
      <c r="V10" s="767"/>
      <c r="W10" s="847"/>
      <c r="X10" s="840"/>
      <c r="Y10" s="841"/>
    </row>
    <row r="11" spans="1:37" x14ac:dyDescent="0.35">
      <c r="A11" s="232">
        <f t="shared" si="0"/>
        <v>13</v>
      </c>
      <c r="B11" s="930"/>
      <c r="C11" s="296"/>
      <c r="D11" s="542"/>
      <c r="E11" s="767"/>
      <c r="F11" s="586"/>
      <c r="G11" s="767"/>
      <c r="H11" s="586"/>
      <c r="I11" s="403" t="b">
        <f>VLOOKUP($A11,'Sensitivity Labels'!$B$11:$K$170,5,FALSE)</f>
        <v>0</v>
      </c>
      <c r="J11" s="25" t="s">
        <v>2</v>
      </c>
      <c r="K11" s="834" t="s">
        <v>140</v>
      </c>
      <c r="L11" s="834"/>
      <c r="M11" s="834"/>
      <c r="N11" s="834"/>
      <c r="O11" s="834"/>
      <c r="P11" s="834"/>
      <c r="Q11" s="834"/>
      <c r="R11" s="767"/>
      <c r="S11" s="847"/>
      <c r="T11" s="847"/>
      <c r="U11" s="586"/>
      <c r="V11" s="767"/>
      <c r="W11" s="847"/>
      <c r="X11" s="840"/>
      <c r="Y11" s="841"/>
    </row>
    <row r="12" spans="1:37" x14ac:dyDescent="0.35">
      <c r="A12" s="232">
        <f t="shared" si="0"/>
        <v>14</v>
      </c>
      <c r="B12" s="930"/>
      <c r="C12" s="296"/>
      <c r="D12" s="542"/>
      <c r="E12" s="767"/>
      <c r="F12" s="586"/>
      <c r="G12" s="767"/>
      <c r="H12" s="586"/>
      <c r="I12" s="25"/>
      <c r="J12" s="25"/>
      <c r="L12" s="3"/>
      <c r="M12" s="3"/>
      <c r="N12" s="3"/>
      <c r="O12" s="3"/>
      <c r="P12" s="3"/>
      <c r="Q12" s="3"/>
      <c r="R12" s="767"/>
      <c r="S12" s="847"/>
      <c r="T12" s="847"/>
      <c r="U12" s="586"/>
      <c r="V12" s="767"/>
      <c r="W12" s="847"/>
      <c r="X12" s="840"/>
      <c r="Y12" s="841"/>
    </row>
    <row r="13" spans="1:37" x14ac:dyDescent="0.35">
      <c r="A13" s="232">
        <f t="shared" si="0"/>
        <v>15</v>
      </c>
      <c r="B13" s="930"/>
      <c r="C13" s="296"/>
      <c r="D13" s="542"/>
      <c r="E13" s="767"/>
      <c r="F13" s="586"/>
      <c r="G13" s="767"/>
      <c r="H13" s="586"/>
      <c r="I13" s="404" t="b">
        <f>VLOOKUP($A13,'Sensitivity Labels'!$B$11:$K$170,5,FALSE)</f>
        <v>0</v>
      </c>
      <c r="J13" s="80" t="s">
        <v>141</v>
      </c>
      <c r="K13" s="579" t="s">
        <v>142</v>
      </c>
      <c r="L13" s="579"/>
      <c r="M13" s="579"/>
      <c r="N13" s="579"/>
      <c r="O13" s="579"/>
      <c r="P13" s="579"/>
      <c r="Q13" s="579"/>
      <c r="R13" s="767"/>
      <c r="S13" s="847"/>
      <c r="T13" s="847"/>
      <c r="U13" s="586"/>
      <c r="V13" s="767"/>
      <c r="W13" s="847"/>
      <c r="X13" s="840"/>
      <c r="Y13" s="841"/>
    </row>
    <row r="14" spans="1:37" x14ac:dyDescent="0.35">
      <c r="A14" s="232">
        <f t="shared" si="0"/>
        <v>16</v>
      </c>
      <c r="B14" s="930"/>
      <c r="C14" s="296"/>
      <c r="D14" s="542"/>
      <c r="E14" s="767"/>
      <c r="F14" s="586"/>
      <c r="G14" s="767"/>
      <c r="H14" s="586"/>
      <c r="I14" s="25"/>
      <c r="J14" s="25"/>
      <c r="L14" s="3"/>
      <c r="M14" s="3"/>
      <c r="N14" s="3"/>
      <c r="O14" s="3"/>
      <c r="P14" s="3"/>
      <c r="Q14" s="3"/>
      <c r="R14" s="767"/>
      <c r="S14" s="847"/>
      <c r="T14" s="847"/>
      <c r="U14" s="586"/>
      <c r="V14" s="767"/>
      <c r="W14" s="847"/>
      <c r="X14" s="840"/>
      <c r="Y14" s="841"/>
    </row>
    <row r="15" spans="1:37" ht="30" customHeight="1" x14ac:dyDescent="0.35">
      <c r="A15" s="232">
        <f t="shared" si="0"/>
        <v>17</v>
      </c>
      <c r="B15" s="931"/>
      <c r="C15" s="296"/>
      <c r="D15" s="811"/>
      <c r="E15" s="916"/>
      <c r="F15" s="849"/>
      <c r="G15" s="916"/>
      <c r="H15" s="849"/>
      <c r="I15" s="265" t="b">
        <f>VLOOKUP($A15,'Sensitivity Labels'!$B$11:$K$170,5,FALSE)</f>
        <v>0</v>
      </c>
      <c r="J15" s="405" t="s">
        <v>93</v>
      </c>
      <c r="K15" s="859" t="s">
        <v>143</v>
      </c>
      <c r="L15" s="859"/>
      <c r="M15" s="859"/>
      <c r="N15" s="859"/>
      <c r="O15" s="859"/>
      <c r="P15" s="859"/>
      <c r="Q15" s="859"/>
      <c r="R15" s="916"/>
      <c r="S15" s="848"/>
      <c r="T15" s="848"/>
      <c r="U15" s="849"/>
      <c r="V15" s="916"/>
      <c r="W15" s="848"/>
      <c r="X15" s="842"/>
      <c r="Y15" s="843"/>
    </row>
    <row r="16" spans="1:37" ht="4" customHeight="1" x14ac:dyDescent="0.35">
      <c r="B16" s="125"/>
      <c r="C16" s="296"/>
    </row>
    <row r="17" spans="1:34" ht="18.5" x14ac:dyDescent="0.45">
      <c r="C17" s="296"/>
      <c r="D17" s="234" t="str">
        <f>'Emails, Files, &amp; Other Data'!C1</f>
        <v>Emails, Files, &amp; Other Data Assets</v>
      </c>
      <c r="E17" s="195"/>
    </row>
    <row r="18" spans="1:34" s="227" customFormat="1" ht="32.5" customHeight="1" x14ac:dyDescent="0.35">
      <c r="A18" s="284"/>
      <c r="B18" s="464"/>
      <c r="C18" s="296"/>
      <c r="D18" s="290" t="str">
        <f>'Emails, Files, &amp; Other Data'!C3</f>
        <v>Label/Sub-Label Name:</v>
      </c>
      <c r="E18" s="942" t="str">
        <f>'Emails, Files, &amp; Other Data'!E3</f>
        <v>Choose protection settings for the types of items you selected:</v>
      </c>
      <c r="F18" s="942"/>
      <c r="G18" s="947" t="str">
        <f>'Emails, Files, &amp; Other Data'!H3</f>
        <v>Remove or Configure:</v>
      </c>
      <c r="H18" s="947"/>
      <c r="I18" s="947" t="str">
        <f>'Emails, Files, &amp; Other Data'!J3</f>
        <v>Assign:</v>
      </c>
      <c r="J18" s="947"/>
      <c r="K18" s="961" t="str">
        <f>'Emails, Files, &amp; Other Data'!L3</f>
        <v>User access to content expires:</v>
      </c>
      <c r="L18" s="962"/>
      <c r="M18" s="962"/>
      <c r="N18" s="963"/>
      <c r="O18" s="971" t="str">
        <f>'Emails, Files, &amp; Other Data'!O3</f>
        <v>Allow offline access:</v>
      </c>
      <c r="P18" s="971"/>
      <c r="Q18" s="971"/>
      <c r="R18" s="961" t="str">
        <f>'Emails, Files, &amp; Other Data'!R3</f>
        <v>Assign Permissions Now:</v>
      </c>
      <c r="S18" s="962"/>
      <c r="T18" s="962"/>
      <c r="U18" s="963"/>
      <c r="V18" s="977" t="str">
        <f>'Emails, Files, &amp; Other Data'!U3</f>
        <v>Let users assign permissions when they apply the label:</v>
      </c>
      <c r="W18" s="978"/>
      <c r="X18" s="972" t="str">
        <f>'Emails, Files, &amp; Other Data'!X3</f>
        <v>Content Marking:</v>
      </c>
      <c r="Y18" s="972"/>
      <c r="Z18" s="972"/>
      <c r="AA18" s="961" t="str">
        <f>'Emails, Files, &amp; Other Data'!AB3</f>
        <v>Auto-labeling for files and emails: "Client-side Auto-Labeling"</v>
      </c>
      <c r="AB18" s="962"/>
      <c r="AC18" s="962"/>
      <c r="AD18" s="962"/>
      <c r="AE18" s="962"/>
      <c r="AF18" s="962"/>
      <c r="AG18" s="963"/>
    </row>
    <row r="19" spans="1:34" ht="32.5" customHeight="1" x14ac:dyDescent="0.35">
      <c r="A19" s="232">
        <f>VLOOKUP(B19,'Emails, Files, &amp; Other Data'!A10:B246,2,FALSE)</f>
        <v>11</v>
      </c>
      <c r="B19" s="828">
        <f>H$1</f>
        <v>1</v>
      </c>
      <c r="C19" s="296"/>
      <c r="D19" s="864" t="str">
        <f>IF(VLOOKUP(A19,'Emails, Files, &amp; Other Data'!$B$10:$AE$248,2,FALSE)="","",VLOOKUP(A19,'Emails, Files, &amp; Other Data'!$B$10:$AE$248,2,FALSE))</f>
        <v>Please fill out Sensitivity Labels Tab</v>
      </c>
      <c r="E19" s="443"/>
      <c r="F19" s="444"/>
      <c r="G19" s="943"/>
      <c r="H19" s="944"/>
      <c r="I19" s="945"/>
      <c r="J19" s="946"/>
      <c r="K19" s="424"/>
      <c r="L19" s="400"/>
      <c r="M19" s="400"/>
      <c r="N19" s="400"/>
      <c r="O19" s="420"/>
      <c r="P19" s="496"/>
      <c r="Q19" s="497"/>
      <c r="R19" s="872" t="s">
        <v>179</v>
      </c>
      <c r="S19" s="872"/>
      <c r="T19" s="872"/>
      <c r="U19" s="873"/>
      <c r="V19" s="871" t="s">
        <v>180</v>
      </c>
      <c r="W19" s="873"/>
      <c r="X19" s="411"/>
      <c r="Y19" s="44"/>
      <c r="Z19" s="44"/>
      <c r="AA19" s="406"/>
      <c r="AB19" s="209"/>
      <c r="AC19" s="209"/>
      <c r="AD19" s="209"/>
      <c r="AE19" s="209"/>
      <c r="AF19" s="208"/>
      <c r="AG19" s="262"/>
      <c r="AH19" s="23"/>
    </row>
    <row r="20" spans="1:34" ht="15" customHeight="1" x14ac:dyDescent="0.35">
      <c r="A20" s="232">
        <f>A19+1</f>
        <v>12</v>
      </c>
      <c r="B20" s="829"/>
      <c r="C20" s="296"/>
      <c r="D20" s="864"/>
      <c r="E20" s="445"/>
      <c r="F20" s="446"/>
      <c r="G20" s="208"/>
      <c r="H20" s="399"/>
      <c r="I20" s="427"/>
      <c r="J20" s="428"/>
      <c r="K20" s="425"/>
      <c r="L20" s="400"/>
      <c r="M20" s="400"/>
      <c r="N20" s="400"/>
      <c r="O20" s="421"/>
      <c r="P20" s="24"/>
      <c r="Q20" s="498"/>
      <c r="R20" s="9"/>
      <c r="S20" s="575" t="str">
        <f>IF(VLOOKUP($A20,'Emails, Files, &amp; Other Data'!$B$10:$AE$248,17,FALSE)="","",VLOOKUP($A20,'Emails, Files, &amp; Other Data'!$B$10:$AE$248,17,FALSE))</f>
        <v/>
      </c>
      <c r="T20" s="575"/>
      <c r="U20" s="970"/>
      <c r="V20" s="414"/>
      <c r="W20" s="401" t="str">
        <f>IF(VLOOKUP($A21,'Emails, Files, &amp; Other Data'!$B$10:$AE$248,20,FALSE)="","",VLOOKUP($A21,'Emails, Files, &amp; Other Data'!$B$10:$AE$248,20,FALSE))</f>
        <v/>
      </c>
      <c r="X20" s="412"/>
      <c r="Y20" s="44"/>
      <c r="Z20" s="44"/>
      <c r="AA20" s="143"/>
      <c r="AB20" s="209"/>
      <c r="AC20" s="209"/>
      <c r="AD20" s="209"/>
      <c r="AE20" s="209"/>
      <c r="AF20" s="208"/>
      <c r="AG20" s="399"/>
      <c r="AH20" s="23"/>
    </row>
    <row r="21" spans="1:34" ht="15" customHeight="1" x14ac:dyDescent="0.35">
      <c r="A21" s="232">
        <f t="shared" ref="A21:A27" si="1">A20+1</f>
        <v>13</v>
      </c>
      <c r="B21" s="829"/>
      <c r="C21" s="296"/>
      <c r="D21" s="864"/>
      <c r="E21" s="423" t="b">
        <f>VLOOKUP($A21,'Emails, Files, &amp; Other Data'!$B$10:$AE$248,4,FALSE)</f>
        <v>0</v>
      </c>
      <c r="F21" s="435" t="s">
        <v>370</v>
      </c>
      <c r="G21" s="200" t="b">
        <f>VLOOKUP($A21,'Emails, Files, &amp; Other Data'!$B$10:$AE$248,7,FALSE)</f>
        <v>0</v>
      </c>
      <c r="H21" s="935" t="s">
        <v>183</v>
      </c>
      <c r="I21" s="201" t="b">
        <f>VLOOKUP($A21,'Emails, Files, &amp; Other Data'!$B$10:$AE$248,9,FALSE)</f>
        <v>0</v>
      </c>
      <c r="J21" s="429" t="s">
        <v>184</v>
      </c>
      <c r="K21" s="419" t="b">
        <f>VLOOKUP($A21,'Emails, Files, &amp; Other Data'!$B$10:$AE$248,11,FALSE)</f>
        <v>0</v>
      </c>
      <c r="L21" s="9" t="s">
        <v>185</v>
      </c>
      <c r="M21" s="3"/>
      <c r="N21" s="3"/>
      <c r="O21" s="419" t="b">
        <f>VLOOKUP($A21,'Emails, Files, &amp; Other Data'!$B$10:$AE$248,14,FALSE)</f>
        <v>0</v>
      </c>
      <c r="P21" s="9" t="s">
        <v>186</v>
      </c>
      <c r="Q21" s="435"/>
      <c r="R21" s="495"/>
      <c r="S21" s="575"/>
      <c r="T21" s="575"/>
      <c r="U21" s="970"/>
      <c r="V21" s="981" t="b">
        <f>VLOOKUP($A22,'Emails, Files, &amp; Other Data'!$B$10:$AE$248,20,FALSE)</f>
        <v>0</v>
      </c>
      <c r="W21" s="980" t="s">
        <v>193</v>
      </c>
      <c r="X21" s="413" t="b">
        <f>VLOOKUP($A21,'Emails, Files, &amp; Other Data'!$B$10:$AE$248,23,FALSE)</f>
        <v>0</v>
      </c>
      <c r="Y21" s="205" t="s">
        <v>187</v>
      </c>
      <c r="Z21" s="394" t="str">
        <f>IF(VLOOKUP($A21,'Emails, Files, &amp; Other Data'!$B$10:$AE$248,25,FALSE)="","",VLOOKUP($A21,'Emails, Files, &amp; Other Data'!$B$10:$AE$248,25,FALSE))</f>
        <v/>
      </c>
      <c r="AA21" s="407"/>
      <c r="AB21" s="206" t="b">
        <f>VLOOKUP($A21,'Emails, Files, &amp; Other Data'!$B$10:$AE$248,27,FALSE)</f>
        <v>0</v>
      </c>
      <c r="AC21" s="15" t="s">
        <v>188</v>
      </c>
      <c r="AD21" s="15"/>
      <c r="AE21" s="15"/>
      <c r="AF21" s="15" t="str">
        <f>IF(VLOOKUP($A21,'Emails, Files, &amp; Other Data'!$B$10:$AE$248,30,FALSE)="","",VLOOKUP($A21,'Emails, Files, &amp; Other Data'!$B$10:$AE$248,30,FALSE))</f>
        <v/>
      </c>
      <c r="AG21" s="263"/>
    </row>
    <row r="22" spans="1:34" ht="19.5" customHeight="1" x14ac:dyDescent="0.35">
      <c r="A22" s="232">
        <f t="shared" si="1"/>
        <v>14</v>
      </c>
      <c r="B22" s="829"/>
      <c r="C22" s="296"/>
      <c r="D22" s="864"/>
      <c r="E22" s="423" t="b">
        <f>VLOOKUP(A22,'Emails, Files, &amp; Other Data'!$B$10:$AE$248,4,FALSE)</f>
        <v>0</v>
      </c>
      <c r="F22" s="447" t="s">
        <v>371</v>
      </c>
      <c r="G22" s="15"/>
      <c r="H22" s="935"/>
      <c r="I22" s="201" t="b">
        <f>VLOOKUP($A22,'Emails, Files, &amp; Other Data'!$B$10:$AE$248,9,FALSE)</f>
        <v>0</v>
      </c>
      <c r="J22" s="938" t="s">
        <v>190</v>
      </c>
      <c r="K22" s="426" t="b">
        <f>VLOOKUP($A22,'Emails, Files, &amp; Other Data'!$B$10:$AE$248,11,FALSE)</f>
        <v>0</v>
      </c>
      <c r="L22" s="202" t="s">
        <v>191</v>
      </c>
      <c r="M22" s="964">
        <f>VLOOKUP($A22,'Emails, Files, &amp; Other Data'!$B$10:$AE$248,13,FALSE)</f>
        <v>44197</v>
      </c>
      <c r="N22" s="964"/>
      <c r="O22" s="419" t="b">
        <f>VLOOKUP($A22,'Emails, Files, &amp; Other Data'!$B$10:$AE$248,14,FALSE)</f>
        <v>0</v>
      </c>
      <c r="P22" s="9" t="s">
        <v>185</v>
      </c>
      <c r="Q22" s="435"/>
      <c r="R22" s="203" t="b">
        <f>VLOOKUP($A22,'Emails, Files, &amp; Other Data'!$B$10:$AE$248,17,FALSE)</f>
        <v>0</v>
      </c>
      <c r="S22" s="579" t="s">
        <v>192</v>
      </c>
      <c r="T22" s="579"/>
      <c r="U22" s="416"/>
      <c r="V22" s="981"/>
      <c r="W22" s="980"/>
      <c r="X22" s="413" t="b">
        <f>VLOOKUP($A22,'Emails, Files, &amp; Other Data'!$B$10:$AE$248,23,FALSE)</f>
        <v>0</v>
      </c>
      <c r="Y22" s="9" t="s">
        <v>194</v>
      </c>
      <c r="Z22" s="394" t="str">
        <f>IF(VLOOKUP($A22,'Emails, Files, &amp; Other Data'!$B$10:$AE$248,25,FALSE)="","",VLOOKUP($A22,'Emails, Files, &amp; Other Data'!$B$10:$AE$248,25,FALSE))</f>
        <v/>
      </c>
      <c r="AA22" s="407"/>
      <c r="AB22" s="208"/>
      <c r="AC22" s="209"/>
      <c r="AD22" s="209"/>
      <c r="AE22" s="209"/>
      <c r="AF22" s="23"/>
      <c r="AG22" s="264"/>
    </row>
    <row r="23" spans="1:34" ht="15" customHeight="1" x14ac:dyDescent="0.35">
      <c r="A23" s="232">
        <f t="shared" si="1"/>
        <v>15</v>
      </c>
      <c r="B23" s="829"/>
      <c r="C23" s="296"/>
      <c r="D23" s="864"/>
      <c r="E23" s="423" t="b">
        <f>VLOOKUP(A23,'Emails, Files, &amp; Other Data'!$B$10:$AE$248,4,FALSE)</f>
        <v>0</v>
      </c>
      <c r="F23" s="936" t="s">
        <v>196</v>
      </c>
      <c r="G23" s="200" t="b">
        <f>VLOOKUP($A23,'Emails, Files, &amp; Other Data'!$B$10:$AE$248,7,FALSE)</f>
        <v>0</v>
      </c>
      <c r="H23" s="442" t="s">
        <v>197</v>
      </c>
      <c r="I23" s="410"/>
      <c r="J23" s="938"/>
      <c r="K23" s="419" t="b">
        <f>VLOOKUP($A23,'Emails, Files, &amp; Other Data'!$B$10:$AE$248,11,FALSE)</f>
        <v>0</v>
      </c>
      <c r="L23" s="44" t="s">
        <v>198</v>
      </c>
      <c r="M23" s="965">
        <f>VLOOKUP($A23,'Emails, Files, &amp; Other Data'!$B$10:$AE$248,13,FALSE)</f>
        <v>78</v>
      </c>
      <c r="N23" s="965"/>
      <c r="O23" s="419" t="b">
        <f>VLOOKUP($A23,'Emails, Files, &amp; Other Data'!$B$10:$AE$248,14,FALSE)</f>
        <v>0</v>
      </c>
      <c r="P23" s="9" t="s">
        <v>198</v>
      </c>
      <c r="Q23" s="499">
        <f>VLOOKUP($A23,'Emails, Files, &amp; Other Data'!$B$10:$AE$248,16,FALSE)</f>
        <v>76</v>
      </c>
      <c r="R23" s="44"/>
      <c r="S23" s="575" t="str">
        <f>IF(VLOOKUP($A23,'Emails, Files, &amp; Other Data'!$B$10:$AE$248,17,FALSE)="","",VLOOKUP($A23,'Emails, Files, &amp; Other Data'!$B$10:$AE$248,17,FALSE))</f>
        <v/>
      </c>
      <c r="T23" s="575"/>
      <c r="U23" s="970"/>
      <c r="V23" s="415" t="b">
        <f>VLOOKUP($A24,'Emails, Files, &amp; Other Data'!$B$10:$AE$248,20,FALSE)</f>
        <v>0</v>
      </c>
      <c r="W23" s="252" t="s">
        <v>200</v>
      </c>
      <c r="X23" s="413" t="b">
        <f>VLOOKUP($A23,'Emails, Files, &amp; Other Data'!$B$10:$AE$248,23,FALSE)</f>
        <v>0</v>
      </c>
      <c r="Y23" s="9" t="s">
        <v>372</v>
      </c>
      <c r="Z23" s="579" t="str">
        <f>IF(VLOOKUP($A23,'Emails, Files, &amp; Other Data'!$B$10:$AE$248,25,FALSE)="","",VLOOKUP($A23,'Emails, Files, &amp; Other Data'!$B$10:$AE$248,25,FALSE))</f>
        <v/>
      </c>
      <c r="AA23" s="408"/>
      <c r="AB23" s="973" t="str">
        <f>IF(VLOOKUP($A23,'Emails, Files, &amp; Other Data'!$B$10:$AE$248,28,FALSE)="","",VLOOKUP($A23,'Emails, Files, &amp; Other Data'!$B$10:$AE$248,28,FALSE))</f>
        <v/>
      </c>
      <c r="AC23" s="974"/>
      <c r="AD23" s="20"/>
      <c r="AE23" s="20"/>
      <c r="AF23" s="15" t="str">
        <f>IF(VLOOKUP($A23,'Emails, Files, &amp; Other Data'!$B$10:$AE$248,30,FALSE)="","",VLOOKUP($A23,'Emails, Files, &amp; Other Data'!$B$10:$AE$248,30,FALSE))</f>
        <v/>
      </c>
      <c r="AG23" s="263"/>
    </row>
    <row r="24" spans="1:34" ht="15" customHeight="1" x14ac:dyDescent="0.35">
      <c r="A24" s="232">
        <f t="shared" si="1"/>
        <v>16</v>
      </c>
      <c r="B24" s="829"/>
      <c r="C24" s="296"/>
      <c r="D24" s="864"/>
      <c r="E24" s="422"/>
      <c r="F24" s="936"/>
      <c r="G24" s="15"/>
      <c r="H24" s="263"/>
      <c r="I24" s="410"/>
      <c r="J24" s="938"/>
      <c r="K24" s="422"/>
      <c r="L24" s="3"/>
      <c r="M24" s="3"/>
      <c r="N24" s="3"/>
      <c r="O24" s="422"/>
      <c r="P24" s="3"/>
      <c r="Q24" s="435"/>
      <c r="R24" s="44"/>
      <c r="S24" s="575"/>
      <c r="T24" s="575"/>
      <c r="U24" s="970"/>
      <c r="V24" s="410"/>
      <c r="W24" s="401" t="str">
        <f>IF(VLOOKUP($A25,'Emails, Files, &amp; Other Data'!$B$10:$AE$248,20,FALSE)="","",VLOOKUP($A25,'Emails, Files, &amp; Other Data'!$B$10:$AE$248,20,FALSE))</f>
        <v/>
      </c>
      <c r="X24" s="412"/>
      <c r="Y24" s="9"/>
      <c r="Z24" s="579"/>
      <c r="AA24" s="409"/>
      <c r="AB24" s="15"/>
      <c r="AC24" s="15"/>
      <c r="AD24" s="15"/>
      <c r="AE24" s="15"/>
      <c r="AF24" s="15"/>
      <c r="AG24" s="263"/>
    </row>
    <row r="25" spans="1:34" ht="15" customHeight="1" x14ac:dyDescent="0.35">
      <c r="A25" s="232">
        <f t="shared" si="1"/>
        <v>17</v>
      </c>
      <c r="B25" s="829"/>
      <c r="C25" s="296"/>
      <c r="D25" s="864"/>
      <c r="E25" s="143"/>
      <c r="F25" s="435"/>
      <c r="G25" s="15"/>
      <c r="H25" s="263"/>
      <c r="I25" s="430"/>
      <c r="J25" s="431"/>
      <c r="K25" s="422"/>
      <c r="L25" s="3"/>
      <c r="M25" s="3"/>
      <c r="N25" s="3"/>
      <c r="O25" s="422"/>
      <c r="P25" s="3"/>
      <c r="Q25" s="435"/>
      <c r="R25" s="203" t="b">
        <f>VLOOKUP($A25,'Emails, Files, &amp; Other Data'!$B$10:$AE$248,17,FALSE)</f>
        <v>0</v>
      </c>
      <c r="S25" s="579" t="s">
        <v>201</v>
      </c>
      <c r="T25" s="579"/>
      <c r="U25" s="416"/>
      <c r="V25" s="415" t="b">
        <f>VLOOKUP($A26,'Emails, Files, &amp; Other Data'!$B$10:$AE$248,20,FALSE)</f>
        <v>0</v>
      </c>
      <c r="W25" s="416" t="s">
        <v>202</v>
      </c>
      <c r="X25" s="410"/>
      <c r="Y25" s="9"/>
      <c r="Z25" s="9"/>
      <c r="AA25" s="409"/>
      <c r="AB25" s="15"/>
      <c r="AC25" s="15"/>
      <c r="AD25" s="15"/>
      <c r="AE25" s="15"/>
      <c r="AF25" s="15"/>
      <c r="AG25" s="263"/>
    </row>
    <row r="26" spans="1:34" ht="15" customHeight="1" x14ac:dyDescent="0.35">
      <c r="A26" s="232">
        <f t="shared" si="1"/>
        <v>18</v>
      </c>
      <c r="B26" s="829"/>
      <c r="C26" s="296"/>
      <c r="D26" s="864"/>
      <c r="E26" s="143"/>
      <c r="F26" s="435"/>
      <c r="G26" s="212"/>
      <c r="H26" s="263"/>
      <c r="I26" s="430"/>
      <c r="J26" s="431"/>
      <c r="K26" s="422"/>
      <c r="L26" s="3"/>
      <c r="M26" s="3"/>
      <c r="N26" s="3"/>
      <c r="O26" s="422"/>
      <c r="P26" s="3"/>
      <c r="Q26" s="435"/>
      <c r="R26" s="44"/>
      <c r="S26" s="575" t="str">
        <f>IF(VLOOKUP($A26,'Emails, Files, &amp; Other Data'!$B$10:$AE$248,17,FALSE)="","",VLOOKUP($A26,'Emails, Files, &amp; Other Data'!$B$10:$AE$248,17,FALSE))</f>
        <v/>
      </c>
      <c r="T26" s="575"/>
      <c r="U26" s="970"/>
      <c r="V26" s="414"/>
      <c r="W26" s="982" t="str">
        <f>IF(VLOOKUP($A27,'Emails, Files, &amp; Other Data'!$B$10:$AE$248,20,FALSE)="","",VLOOKUP($A27,'Emails, Files, &amp; Other Data'!$B$10:$AE$248,20,FALSE))</f>
        <v/>
      </c>
      <c r="X26" s="410"/>
      <c r="Y26" s="9"/>
      <c r="Z26" s="9"/>
      <c r="AA26" s="409"/>
      <c r="AB26" s="15"/>
      <c r="AC26" s="15"/>
      <c r="AD26" s="15"/>
      <c r="AE26" s="15"/>
      <c r="AF26" s="15"/>
      <c r="AG26" s="263"/>
    </row>
    <row r="27" spans="1:34" ht="15" customHeight="1" x14ac:dyDescent="0.35">
      <c r="A27" s="232">
        <f t="shared" si="1"/>
        <v>19</v>
      </c>
      <c r="B27" s="829"/>
      <c r="C27" s="296"/>
      <c r="D27" s="864"/>
      <c r="E27" s="422"/>
      <c r="F27" s="435"/>
      <c r="G27" s="15"/>
      <c r="H27" s="263"/>
      <c r="I27" s="430"/>
      <c r="J27" s="431"/>
      <c r="K27" s="422"/>
      <c r="L27" s="3"/>
      <c r="M27" s="3"/>
      <c r="N27" s="3"/>
      <c r="O27" s="422"/>
      <c r="P27" s="3"/>
      <c r="Q27" s="435"/>
      <c r="R27" s="44"/>
      <c r="S27" s="575"/>
      <c r="T27" s="575"/>
      <c r="U27" s="970"/>
      <c r="V27" s="410"/>
      <c r="W27" s="982"/>
      <c r="X27" s="410"/>
      <c r="Y27" s="9"/>
      <c r="Z27" s="9"/>
      <c r="AA27" s="410"/>
      <c r="AB27" s="15"/>
      <c r="AC27" s="15"/>
      <c r="AD27" s="15"/>
      <c r="AE27" s="15"/>
      <c r="AF27" s="15"/>
      <c r="AG27" s="263"/>
    </row>
    <row r="28" spans="1:34" ht="16.5" customHeight="1" x14ac:dyDescent="0.35">
      <c r="B28" s="830"/>
      <c r="C28" s="296"/>
      <c r="D28" s="864"/>
      <c r="E28" s="243"/>
      <c r="F28" s="255"/>
      <c r="G28" s="253"/>
      <c r="H28" s="255"/>
      <c r="I28" s="243"/>
      <c r="J28" s="255"/>
      <c r="K28" s="243"/>
      <c r="L28" s="253"/>
      <c r="M28" s="253"/>
      <c r="N28" s="253"/>
      <c r="O28" s="243"/>
      <c r="P28" s="253"/>
      <c r="Q28" s="255"/>
      <c r="R28" s="258"/>
      <c r="S28" s="258"/>
      <c r="T28" s="258"/>
      <c r="U28" s="418"/>
      <c r="V28" s="417"/>
      <c r="W28" s="418"/>
      <c r="X28" s="243"/>
      <c r="Y28" s="253"/>
      <c r="Z28" s="253"/>
      <c r="AA28" s="243"/>
      <c r="AB28" s="253"/>
      <c r="AC28" s="253"/>
      <c r="AD28" s="253"/>
      <c r="AE28" s="253"/>
      <c r="AF28" s="253"/>
      <c r="AG28" s="255"/>
    </row>
    <row r="29" spans="1:34" ht="18.5" x14ac:dyDescent="0.45">
      <c r="C29" s="296"/>
      <c r="D29" s="234" t="str">
        <f>'Teams meetings and chats'!B1</f>
        <v>Teams meetings and chats</v>
      </c>
      <c r="E29" s="35"/>
      <c r="F29" s="35"/>
      <c r="G29" s="35"/>
      <c r="H29" s="35"/>
    </row>
    <row r="30" spans="1:34" s="224" customFormat="1" ht="31" customHeight="1" x14ac:dyDescent="0.4">
      <c r="A30" s="285"/>
      <c r="B30" s="465"/>
      <c r="C30" s="295"/>
      <c r="D30" s="481" t="str">
        <f>'Teams meetings and chats'!B2</f>
        <v>Label/Sub-Label Name:</v>
      </c>
      <c r="E30" s="939" t="str">
        <f>'Teams meetings and chats'!D2</f>
        <v>Control who can Bypass the Lobby:</v>
      </c>
      <c r="F30" s="940"/>
      <c r="G30" s="940"/>
      <c r="H30" s="940"/>
      <c r="I30" s="940" t="str">
        <f>'Teams meetings and chats'!I2</f>
        <v>Control Who Can Present:</v>
      </c>
      <c r="J30" s="940"/>
      <c r="K30" s="966" t="str">
        <f>'Teams meetings and chats'!K2</f>
        <v>Control who can Record and Transcribe:</v>
      </c>
      <c r="L30" s="967"/>
      <c r="M30" s="968"/>
      <c r="N30" s="940" t="str">
        <f>'Teams meetings and chats'!M2</f>
        <v>Control Whether Meetings are Recorded Automatically:</v>
      </c>
      <c r="O30" s="940"/>
      <c r="P30" s="940"/>
      <c r="Q30" s="941" t="str">
        <f>'Teams meetings and chats'!O2</f>
        <v>Control End-to-end Encryption for Meeting Video and Audio:</v>
      </c>
      <c r="R30" s="941"/>
      <c r="S30" s="941"/>
      <c r="T30" s="941"/>
      <c r="U30" s="941"/>
      <c r="V30" s="979" t="str">
        <f>'Teams meetings and chats'!Q2</f>
        <v>Control Watermarks:</v>
      </c>
      <c r="W30" s="979"/>
      <c r="X30" s="979"/>
      <c r="Y30" s="979"/>
      <c r="Z30" s="883" t="str">
        <f>'Teams meetings and chats'!U2</f>
        <v>Detect sensitive content during screen sharing:</v>
      </c>
      <c r="AA30" s="885"/>
      <c r="AB30" s="966" t="str">
        <f>'Teams meetings and chats'!W2</f>
        <v>Control Meeting Chat:</v>
      </c>
      <c r="AC30" s="967"/>
      <c r="AD30" s="968"/>
      <c r="AE30" s="975" t="str">
        <f>'Teams meetings and chats'!Y2</f>
        <v>Prevent Copying and Forwarding of Meeting Content:</v>
      </c>
      <c r="AF30" s="976"/>
      <c r="AG30" s="939"/>
    </row>
    <row r="31" spans="1:34" s="3" customFormat="1" ht="29" x14ac:dyDescent="0.35">
      <c r="A31" s="286"/>
      <c r="B31" s="466">
        <f>H$1</f>
        <v>1</v>
      </c>
      <c r="C31" s="303"/>
      <c r="D31" s="473" t="str">
        <f>IF(VLOOKUP($B31,'Teams meetings and chats'!$A11:$Y50,2,FALSE)="","",VLOOKUP($B31,'Teams meetings and chats'!$A11:$Y50,2,FALSE))</f>
        <v>Please fill out Sensitivity Labels Tab</v>
      </c>
      <c r="E31" s="875" t="str">
        <f>IF(VLOOKUP($B31,'Teams meetings and chats'!$A11:$Y50,4,FALSE)="","",VLOOKUP($B31,'Teams meetings and chats'!$A11:$Y50,4,FALSE))</f>
        <v/>
      </c>
      <c r="F31" s="877"/>
      <c r="G31" s="460" t="b">
        <f>VLOOKUP($B31,'Teams meetings and chats'!$A11:$Y50,6,FALSE)</f>
        <v>0</v>
      </c>
      <c r="H31" s="95" t="s">
        <v>224</v>
      </c>
      <c r="I31" s="875" t="str">
        <f>IF(VLOOKUP($B31,'Teams meetings and chats'!$A11:$Y50,9,FALSE)="","",VLOOKUP($B31,'Teams meetings and chats'!$A11:$Y50,9,FALSE))</f>
        <v/>
      </c>
      <c r="J31" s="877"/>
      <c r="K31" s="875" t="str">
        <f>IF(VLOOKUP($B31,'Teams meetings and chats'!$A11:$Y50,11,FALSE)="","",VLOOKUP($B31,'Teams meetings and chats'!$A11:$Y50,11,FALSE))</f>
        <v/>
      </c>
      <c r="L31" s="876"/>
      <c r="M31" s="877"/>
      <c r="N31" s="875" t="str">
        <f>IF(VLOOKUP($B31,'Teams meetings and chats'!$A11:$Y50,13,FALSE)="","",VLOOKUP($B31,'Teams meetings and chats'!$A11:$Y50,13,FALSE))</f>
        <v/>
      </c>
      <c r="O31" s="876"/>
      <c r="P31" s="877"/>
      <c r="Q31" s="864" t="str">
        <f>IF(VLOOKUP($B31,'Teams meetings and chats'!$A11:$Y50,15,FALSE)="","",VLOOKUP($B31,'Teams meetings and chats'!$A11:$Y50,15,FALSE))</f>
        <v/>
      </c>
      <c r="R31" s="887"/>
      <c r="S31" s="887"/>
      <c r="T31" s="887"/>
      <c r="U31" s="826"/>
      <c r="V31" s="538" t="str">
        <f>IF(VLOOKUP($B31,'Teams meetings and chats'!$A11:$Y50,17,FALSE)="","",VLOOKUP($B31,'Teams meetings and chats'!$A11:$Y50,17,FALSE))</f>
        <v/>
      </c>
      <c r="W31" s="864"/>
      <c r="X31" s="864" t="str">
        <f>IF(VLOOKUP($B31,'Teams meetings and chats'!$A11:$Y50,19,FALSE)="","",VLOOKUP($B31,'Teams meetings and chats'!$A11:$Y50,19,FALSE))</f>
        <v/>
      </c>
      <c r="Y31" s="826"/>
      <c r="Z31" s="826" t="str">
        <f>IF(VLOOKUP($B31,'Teams meetings and chats'!$A11:$Y50,21,FALSE)="","",VLOOKUP($B31,'Teams meetings and chats'!$A11:$Y50,21,FALSE))</f>
        <v/>
      </c>
      <c r="AA31" s="538"/>
      <c r="AB31" s="864" t="str">
        <f>IF(VLOOKUP($B31,'Teams meetings and chats'!$A11:$Y50,23,FALSE)="","",VLOOKUP($B31,'Teams meetings and chats'!$A11:$Y50,23,FALSE))</f>
        <v/>
      </c>
      <c r="AC31" s="887"/>
      <c r="AD31" s="826"/>
      <c r="AE31" s="864" t="str">
        <f>IF(VLOOKUP($B31,'Teams meetings and chats'!$A11:$Y50,25,FALSE)="","",VLOOKUP($B31,'Teams meetings and chats'!$A11:$Y50,25,FALSE))</f>
        <v/>
      </c>
      <c r="AF31" s="887"/>
      <c r="AG31" s="826"/>
    </row>
    <row r="32" spans="1:34" ht="3" customHeight="1" x14ac:dyDescent="0.35">
      <c r="B32" s="125"/>
      <c r="C32" s="296"/>
      <c r="D32" s="13"/>
      <c r="E32" s="2"/>
      <c r="F32" s="2"/>
      <c r="G32" s="232"/>
      <c r="I32" s="230"/>
      <c r="J32" s="230"/>
      <c r="K32" s="2"/>
      <c r="L32" s="2"/>
      <c r="M32" s="2"/>
      <c r="N32" s="2"/>
      <c r="O32" s="2"/>
      <c r="P32" s="2"/>
      <c r="Q32" s="2"/>
      <c r="R32" s="2"/>
      <c r="S32" s="2"/>
      <c r="T32" s="2"/>
      <c r="U32" s="2"/>
      <c r="V32" s="2"/>
      <c r="W32" s="2"/>
      <c r="X32" s="13"/>
      <c r="Y32" s="13"/>
      <c r="Z32" s="13"/>
      <c r="AA32" s="13"/>
      <c r="AB32" s="13"/>
      <c r="AC32" s="13"/>
      <c r="AD32" s="13"/>
      <c r="AE32" s="13"/>
      <c r="AF32" s="13"/>
      <c r="AG32" s="13"/>
    </row>
    <row r="33" spans="1:34" ht="5.15" customHeight="1" x14ac:dyDescent="0.35">
      <c r="B33" s="125"/>
      <c r="C33" s="296"/>
      <c r="D33" s="13"/>
      <c r="E33" s="2"/>
      <c r="F33" s="2"/>
      <c r="G33" s="232"/>
      <c r="I33" s="230"/>
      <c r="J33" s="230"/>
      <c r="K33" s="2"/>
      <c r="L33" s="2"/>
      <c r="M33" s="2"/>
      <c r="N33" s="2"/>
      <c r="O33" s="2"/>
      <c r="P33" s="2"/>
      <c r="Q33" s="2"/>
      <c r="R33" s="2"/>
      <c r="S33" s="2"/>
      <c r="T33" s="2"/>
      <c r="U33" s="2"/>
      <c r="V33" s="2"/>
      <c r="W33" s="2"/>
      <c r="X33" s="13"/>
      <c r="Y33" s="13"/>
      <c r="Z33" s="13"/>
      <c r="AA33" s="13"/>
      <c r="AB33" s="13"/>
      <c r="AC33" s="13"/>
      <c r="AD33" s="13"/>
      <c r="AE33" s="13"/>
      <c r="AF33" s="13"/>
      <c r="AG33" s="13"/>
    </row>
    <row r="34" spans="1:34" ht="18.5" x14ac:dyDescent="0.45">
      <c r="B34" s="467"/>
      <c r="C34" s="296"/>
      <c r="D34" s="234" t="str">
        <f>'Groups &amp; Sites'!C1</f>
        <v>Groups &amp; Sites</v>
      </c>
    </row>
    <row r="35" spans="1:34" s="3" customFormat="1" ht="31" customHeight="1" x14ac:dyDescent="0.35">
      <c r="A35" s="286"/>
      <c r="B35" s="468"/>
      <c r="C35" s="296"/>
      <c r="D35" s="480" t="str">
        <f>'Groups &amp; Sites'!C3</f>
        <v>Label/Sub-Label Name:</v>
      </c>
      <c r="E35" s="941" t="str">
        <f>'Groups &amp; Sites'!E3</f>
        <v>Define protection settings for groups and sites:</v>
      </c>
      <c r="F35" s="941"/>
      <c r="G35" s="941" t="str">
        <f>'Groups &amp; Sites'!H3</f>
        <v>Define privacy and external user access settings:</v>
      </c>
      <c r="H35" s="941"/>
      <c r="I35" s="831" t="str">
        <f>'Groups &amp; Sites'!K3</f>
        <v>External sharing and Conditional Access:</v>
      </c>
      <c r="J35" s="832"/>
      <c r="K35" s="832"/>
      <c r="L35" s="480" t="str">
        <f>'Groups &amp; Sites'!N3</f>
        <v>External sharing:</v>
      </c>
      <c r="M35" s="883" t="str">
        <f>'Groups &amp; Sites'!P3</f>
        <v>Conditional Access:</v>
      </c>
      <c r="N35" s="884"/>
      <c r="O35" s="884"/>
      <c r="P35" s="884"/>
      <c r="Q35" s="885"/>
      <c r="R35" s="883" t="str">
        <f>'Groups &amp; Sites'!S3</f>
        <v>Private teams discoverability and shared channel controls:</v>
      </c>
      <c r="S35" s="884"/>
      <c r="T35" s="884"/>
      <c r="U35" s="885"/>
    </row>
    <row r="36" spans="1:34" ht="35.15" customHeight="1" x14ac:dyDescent="0.35">
      <c r="A36" s="232">
        <f>VLOOKUP(B36,'Groups &amp; Sites'!$A$13:$T$191,2,FALSE)</f>
        <v>11</v>
      </c>
      <c r="B36" s="929">
        <f>H$1</f>
        <v>1</v>
      </c>
      <c r="C36" s="296"/>
      <c r="D36" s="868" t="str">
        <f>IF(VLOOKUP($A36,'Groups &amp; Sites'!$B$13:$T$191,2,FALSE)="","",VLOOKUP($A36,'Groups &amp; Sites'!$B$13:$T$191,2,FALSE))</f>
        <v>Please fill out Sensitivity Labels Tab</v>
      </c>
      <c r="E36" s="274" t="b">
        <f>VLOOKUP($A36,'Groups &amp; Sites'!$B$13:$T$191,4,FALSE)</f>
        <v>0</v>
      </c>
      <c r="F36" s="259" t="s">
        <v>238</v>
      </c>
      <c r="G36" s="888" t="str">
        <f>IF(VLOOKUP($A36,'Groups &amp; Sites'!$B$13:$T$191,7,FALSE)="","",VLOOKUP($A36,'Groups &amp; Sites'!$B$13:$T$191,7,FALSE))</f>
        <v/>
      </c>
      <c r="H36" s="889"/>
      <c r="I36" s="277" t="b">
        <f>VLOOKUP($A36,'Groups &amp; Sites'!$B$13:$T$191,10,FALSE)</f>
        <v>0</v>
      </c>
      <c r="J36" s="260" t="s">
        <v>239</v>
      </c>
      <c r="K36" s="248"/>
      <c r="L36" s="472" t="s">
        <v>240</v>
      </c>
      <c r="M36" s="871" t="s">
        <v>241</v>
      </c>
      <c r="N36" s="872"/>
      <c r="O36" s="872"/>
      <c r="P36" s="872"/>
      <c r="Q36" s="873"/>
      <c r="R36" s="878" t="s">
        <v>242</v>
      </c>
      <c r="S36" s="878"/>
      <c r="T36" s="878"/>
      <c r="U36" s="879"/>
    </row>
    <row r="37" spans="1:34" ht="29.15" customHeight="1" x14ac:dyDescent="0.35">
      <c r="A37" s="232">
        <f>A36+1</f>
        <v>12</v>
      </c>
      <c r="B37" s="930"/>
      <c r="C37" s="296"/>
      <c r="D37" s="869"/>
      <c r="E37" s="275" t="b">
        <f>VLOOKUP($A37,'Groups &amp; Sites'!$B$13:$T$191,4,FALSE)</f>
        <v>0</v>
      </c>
      <c r="F37" s="231" t="s">
        <v>243</v>
      </c>
      <c r="G37" s="414"/>
      <c r="H37" s="24"/>
      <c r="I37" s="890" t="b">
        <f>VLOOKUP($A37,'Groups &amp; Sites'!$B$13:$T$191,10,FALSE)</f>
        <v>0</v>
      </c>
      <c r="J37" s="579" t="s">
        <v>241</v>
      </c>
      <c r="L37" s="414" t="str">
        <f>IF(VLOOKUP($A38,'Groups &amp; Sites'!$B$13:$T$191,13,FALSE)="","",VLOOKUP($A38,'Groups &amp; Sites'!$B$13:$T$191,13,FALSE))</f>
        <v/>
      </c>
      <c r="M37" s="432" t="b">
        <f>VLOOKUP($A37,'Groups &amp; Sites'!$B$13:$T$191,15,FALSE)</f>
        <v>0</v>
      </c>
      <c r="N37" s="579" t="s">
        <v>244</v>
      </c>
      <c r="O37" s="579"/>
      <c r="P37" s="579"/>
      <c r="Q37" s="886"/>
      <c r="R37" s="79" t="b">
        <f>VLOOKUP($A37,'Groups &amp; Sites'!$B$13:$T$191,18,FALSE)</f>
        <v>0</v>
      </c>
      <c r="S37" s="880" t="s">
        <v>245</v>
      </c>
      <c r="T37" s="881"/>
      <c r="U37" s="882"/>
    </row>
    <row r="38" spans="1:34" ht="29.5" customHeight="1" x14ac:dyDescent="0.35">
      <c r="A38" s="232">
        <f>A37+1</f>
        <v>13</v>
      </c>
      <c r="B38" s="930"/>
      <c r="C38" s="296"/>
      <c r="D38" s="869"/>
      <c r="E38" s="275" t="b">
        <f>VLOOKUP($A38,'Groups &amp; Sites'!$B$13:$T$191,4,FALSE)</f>
        <v>0</v>
      </c>
      <c r="F38" s="469" t="s">
        <v>246</v>
      </c>
      <c r="G38" s="278" t="b">
        <f>VLOOKUP($A38,'Groups &amp; Sites'!$B$13:$T$191,7,FALSE)</f>
        <v>0</v>
      </c>
      <c r="H38" s="881" t="s">
        <v>247</v>
      </c>
      <c r="I38" s="890"/>
      <c r="J38" s="579"/>
      <c r="L38" s="143"/>
      <c r="M38" s="414"/>
      <c r="N38" s="874" t="str">
        <f>IF(VLOOKUP($A38,'Groups &amp; Sites'!$B$13:$T$191,16,FALSE)="","",VLOOKUP($A38,'Groups &amp; Sites'!$B$13:$T$191,16,FALSE))</f>
        <v/>
      </c>
      <c r="O38" s="874"/>
      <c r="P38" s="874"/>
      <c r="Q38" s="433"/>
      <c r="R38" s="138" t="s">
        <v>248</v>
      </c>
      <c r="S38" s="138"/>
      <c r="T38" s="138"/>
      <c r="U38" s="257"/>
    </row>
    <row r="39" spans="1:34" x14ac:dyDescent="0.35">
      <c r="A39" s="232">
        <f>A38+1</f>
        <v>14</v>
      </c>
      <c r="B39" s="930"/>
      <c r="C39" s="296"/>
      <c r="D39" s="869"/>
      <c r="G39" s="414"/>
      <c r="H39" s="881"/>
      <c r="I39" s="143"/>
      <c r="L39" s="143"/>
      <c r="M39" s="278" t="b">
        <f>VLOOKUP($A39,'Groups &amp; Sites'!$B$13:$T$191,15,FALSE)</f>
        <v>0</v>
      </c>
      <c r="N39" s="44" t="s">
        <v>249</v>
      </c>
      <c r="Q39" s="257"/>
      <c r="R39" s="45" t="b">
        <f>VLOOKUP($A39,'Groups &amp; Sites'!$B$13:$T$191,18,FALSE)</f>
        <v>0</v>
      </c>
      <c r="S39" s="44" t="s">
        <v>250</v>
      </c>
      <c r="T39" s="44"/>
      <c r="U39" s="257"/>
    </row>
    <row r="40" spans="1:34" ht="29.15" customHeight="1" x14ac:dyDescent="0.35">
      <c r="A40" s="232">
        <f>A39+1</f>
        <v>15</v>
      </c>
      <c r="B40" s="930"/>
      <c r="C40" s="296"/>
      <c r="D40" s="869"/>
      <c r="G40" s="414"/>
      <c r="H40" s="881"/>
      <c r="I40" s="143"/>
      <c r="L40" s="471"/>
      <c r="M40" s="143"/>
      <c r="N40" s="874" t="str">
        <f>IF(VLOOKUP($A41,'Groups &amp; Sites'!$B$13:$T$191,16,FALSE)="","",VLOOKUP($A41,'Groups &amp; Sites'!$B$13:$T$191,16,FALSE))</f>
        <v/>
      </c>
      <c r="O40" s="874"/>
      <c r="P40" s="874"/>
      <c r="Q40" s="433"/>
      <c r="R40" s="79" t="b">
        <f>VLOOKUP($A40,'Groups &amp; Sites'!$B$13:$T$191,18,FALSE)</f>
        <v>0</v>
      </c>
      <c r="S40" s="80" t="s">
        <v>251</v>
      </c>
      <c r="T40" s="44"/>
      <c r="U40" s="257"/>
    </row>
    <row r="41" spans="1:34" ht="21.65" customHeight="1" x14ac:dyDescent="0.35">
      <c r="A41" s="232">
        <f>A40+1</f>
        <v>16</v>
      </c>
      <c r="B41" s="931"/>
      <c r="C41" s="296"/>
      <c r="D41" s="870"/>
      <c r="E41" s="253"/>
      <c r="F41" s="253"/>
      <c r="G41" s="417"/>
      <c r="H41" s="258"/>
      <c r="I41" s="243"/>
      <c r="J41" s="253"/>
      <c r="K41" s="253"/>
      <c r="L41" s="243"/>
      <c r="M41" s="243"/>
      <c r="N41" s="253"/>
      <c r="O41" s="253"/>
      <c r="P41" s="253"/>
      <c r="Q41" s="255"/>
      <c r="R41" s="261" t="b">
        <f>VLOOKUP($A41,'Groups &amp; Sites'!$B$13:$T$191,18,FALSE)</f>
        <v>0</v>
      </c>
      <c r="S41" s="258" t="s">
        <v>252</v>
      </c>
      <c r="T41" s="258"/>
      <c r="U41" s="255"/>
    </row>
    <row r="42" spans="1:34" ht="7" customHeight="1" x14ac:dyDescent="0.35">
      <c r="B42" s="125"/>
      <c r="C42" s="296"/>
    </row>
    <row r="43" spans="1:34" ht="18.5" x14ac:dyDescent="0.45">
      <c r="B43" s="125"/>
      <c r="C43" s="296"/>
      <c r="D43" s="234" t="str">
        <f>Publishing!C1</f>
        <v>Publishing</v>
      </c>
    </row>
    <row r="44" spans="1:34" ht="36" customHeight="1" x14ac:dyDescent="0.45">
      <c r="B44" s="448"/>
      <c r="C44" s="295"/>
      <c r="D44" s="477" t="str">
        <f>Publishing!C3</f>
        <v>Name:</v>
      </c>
      <c r="E44" s="863" t="str">
        <f>Publishing!E3</f>
        <v>Description:</v>
      </c>
      <c r="F44" s="835"/>
      <c r="G44" s="937" t="str">
        <f>Publishing!G3</f>
        <v>Choose sensitivity labels to publish:</v>
      </c>
      <c r="H44" s="937"/>
      <c r="I44" s="835" t="str">
        <f>Publishing!I3</f>
        <v>Assign admin units:</v>
      </c>
      <c r="J44" s="835"/>
      <c r="K44" s="835" t="str">
        <f>Publishing!K3</f>
        <v>Publish to users and groups:</v>
      </c>
      <c r="L44" s="835"/>
      <c r="M44" s="836" t="str">
        <f>Publishing!M3</f>
        <v>Policy settings:</v>
      </c>
      <c r="N44" s="837"/>
      <c r="O44" s="837"/>
      <c r="P44" s="837"/>
      <c r="Q44" s="837"/>
      <c r="R44" s="865" t="str">
        <f>Publishing!P3</f>
        <v>Default settings for documents​:</v>
      </c>
      <c r="S44" s="866"/>
      <c r="T44" s="866"/>
      <c r="U44" s="867"/>
      <c r="V44" s="863" t="str">
        <f>Publishing!S3</f>
        <v>Default settings for emails:</v>
      </c>
      <c r="W44" s="835"/>
      <c r="X44" s="865" t="str">
        <f>Publishing!V3</f>
        <v>Default settings for meetings and calendar events:</v>
      </c>
      <c r="Y44" s="866"/>
      <c r="Z44" s="866"/>
      <c r="AA44" s="867"/>
      <c r="AB44" s="861" t="str">
        <f>Publishing!Y3</f>
        <v>Default settings for sites and groups</v>
      </c>
      <c r="AC44" s="862"/>
      <c r="AD44" s="863"/>
      <c r="AE44" s="865" t="str">
        <f>Publishing!AB3</f>
        <v>Default settings for Fabric and Power BI content:</v>
      </c>
      <c r="AF44" s="866"/>
      <c r="AG44" s="866"/>
      <c r="AH44" s="867"/>
    </row>
    <row r="45" spans="1:34" x14ac:dyDescent="0.35">
      <c r="A45" s="232">
        <f>VLOOKUP(B45,Publishing!A$13:AD$253,2,FALSE)</f>
        <v>11</v>
      </c>
      <c r="B45" s="828">
        <f>J1</f>
        <v>1</v>
      </c>
      <c r="C45" s="295"/>
      <c r="D45" s="542" t="str">
        <f>IF(VLOOKUP($A45,Publishing!$B$13:$AC$251,2,FALSE)="","",VLOOKUP($A45,Publishing!$B$13:$AC$251,2,FALSE))</f>
        <v/>
      </c>
      <c r="E45" s="846" t="str">
        <f>IF(VLOOKUP($A45,Publishing!$B$13:$AC$251,4,FALSE)="","",VLOOKUP($A45,Publishing!$B$13:$AC$251,4,FALSE))</f>
        <v/>
      </c>
      <c r="F45" s="602"/>
      <c r="G45" s="838" t="str">
        <f>IF(VLOOKUP($A45,Publishing!$B$13:$AC$251,6,FALSE)="","",VLOOKUP($A45,Publishing!$B$13:$AC$251,6,FALSE))</f>
        <v/>
      </c>
      <c r="H45" s="839"/>
      <c r="I45" s="838" t="str">
        <f>IF(VLOOKUP($A45,Publishing!$B$13:$AC$251,8,FALSE)="","",VLOOKUP($A45,Publishing!$B$13:$AC$251,8,FALSE))</f>
        <v/>
      </c>
      <c r="J45" s="844"/>
      <c r="K45" s="838" t="str">
        <f>IF(VLOOKUP($A45,Publishing!$B$13:$AC$251,10,FALSE)="","",VLOOKUP($A45,Publishing!$B$13:$AC$251,10,FALSE))</f>
        <v/>
      </c>
      <c r="L45" s="839"/>
      <c r="M45" s="247" t="b">
        <f>VLOOKUP($A45,Publishing!$B$13:$AC$251,12,FALSE)</f>
        <v>0</v>
      </c>
      <c r="N45" s="850" t="s">
        <v>297</v>
      </c>
      <c r="O45" s="850"/>
      <c r="P45" s="850"/>
      <c r="Q45" s="850"/>
      <c r="R45" s="406"/>
      <c r="S45" s="894" t="s">
        <v>298</v>
      </c>
      <c r="T45" s="894"/>
      <c r="U45" s="895"/>
      <c r="V45" s="851"/>
      <c r="W45" s="248" t="s">
        <v>299</v>
      </c>
      <c r="X45" s="852"/>
      <c r="Y45" s="248" t="s">
        <v>300</v>
      </c>
      <c r="Z45" s="248"/>
      <c r="AA45" s="490"/>
      <c r="AB45" s="500"/>
      <c r="AC45" s="248" t="s">
        <v>301</v>
      </c>
      <c r="AD45" s="251"/>
      <c r="AE45" s="844"/>
      <c r="AF45" s="833" t="s">
        <v>302</v>
      </c>
      <c r="AG45" s="248"/>
      <c r="AH45" s="251"/>
    </row>
    <row r="46" spans="1:34" x14ac:dyDescent="0.35">
      <c r="A46" s="232">
        <f t="shared" ref="A46:A54" si="2">A45+1</f>
        <v>12</v>
      </c>
      <c r="B46" s="829"/>
      <c r="C46" s="295"/>
      <c r="D46" s="542"/>
      <c r="E46" s="847"/>
      <c r="F46" s="586"/>
      <c r="G46" s="840"/>
      <c r="H46" s="841"/>
      <c r="I46" s="840"/>
      <c r="J46" s="741"/>
      <c r="K46" s="840"/>
      <c r="L46" s="841"/>
      <c r="M46" s="64" t="b">
        <f>VLOOKUP($A46,Publishing!$B$13:$AC$251,12,FALSE)</f>
        <v>0</v>
      </c>
      <c r="N46" s="834" t="s">
        <v>303</v>
      </c>
      <c r="O46" s="834"/>
      <c r="P46" s="834"/>
      <c r="Q46" s="834"/>
      <c r="R46" s="436"/>
      <c r="S46" s="856" t="str">
        <f>IF(VLOOKUP($A47,Publishing!$B$13:$AC$251,16,FALSE)="","",VLOOKUP($A47,Publishing!$B$13:$AC$251,16,FALSE))</f>
        <v/>
      </c>
      <c r="T46" s="850"/>
      <c r="U46" s="857"/>
      <c r="V46" s="748"/>
      <c r="W46" s="487" t="str">
        <f>IF(VLOOKUP($A47,Publishing!$B$13:$AC$251,19,FALSE)="","",VLOOKUP($A47,Publishing!$B$13:$AC$251,19,FALSE))</f>
        <v/>
      </c>
      <c r="X46" s="853"/>
      <c r="Y46" s="899" t="str">
        <f>IF(VLOOKUP($A47,Publishing!$B$13:$AC$251,22,FALSE)="","",VLOOKUP($A47,Publishing!$B$13:$AC$251,22,FALSE))</f>
        <v/>
      </c>
      <c r="Z46" s="900"/>
      <c r="AA46" s="491"/>
      <c r="AB46" s="501"/>
      <c r="AC46" s="10" t="str">
        <f>IF(VLOOKUP($A47,Publishing!$B$13:$AC$251,25,FALSE)="","",VLOOKUP($A47,Publishing!$B$13:$AC$251,25,FALSE))</f>
        <v/>
      </c>
      <c r="AD46" s="502"/>
      <c r="AE46" s="741"/>
      <c r="AF46" s="536"/>
      <c r="AH46" s="257"/>
    </row>
    <row r="47" spans="1:34" ht="14.5" customHeight="1" x14ac:dyDescent="0.35">
      <c r="A47" s="232">
        <f t="shared" si="2"/>
        <v>13</v>
      </c>
      <c r="B47" s="829"/>
      <c r="C47" s="295"/>
      <c r="D47" s="542"/>
      <c r="E47" s="847"/>
      <c r="F47" s="586"/>
      <c r="G47" s="840"/>
      <c r="H47" s="841"/>
      <c r="I47" s="840"/>
      <c r="J47" s="741"/>
      <c r="K47" s="840"/>
      <c r="L47" s="841"/>
      <c r="M47" s="64" t="b">
        <f>VLOOKUP($A47,Publishing!$B$13:$AC$251,12,FALSE)</f>
        <v>0</v>
      </c>
      <c r="N47" s="834" t="s">
        <v>304</v>
      </c>
      <c r="O47" s="834"/>
      <c r="P47" s="834"/>
      <c r="Q47" s="834"/>
      <c r="R47" s="436"/>
      <c r="S47" s="858"/>
      <c r="T47" s="859"/>
      <c r="U47" s="860"/>
      <c r="X47" s="492"/>
      <c r="AA47" s="435"/>
      <c r="AB47" s="143"/>
      <c r="AD47" s="257"/>
      <c r="AF47" s="10" t="str">
        <f>IF(VLOOKUP($A47,Publishing!$B$13:$AC$251,28,FALSE)="","",VLOOKUP($A47,Publishing!$B$13:$AC$251,28,FALSE))</f>
        <v/>
      </c>
      <c r="AH47" s="257"/>
    </row>
    <row r="48" spans="1:34" ht="4" customHeight="1" x14ac:dyDescent="0.35">
      <c r="A48" s="232">
        <f t="shared" si="2"/>
        <v>14</v>
      </c>
      <c r="B48" s="829"/>
      <c r="C48" s="295"/>
      <c r="D48" s="542"/>
      <c r="E48" s="847"/>
      <c r="F48" s="586"/>
      <c r="G48" s="840"/>
      <c r="H48" s="841"/>
      <c r="I48" s="840"/>
      <c r="J48" s="741"/>
      <c r="K48" s="840"/>
      <c r="L48" s="841"/>
      <c r="N48" s="183"/>
      <c r="O48" s="183"/>
      <c r="P48" s="183"/>
      <c r="Q48" s="183"/>
      <c r="R48" s="436"/>
      <c r="U48" s="257"/>
      <c r="X48" s="492"/>
      <c r="Y48" s="3"/>
      <c r="Z48" s="3"/>
      <c r="AA48" s="435"/>
      <c r="AB48" s="143"/>
      <c r="AD48" s="257"/>
      <c r="AH48" s="257"/>
    </row>
    <row r="49" spans="1:37" x14ac:dyDescent="0.35">
      <c r="A49" s="232">
        <f t="shared" si="2"/>
        <v>15</v>
      </c>
      <c r="B49" s="829"/>
      <c r="C49" s="295"/>
      <c r="D49" s="542"/>
      <c r="E49" s="847"/>
      <c r="F49" s="586"/>
      <c r="G49" s="840"/>
      <c r="H49" s="841"/>
      <c r="I49" s="840"/>
      <c r="J49" s="741"/>
      <c r="K49" s="840"/>
      <c r="L49" s="841"/>
      <c r="M49" s="64" t="b">
        <f>VLOOKUP($A49,Publishing!$B$13:$AC$251,12,FALSE)</f>
        <v>0</v>
      </c>
      <c r="N49" s="917" t="s">
        <v>305</v>
      </c>
      <c r="O49" s="917"/>
      <c r="P49" s="917"/>
      <c r="Q49" s="917"/>
      <c r="R49" s="437"/>
      <c r="U49" s="416"/>
      <c r="V49" s="45" t="b">
        <f>VLOOKUP($A49,Publishing!$B$13:$AC$251,18,FALSE)</f>
        <v>0</v>
      </c>
      <c r="W49" s="44" t="s">
        <v>306</v>
      </c>
      <c r="X49" s="236" t="b">
        <f>VLOOKUP($A49,Publishing!$B$13:$AC$251,21,FALSE)</f>
        <v>0</v>
      </c>
      <c r="Y49" s="834" t="s">
        <v>307</v>
      </c>
      <c r="Z49" s="834"/>
      <c r="AA49" s="435"/>
      <c r="AB49" s="236" t="b">
        <f>VLOOKUP($A49,Publishing!$B$13:$AC$251,24,FALSE)</f>
        <v>0</v>
      </c>
      <c r="AC49" t="s">
        <v>306</v>
      </c>
      <c r="AD49" s="257"/>
      <c r="AH49" s="257"/>
    </row>
    <row r="50" spans="1:37" ht="4" customHeight="1" x14ac:dyDescent="0.35">
      <c r="A50" s="232">
        <f t="shared" si="2"/>
        <v>16</v>
      </c>
      <c r="B50" s="829"/>
      <c r="C50" s="295"/>
      <c r="D50" s="542"/>
      <c r="E50" s="847"/>
      <c r="F50" s="586"/>
      <c r="G50" s="840"/>
      <c r="H50" s="841"/>
      <c r="I50" s="840"/>
      <c r="J50" s="741"/>
      <c r="K50" s="840"/>
      <c r="L50" s="841"/>
      <c r="N50" s="230"/>
      <c r="O50" s="230"/>
      <c r="P50" s="230"/>
      <c r="Q50" s="230"/>
      <c r="R50" s="437"/>
      <c r="U50" s="416"/>
      <c r="V50" s="44"/>
      <c r="W50" s="44"/>
      <c r="X50" s="492"/>
      <c r="Y50" s="183"/>
      <c r="Z50" s="183"/>
      <c r="AA50" s="483"/>
      <c r="AB50" s="501"/>
      <c r="AD50" s="257"/>
      <c r="AH50" s="257"/>
    </row>
    <row r="51" spans="1:37" x14ac:dyDescent="0.35">
      <c r="A51" s="232">
        <f t="shared" si="2"/>
        <v>17</v>
      </c>
      <c r="B51" s="829"/>
      <c r="C51" s="295"/>
      <c r="D51" s="542"/>
      <c r="E51" s="847"/>
      <c r="F51" s="586"/>
      <c r="G51" s="840"/>
      <c r="H51" s="841"/>
      <c r="I51" s="840"/>
      <c r="J51" s="741"/>
      <c r="K51" s="840"/>
      <c r="L51" s="841"/>
      <c r="N51" s="666">
        <f>VLOOKUP($A52,Publishing!$B$13:$AC$251,13,FALSE)</f>
        <v>0</v>
      </c>
      <c r="O51" s="666"/>
      <c r="P51" s="666"/>
      <c r="R51" s="143"/>
      <c r="U51" s="257"/>
      <c r="V51" s="797" t="s">
        <v>309</v>
      </c>
      <c r="W51" s="797"/>
      <c r="X51" s="440" t="s">
        <v>310</v>
      </c>
      <c r="Y51" s="16"/>
      <c r="Z51" s="16"/>
      <c r="AA51" s="441"/>
      <c r="AB51" s="501"/>
      <c r="AD51" s="257"/>
      <c r="AH51" s="257"/>
    </row>
    <row r="52" spans="1:37" ht="14.5" customHeight="1" x14ac:dyDescent="0.35">
      <c r="A52" s="232">
        <f t="shared" si="2"/>
        <v>18</v>
      </c>
      <c r="B52" s="829"/>
      <c r="C52" s="295"/>
      <c r="D52" s="542"/>
      <c r="E52" s="847"/>
      <c r="F52" s="586"/>
      <c r="G52" s="840"/>
      <c r="H52" s="841"/>
      <c r="I52" s="840"/>
      <c r="J52" s="741"/>
      <c r="K52" s="840"/>
      <c r="L52" s="841"/>
      <c r="R52" s="143"/>
      <c r="U52" s="257"/>
      <c r="V52" s="45" t="b">
        <f>VLOOKUP($A52,Publishing!$B$13:$AC$251,18,FALSE)</f>
        <v>0</v>
      </c>
      <c r="W52" s="3" t="s">
        <v>311</v>
      </c>
      <c r="X52" s="143"/>
      <c r="Y52" t="s">
        <v>312</v>
      </c>
      <c r="AA52" s="257"/>
      <c r="AB52" s="143"/>
      <c r="AD52" s="257"/>
      <c r="AH52" s="257"/>
    </row>
    <row r="53" spans="1:37" x14ac:dyDescent="0.35">
      <c r="A53" s="232">
        <f t="shared" si="2"/>
        <v>19</v>
      </c>
      <c r="B53" s="829"/>
      <c r="C53" s="295"/>
      <c r="D53" s="542"/>
      <c r="E53" s="847"/>
      <c r="F53" s="586"/>
      <c r="G53" s="840"/>
      <c r="H53" s="841"/>
      <c r="I53" s="840"/>
      <c r="J53" s="741"/>
      <c r="K53" s="840"/>
      <c r="L53" s="841"/>
      <c r="N53" s="44"/>
      <c r="R53" s="143"/>
      <c r="U53" s="257"/>
      <c r="V53" s="854" t="str">
        <f>IF(VLOOKUP($A54,Publishing!$B$13:$AC$251,19,FALSE)="","",VLOOKUP($A54,Publishing!$B$13:$AC$251,19,FALSE))</f>
        <v/>
      </c>
      <c r="W53" s="854"/>
      <c r="X53" s="492"/>
      <c r="Y53" s="855" t="str">
        <f>IF(VLOOKUP($A54,Publishing!$B$13:$AC$251,22,FALSE)="","",VLOOKUP($A54,Publishing!$B$13:$AC$251,22,FALSE))</f>
        <v/>
      </c>
      <c r="Z53" s="855"/>
      <c r="AA53" s="434"/>
      <c r="AB53" s="503"/>
      <c r="AC53" s="73"/>
      <c r="AD53" s="434"/>
      <c r="AH53" s="257"/>
    </row>
    <row r="54" spans="1:37" x14ac:dyDescent="0.35">
      <c r="A54" s="232">
        <f t="shared" si="2"/>
        <v>20</v>
      </c>
      <c r="B54" s="829"/>
      <c r="C54" s="295"/>
      <c r="D54" s="542"/>
      <c r="E54" s="847"/>
      <c r="F54" s="586"/>
      <c r="G54" s="840"/>
      <c r="H54" s="841"/>
      <c r="I54" s="840"/>
      <c r="J54" s="741"/>
      <c r="K54" s="840"/>
      <c r="L54" s="841"/>
      <c r="N54" s="44"/>
      <c r="R54" s="143"/>
      <c r="U54" s="257"/>
      <c r="V54" s="854"/>
      <c r="W54" s="854"/>
      <c r="X54" s="492"/>
      <c r="Y54" s="855"/>
      <c r="Z54" s="855"/>
      <c r="AA54" s="434"/>
      <c r="AB54" s="503"/>
      <c r="AC54" s="73"/>
      <c r="AD54" s="434"/>
      <c r="AH54" s="257"/>
    </row>
    <row r="55" spans="1:37" x14ac:dyDescent="0.35">
      <c r="B55" s="830"/>
      <c r="C55" s="295"/>
      <c r="D55" s="811"/>
      <c r="E55" s="848"/>
      <c r="F55" s="849"/>
      <c r="G55" s="842"/>
      <c r="H55" s="843"/>
      <c r="I55" s="842"/>
      <c r="J55" s="845"/>
      <c r="K55" s="842"/>
      <c r="L55" s="843"/>
      <c r="M55" s="253"/>
      <c r="N55" s="253"/>
      <c r="O55" s="253"/>
      <c r="P55" s="253"/>
      <c r="Q55" s="253"/>
      <c r="R55" s="243"/>
      <c r="S55" s="253"/>
      <c r="T55" s="253"/>
      <c r="U55" s="255"/>
      <c r="V55" s="253"/>
      <c r="W55" s="489"/>
      <c r="X55" s="493"/>
      <c r="Y55" s="494"/>
      <c r="Z55" s="494"/>
      <c r="AA55" s="418"/>
      <c r="AB55" s="417"/>
      <c r="AC55" s="258"/>
      <c r="AD55" s="418"/>
      <c r="AE55" s="253"/>
      <c r="AF55" s="253"/>
      <c r="AG55" s="253"/>
      <c r="AH55" s="255"/>
    </row>
    <row r="56" spans="1:37" ht="7.5" customHeight="1" x14ac:dyDescent="0.35">
      <c r="C56" s="296"/>
    </row>
    <row r="57" spans="1:37" ht="18.5" x14ac:dyDescent="0.45">
      <c r="C57" s="296"/>
      <c r="D57" s="234" t="str">
        <f>'Service-side Auto-Labeling'!C1</f>
        <v>Service-Side Auto-Labeling Policies</v>
      </c>
    </row>
    <row r="58" spans="1:37" s="2" customFormat="1" ht="55" customHeight="1" x14ac:dyDescent="0.45">
      <c r="A58" s="232">
        <f>VLOOKUP(B60,'Service-side Auto-Labeling'!$A$11:$AE$109,2,FALSE)</f>
        <v>10</v>
      </c>
      <c r="B58" s="461"/>
      <c r="C58" s="295"/>
      <c r="D58" s="245" t="str">
        <f>'Service-side Auto-Labeling'!C2</f>
        <v>Name</v>
      </c>
      <c r="E58" s="934" t="str">
        <f>'Service-side Auto-Labeling'!E2</f>
        <v>Policy Mode</v>
      </c>
      <c r="F58" s="892"/>
      <c r="G58" s="892" t="str">
        <f>'Service-side Auto-Labeling'!G2</f>
        <v>Description</v>
      </c>
      <c r="H58" s="892"/>
      <c r="I58" s="892" t="str">
        <f>'Service-side Auto-Labeling'!I2</f>
        <v>Label to auto-apply:</v>
      </c>
      <c r="J58" s="892"/>
      <c r="K58" s="892" t="str">
        <f>'Service-side Auto-Labeling'!K2</f>
        <v>Assign admin units:</v>
      </c>
      <c r="L58" s="892"/>
      <c r="M58" s="893" t="str">
        <f>'Service-side Auto-Labeling'!M2</f>
        <v>Locations where you want to apply the label:</v>
      </c>
      <c r="N58" s="893"/>
      <c r="O58" s="893"/>
      <c r="P58" s="246" t="str">
        <f>'Service-side Auto-Labeling'!P2</f>
        <v>Scope:</v>
      </c>
      <c r="Q58" s="912" t="str">
        <f>'Service-side Auto-Labeling'!R2</f>
        <v>Common or Advanced Rules:</v>
      </c>
      <c r="R58" s="913"/>
      <c r="S58" s="913"/>
      <c r="T58" s="914"/>
      <c r="U58" s="891" t="str">
        <f>'Service-side Auto-Labeling'!T2</f>
        <v>Common Rules:</v>
      </c>
      <c r="V58" s="891"/>
      <c r="W58" s="892" t="str">
        <f>'Service-side Auto-Labeling'!V2</f>
        <v>Rules for Exchange email:</v>
      </c>
      <c r="X58" s="892"/>
      <c r="Y58" s="893" t="str">
        <f>'Service-side Auto-Labeling'!X2</f>
        <v>Rules for SharePoint files:</v>
      </c>
      <c r="Z58" s="893"/>
      <c r="AA58" s="893"/>
      <c r="AB58" s="896" t="str">
        <f>'Service-side Auto-Labeling'!Z2</f>
        <v>Rules for OneDrive files:</v>
      </c>
      <c r="AC58" s="897"/>
      <c r="AD58" s="898"/>
      <c r="AE58" s="896" t="str">
        <f>'Service-side Auto-Labeling'!AB2</f>
        <v>Additional settings for email:</v>
      </c>
      <c r="AF58" s="897"/>
      <c r="AG58" s="897"/>
      <c r="AH58" s="897"/>
      <c r="AI58" s="897"/>
      <c r="AJ58" s="897"/>
      <c r="AK58" s="898"/>
    </row>
    <row r="59" spans="1:37" s="2" customFormat="1" ht="29.15" hidden="1" customHeight="1" x14ac:dyDescent="0.45">
      <c r="A59" s="232"/>
      <c r="B59" s="461"/>
      <c r="C59" s="296"/>
      <c r="D59" s="478"/>
      <c r="E59" s="246"/>
      <c r="F59" s="246"/>
      <c r="G59" s="246"/>
      <c r="H59" s="246"/>
      <c r="I59" s="246"/>
      <c r="J59" s="246"/>
      <c r="K59" s="246"/>
      <c r="L59" s="246"/>
      <c r="M59" s="279"/>
      <c r="N59" s="279"/>
      <c r="O59" s="279"/>
      <c r="P59" s="273"/>
      <c r="Q59" s="270"/>
      <c r="R59" s="279"/>
      <c r="S59" s="279"/>
      <c r="T59" s="279"/>
      <c r="U59" s="276"/>
      <c r="V59" s="269"/>
      <c r="W59" s="273"/>
      <c r="X59" s="273"/>
      <c r="Y59" s="280"/>
      <c r="Z59" s="280"/>
      <c r="AA59" s="280"/>
      <c r="AB59" s="276"/>
      <c r="AC59" s="269"/>
      <c r="AD59" s="269"/>
      <c r="AE59" s="245"/>
      <c r="AF59" s="273"/>
      <c r="AG59" s="273"/>
      <c r="AH59" s="273"/>
      <c r="AI59" s="273"/>
      <c r="AJ59" s="273"/>
      <c r="AK59" s="281"/>
    </row>
    <row r="60" spans="1:37" ht="39" customHeight="1" x14ac:dyDescent="0.35">
      <c r="A60" s="232">
        <f>A58+1</f>
        <v>11</v>
      </c>
      <c r="B60" s="929">
        <f>L1</f>
        <v>1</v>
      </c>
      <c r="C60" s="295"/>
      <c r="D60" s="538" t="str">
        <f>IF(VLOOKUP(A60,'Service-side Auto-Labeling'!$B$12:$AE$110,2,FALSE)="","",VLOOKUP(A60,'Service-side Auto-Labeling'!$B$12:$AE$110,2,FALSE))</f>
        <v/>
      </c>
      <c r="E60" s="826" t="str">
        <f>IF(VLOOKUP(A60,'Service-side Auto-Labeling'!$B$12:$AE$110,4,FALSE)="","",VLOOKUP(A60,'Service-side Auto-Labeling'!$B$12:$AE$110,4,FALSE))</f>
        <v/>
      </c>
      <c r="F60" s="538"/>
      <c r="G60" s="538" t="str">
        <f>IF(VLOOKUP($A60,'Service-side Auto-Labeling'!$B$12:$AE$110,6,FALSE)="","",VLOOKUP($A60,'Service-side Auto-Labeling'!$B$12:$AE$110,6,FALSE))</f>
        <v/>
      </c>
      <c r="H60" s="538"/>
      <c r="I60" s="538" t="str">
        <f>IF(VLOOKUP($A60,'Service-side Auto-Labeling'!$B$12:$AE$110,8,FALSE)="","",VLOOKUP($A60,'Service-side Auto-Labeling'!$B$12:$AE$110,8,FALSE))</f>
        <v/>
      </c>
      <c r="J60" s="538"/>
      <c r="K60" s="538" t="str">
        <f>IF(VLOOKUP($A60,'Service-side Auto-Labeling'!$B$12:$AE$110,10,FALSE)="","",VLOOKUP($A60,'Service-side Auto-Labeling'!$B$12:$AE$110,10,FALSE))</f>
        <v/>
      </c>
      <c r="L60" s="538"/>
      <c r="M60" s="275" t="b">
        <f>VLOOKUP($A60,'Service-side Auto-Labeling'!$B$12:$AE$110,12,FALSE)</f>
        <v>0</v>
      </c>
      <c r="N60" s="927" t="s">
        <v>341</v>
      </c>
      <c r="O60" s="927"/>
      <c r="P60" s="438" t="s">
        <v>348</v>
      </c>
      <c r="Q60" s="915" t="str">
        <f>IF(VLOOKUP($A60,'Service-side Auto-Labeling'!$B$12:$AE$110,17,FALSE)="","",VLOOKUP($A60,'Service-side Auto-Labeling'!$B$12:$AE$110,17,FALSE))</f>
        <v/>
      </c>
      <c r="R60" s="846"/>
      <c r="S60" s="846"/>
      <c r="T60" s="602"/>
      <c r="U60" s="901" t="str">
        <f>IF(VLOOKUP($A60,'Service-side Auto-Labeling'!$B$12:$AE$110,19,FALSE)="","",VLOOKUP($A60,'Service-side Auto-Labeling'!$B$12:$AE$110,19,FALSE))</f>
        <v/>
      </c>
      <c r="V60" s="902"/>
      <c r="W60" s="901" t="str">
        <f>IF(VLOOKUP($A60,'Service-side Auto-Labeling'!$B$12:$AE$110,21,FALSE)="","",VLOOKUP($A60,'Service-side Auto-Labeling'!$B$12:$AE$110,21,FALSE))</f>
        <v/>
      </c>
      <c r="X60" s="902"/>
      <c r="Y60" s="907" t="str">
        <f>IF(VLOOKUP($A60,'Service-side Auto-Labeling'!$B$12:$AE$110,23,FALSE)="","",VLOOKUP($A60,'Service-side Auto-Labeling'!$B$12:$AE$110,23,FALSE))</f>
        <v/>
      </c>
      <c r="Z60" s="908"/>
      <c r="AA60" s="908"/>
      <c r="AB60" s="918" t="str">
        <f>IF(VLOOKUP($A60,'Service-side Auto-Labeling'!$B$12:$AE$110,25,FALSE)="","",VLOOKUP($A60,'Service-side Auto-Labeling'!$B$12:$AE$110,25,FALSE))</f>
        <v/>
      </c>
      <c r="AC60" s="919"/>
      <c r="AD60" s="920"/>
      <c r="AE60" s="277" t="b">
        <f>VLOOKUP($A60,'Service-side Auto-Labeling'!$B$12:$AE$110,27,FALSE)</f>
        <v>0</v>
      </c>
      <c r="AF60" s="249" t="s">
        <v>343</v>
      </c>
      <c r="AG60" s="250"/>
      <c r="AH60" s="248"/>
      <c r="AI60" s="248"/>
      <c r="AJ60" s="248"/>
      <c r="AK60" s="251"/>
    </row>
    <row r="61" spans="1:37" ht="32.15" customHeight="1" x14ac:dyDescent="0.35">
      <c r="A61" s="232">
        <f>A60+1</f>
        <v>12</v>
      </c>
      <c r="B61" s="930"/>
      <c r="C61" s="295"/>
      <c r="D61" s="538"/>
      <c r="E61" s="826"/>
      <c r="F61" s="538"/>
      <c r="G61" s="538"/>
      <c r="H61" s="538"/>
      <c r="I61" s="538"/>
      <c r="J61" s="538"/>
      <c r="K61" s="538"/>
      <c r="L61" s="538"/>
      <c r="M61" s="115" t="b">
        <f>VLOOKUP($A61,'Service-side Auto-Labeling'!$B$12:$AE$110,12,FALSE)</f>
        <v>0</v>
      </c>
      <c r="N61" s="928" t="s">
        <v>344</v>
      </c>
      <c r="O61" s="928"/>
      <c r="P61" s="114" t="s">
        <v>373</v>
      </c>
      <c r="Q61" s="767"/>
      <c r="R61" s="847"/>
      <c r="S61" s="847"/>
      <c r="T61" s="586"/>
      <c r="U61" s="903"/>
      <c r="V61" s="904"/>
      <c r="W61" s="903"/>
      <c r="X61" s="904"/>
      <c r="Y61" s="909"/>
      <c r="Z61" s="588"/>
      <c r="AA61" s="588"/>
      <c r="AB61" s="921"/>
      <c r="AC61" s="922"/>
      <c r="AD61" s="923"/>
      <c r="AE61" s="278" t="b">
        <f>VLOOKUP($A61,'Service-side Auto-Labeling'!$B$12:$AE$110,27,FALSE)</f>
        <v>0</v>
      </c>
      <c r="AF61" s="9" t="s">
        <v>346</v>
      </c>
      <c r="AG61" s="881" t="str">
        <f>IF(VLOOKUP($A61,'Service-side Auto-Labeling'!$B$12:$AE$110,29,FALSE)="","",VLOOKUP($A61,'Service-side Auto-Labeling'!$B$12:$AE$110,29,FALSE))</f>
        <v/>
      </c>
      <c r="AH61" s="881"/>
      <c r="AI61" s="881"/>
      <c r="AJ61" s="881"/>
      <c r="AK61" s="252"/>
    </row>
    <row r="62" spans="1:37" x14ac:dyDescent="0.35">
      <c r="A62" s="232">
        <f>A61+1</f>
        <v>13</v>
      </c>
      <c r="B62" s="931"/>
      <c r="C62" s="295"/>
      <c r="D62" s="538"/>
      <c r="E62" s="826"/>
      <c r="F62" s="538"/>
      <c r="G62" s="538"/>
      <c r="H62" s="538"/>
      <c r="I62" s="538"/>
      <c r="J62" s="538"/>
      <c r="K62" s="538"/>
      <c r="L62" s="538"/>
      <c r="M62" s="439" t="b">
        <f>VLOOKUP($A60,'Service-side Auto-Labeling'!$B$12:$AE$110,12,FALSE)</f>
        <v>0</v>
      </c>
      <c r="N62" s="405" t="s">
        <v>347</v>
      </c>
      <c r="O62" s="405"/>
      <c r="P62" s="405" t="s">
        <v>348</v>
      </c>
      <c r="Q62" s="916"/>
      <c r="R62" s="848"/>
      <c r="S62" s="848"/>
      <c r="T62" s="849"/>
      <c r="U62" s="905"/>
      <c r="V62" s="906"/>
      <c r="W62" s="905"/>
      <c r="X62" s="906"/>
      <c r="Y62" s="910"/>
      <c r="Z62" s="911"/>
      <c r="AA62" s="911"/>
      <c r="AB62" s="924"/>
      <c r="AC62" s="925"/>
      <c r="AD62" s="926"/>
      <c r="AE62" s="243"/>
      <c r="AF62" s="253"/>
      <c r="AG62" s="254"/>
      <c r="AH62" s="253"/>
      <c r="AI62" s="253"/>
      <c r="AJ62" s="253"/>
      <c r="AK62" s="255"/>
    </row>
    <row r="63" spans="1:37" x14ac:dyDescent="0.35">
      <c r="C63" s="296"/>
    </row>
    <row r="64" spans="1:37" ht="18.5" x14ac:dyDescent="0.45">
      <c r="C64" s="296"/>
      <c r="D64" s="234" t="str">
        <f>'Data Loss Prevention (DLP)'!A1</f>
        <v>Data Loss Prevention (DLP)</v>
      </c>
    </row>
    <row r="65" spans="1:12" x14ac:dyDescent="0.35">
      <c r="C65" s="295"/>
      <c r="D65" s="479" t="str">
        <f>'Data Loss Prevention (DLP)'!C3</f>
        <v>Name:</v>
      </c>
      <c r="E65" s="932" t="str">
        <f>'Data Loss Prevention (DLP)'!E3</f>
        <v>Policy mode:</v>
      </c>
      <c r="F65" s="933"/>
      <c r="G65" s="933" t="str">
        <f>'Data Loss Prevention (DLP)'!G3</f>
        <v>Assign admin units:</v>
      </c>
      <c r="H65" s="933"/>
      <c r="I65" s="933" t="str">
        <f>'Data Loss Prevention (DLP)'!I3</f>
        <v>Locations:</v>
      </c>
      <c r="J65" s="933"/>
      <c r="K65" s="933" t="str">
        <f>'Data Loss Prevention (DLP)'!K3</f>
        <v>Data Loss Prevention (DLP) rules:</v>
      </c>
      <c r="L65" s="933"/>
    </row>
    <row r="66" spans="1:12" x14ac:dyDescent="0.35">
      <c r="A66" s="232">
        <f>VLOOKUP(B66,'Data Loss Prevention (DLP)'!$A$12:$K$130,2,FALSE)</f>
        <v>11</v>
      </c>
      <c r="B66" s="929">
        <f>N1</f>
        <v>1</v>
      </c>
      <c r="C66" s="295"/>
      <c r="D66" s="811" t="str">
        <f>IF(VLOOKUP(A66,'Data Loss Prevention (DLP)'!$B$12:$K$130,2,FALSE)="","",VLOOKUP(A66,'Data Loss Prevention (DLP)'!$B$12:$K$130,2,FALSE))</f>
        <v/>
      </c>
      <c r="E66" s="846" t="str">
        <f>IF(VLOOKUP(A66,'Data Loss Prevention (DLP)'!$B$12:$K$130,4,FALSE)="","",VLOOKUP(A66,'Data Loss Prevention (DLP)'!$B$12:$K$130,4,FALSE))</f>
        <v/>
      </c>
      <c r="F66" s="602"/>
      <c r="G66" s="538" t="str">
        <f>IF(VLOOKUP(A66,'Data Loss Prevention (DLP)'!$B$12:$K$130,6,FALSE)="","",VLOOKUP(A66,'Data Loss Prevention (DLP)'!$B$12:$K$130,6,FALSE))</f>
        <v/>
      </c>
      <c r="H66" s="538"/>
      <c r="I66" s="538" t="str">
        <f>IF(VLOOKUP(A66,'Data Loss Prevention (DLP)'!$B$12:$K$130,8,FALSE)="","",VLOOKUP(A66,'Data Loss Prevention (DLP)'!$B$12:$K$130,8,FALSE))</f>
        <v/>
      </c>
      <c r="J66" s="538"/>
      <c r="K66" s="538" t="str">
        <f>IF(VLOOKUP(A66,'Data Loss Prevention (DLP)'!$B$12:$K$130,10,FALSE)="","",VLOOKUP(A66,'Data Loss Prevention (DLP)'!$B$12:$K$130,10,FALSE))</f>
        <v/>
      </c>
      <c r="L66" s="538"/>
    </row>
    <row r="67" spans="1:12" x14ac:dyDescent="0.35">
      <c r="A67" s="232">
        <f>A66+1</f>
        <v>12</v>
      </c>
      <c r="B67" s="930"/>
      <c r="C67" s="295"/>
      <c r="D67" s="538"/>
      <c r="E67" s="847"/>
      <c r="F67" s="586"/>
      <c r="G67" s="538"/>
      <c r="H67" s="538"/>
      <c r="I67" s="538"/>
      <c r="J67" s="538"/>
      <c r="K67" s="538"/>
      <c r="L67" s="538"/>
    </row>
    <row r="68" spans="1:12" x14ac:dyDescent="0.35">
      <c r="A68" s="232">
        <f>A67+1</f>
        <v>13</v>
      </c>
      <c r="B68" s="930"/>
      <c r="C68" s="295"/>
      <c r="D68" s="538"/>
      <c r="E68" s="847"/>
      <c r="F68" s="586"/>
      <c r="G68" s="538"/>
      <c r="H68" s="538"/>
      <c r="I68" s="538"/>
      <c r="J68" s="538"/>
      <c r="K68" s="538"/>
      <c r="L68" s="538"/>
    </row>
    <row r="69" spans="1:12" x14ac:dyDescent="0.35">
      <c r="A69" s="232">
        <f>A68+1</f>
        <v>14</v>
      </c>
      <c r="B69" s="930"/>
      <c r="C69" s="295"/>
      <c r="D69" s="803"/>
      <c r="E69" s="847"/>
      <c r="F69" s="586"/>
      <c r="G69" s="538"/>
      <c r="H69" s="538"/>
      <c r="I69" s="538"/>
      <c r="J69" s="538"/>
      <c r="K69" s="538"/>
      <c r="L69" s="538"/>
    </row>
    <row r="70" spans="1:12" ht="32.5" customHeight="1" x14ac:dyDescent="0.35">
      <c r="A70" s="232">
        <f>A69+1</f>
        <v>15</v>
      </c>
      <c r="B70" s="931"/>
      <c r="C70" s="476"/>
      <c r="D70" s="538"/>
      <c r="E70" s="848"/>
      <c r="F70" s="849"/>
      <c r="G70" s="538"/>
      <c r="H70" s="538"/>
      <c r="I70" s="538"/>
      <c r="J70" s="538"/>
      <c r="K70" s="538"/>
      <c r="L70" s="538"/>
    </row>
    <row r="71" spans="1:12" x14ac:dyDescent="0.35">
      <c r="B71" s="125"/>
      <c r="C71"/>
    </row>
    <row r="72" spans="1:12" x14ac:dyDescent="0.35">
      <c r="B72" s="125"/>
      <c r="C72"/>
    </row>
    <row r="73" spans="1:12" x14ac:dyDescent="0.35">
      <c r="B73" s="125"/>
      <c r="C73"/>
    </row>
  </sheetData>
  <sheetProtection sheet="1" objects="1" scenarios="1" selectLockedCells="1"/>
  <mergeCells count="164">
    <mergeCell ref="AB30:AD30"/>
    <mergeCell ref="R8:U8"/>
    <mergeCell ref="R9:U15"/>
    <mergeCell ref="X9:Y15"/>
    <mergeCell ref="X8:Y8"/>
    <mergeCell ref="X18:Z18"/>
    <mergeCell ref="AB23:AC23"/>
    <mergeCell ref="V8:W8"/>
    <mergeCell ref="AA18:AG18"/>
    <mergeCell ref="Z30:AA30"/>
    <mergeCell ref="AE30:AG30"/>
    <mergeCell ref="V19:W19"/>
    <mergeCell ref="Z23:Z24"/>
    <mergeCell ref="V18:W18"/>
    <mergeCell ref="V9:W15"/>
    <mergeCell ref="R18:U18"/>
    <mergeCell ref="V30:Y30"/>
    <mergeCell ref="S22:T22"/>
    <mergeCell ref="W21:W22"/>
    <mergeCell ref="V21:V22"/>
    <mergeCell ref="R19:U19"/>
    <mergeCell ref="W26:W27"/>
    <mergeCell ref="S26:U27"/>
    <mergeCell ref="S20:U21"/>
    <mergeCell ref="K18:N18"/>
    <mergeCell ref="M22:N22"/>
    <mergeCell ref="M23:N23"/>
    <mergeCell ref="K30:M30"/>
    <mergeCell ref="N30:P30"/>
    <mergeCell ref="D3:F4"/>
    <mergeCell ref="N5:O5"/>
    <mergeCell ref="N6:O6"/>
    <mergeCell ref="I31:J31"/>
    <mergeCell ref="K9:Q9"/>
    <mergeCell ref="K11:Q11"/>
    <mergeCell ref="K13:Q13"/>
    <mergeCell ref="G8:H8"/>
    <mergeCell ref="G9:H15"/>
    <mergeCell ref="G18:H18"/>
    <mergeCell ref="Q30:U30"/>
    <mergeCell ref="S23:U24"/>
    <mergeCell ref="S25:T25"/>
    <mergeCell ref="K15:Q15"/>
    <mergeCell ref="O18:Q18"/>
    <mergeCell ref="N2:O2"/>
    <mergeCell ref="F1:G2"/>
    <mergeCell ref="I8:Q8"/>
    <mergeCell ref="E8:F8"/>
    <mergeCell ref="D6:F6"/>
    <mergeCell ref="N1:O1"/>
    <mergeCell ref="C3:C4"/>
    <mergeCell ref="D5:F5"/>
    <mergeCell ref="H3:H4"/>
    <mergeCell ref="J3:J4"/>
    <mergeCell ref="L3:L4"/>
    <mergeCell ref="N3:O4"/>
    <mergeCell ref="C5:C6"/>
    <mergeCell ref="B9:B15"/>
    <mergeCell ref="D9:D15"/>
    <mergeCell ref="H21:H22"/>
    <mergeCell ref="F23:F24"/>
    <mergeCell ref="G44:H44"/>
    <mergeCell ref="J22:J24"/>
    <mergeCell ref="E9:F15"/>
    <mergeCell ref="H38:H40"/>
    <mergeCell ref="B36:B41"/>
    <mergeCell ref="E31:F31"/>
    <mergeCell ref="E30:H30"/>
    <mergeCell ref="I30:J30"/>
    <mergeCell ref="D19:D28"/>
    <mergeCell ref="B19:B28"/>
    <mergeCell ref="G35:H35"/>
    <mergeCell ref="E18:F18"/>
    <mergeCell ref="G19:H19"/>
    <mergeCell ref="I19:J19"/>
    <mergeCell ref="I18:J18"/>
    <mergeCell ref="E35:F35"/>
    <mergeCell ref="I60:J62"/>
    <mergeCell ref="K58:L58"/>
    <mergeCell ref="K60:L62"/>
    <mergeCell ref="N60:O60"/>
    <mergeCell ref="N61:O61"/>
    <mergeCell ref="M58:O58"/>
    <mergeCell ref="B66:B70"/>
    <mergeCell ref="E65:F65"/>
    <mergeCell ref="G65:H65"/>
    <mergeCell ref="G66:H70"/>
    <mergeCell ref="K65:L65"/>
    <mergeCell ref="I65:J65"/>
    <mergeCell ref="I66:J70"/>
    <mergeCell ref="K66:L70"/>
    <mergeCell ref="D66:D70"/>
    <mergeCell ref="G60:H62"/>
    <mergeCell ref="E60:F62"/>
    <mergeCell ref="B60:B62"/>
    <mergeCell ref="D60:D62"/>
    <mergeCell ref="E58:F58"/>
    <mergeCell ref="G58:H58"/>
    <mergeCell ref="E66:F70"/>
    <mergeCell ref="I58:J58"/>
    <mergeCell ref="U58:V58"/>
    <mergeCell ref="AG61:AJ61"/>
    <mergeCell ref="W58:X58"/>
    <mergeCell ref="Y58:AA58"/>
    <mergeCell ref="S45:U45"/>
    <mergeCell ref="AE58:AK58"/>
    <mergeCell ref="Y46:Z46"/>
    <mergeCell ref="U60:V62"/>
    <mergeCell ref="W60:X62"/>
    <mergeCell ref="Y60:AA62"/>
    <mergeCell ref="Q58:T58"/>
    <mergeCell ref="Q60:T62"/>
    <mergeCell ref="N49:Q49"/>
    <mergeCell ref="N46:Q46"/>
    <mergeCell ref="AB58:AD58"/>
    <mergeCell ref="AB60:AD62"/>
    <mergeCell ref="Z31:AA31"/>
    <mergeCell ref="V31:W31"/>
    <mergeCell ref="AE44:AH44"/>
    <mergeCell ref="X44:AA44"/>
    <mergeCell ref="V44:W44"/>
    <mergeCell ref="D36:D41"/>
    <mergeCell ref="M36:Q36"/>
    <mergeCell ref="N38:P38"/>
    <mergeCell ref="N40:P40"/>
    <mergeCell ref="R44:U44"/>
    <mergeCell ref="K31:M31"/>
    <mergeCell ref="R36:U36"/>
    <mergeCell ref="S37:U37"/>
    <mergeCell ref="M35:Q35"/>
    <mergeCell ref="N37:Q37"/>
    <mergeCell ref="N31:P31"/>
    <mergeCell ref="X31:Y31"/>
    <mergeCell ref="AE31:AG31"/>
    <mergeCell ref="E44:F44"/>
    <mergeCell ref="Q31:U31"/>
    <mergeCell ref="R35:U35"/>
    <mergeCell ref="AB31:AD31"/>
    <mergeCell ref="G36:H36"/>
    <mergeCell ref="I37:I38"/>
    <mergeCell ref="B45:B55"/>
    <mergeCell ref="D45:D55"/>
    <mergeCell ref="N51:P51"/>
    <mergeCell ref="I35:K35"/>
    <mergeCell ref="AF45:AF46"/>
    <mergeCell ref="N47:Q47"/>
    <mergeCell ref="I44:J44"/>
    <mergeCell ref="K44:L44"/>
    <mergeCell ref="M44:Q44"/>
    <mergeCell ref="G45:H55"/>
    <mergeCell ref="I45:J55"/>
    <mergeCell ref="K45:L55"/>
    <mergeCell ref="E45:F55"/>
    <mergeCell ref="N45:Q45"/>
    <mergeCell ref="AE45:AE46"/>
    <mergeCell ref="V51:W51"/>
    <mergeCell ref="V45:V46"/>
    <mergeCell ref="X45:X46"/>
    <mergeCell ref="V53:W54"/>
    <mergeCell ref="Y53:Z54"/>
    <mergeCell ref="S46:U47"/>
    <mergeCell ref="Y49:Z49"/>
    <mergeCell ref="AB44:AD44"/>
    <mergeCell ref="J37:J38"/>
  </mergeCells>
  <conditionalFormatting sqref="D19">
    <cfRule type="cellIs" dxfId="178" priority="342" operator="equal">
      <formula>"Please fill out Sensitivity Labels Tab"</formula>
    </cfRule>
  </conditionalFormatting>
  <conditionalFormatting sqref="D31:D33">
    <cfRule type="cellIs" dxfId="177" priority="317" operator="equal">
      <formula>"Please fill out Sensitivity Labels Tab"</formula>
    </cfRule>
  </conditionalFormatting>
  <conditionalFormatting sqref="D36">
    <cfRule type="cellIs" dxfId="176" priority="280" operator="equal">
      <formula>"Please fill out Sensitivity Labels Tab"</formula>
    </cfRule>
  </conditionalFormatting>
  <conditionalFormatting sqref="D51:N51 Q51:W51 AB51:AH51 D52:U52 AA53:AH55 D55:V55 X55">
    <cfRule type="cellIs" dxfId="175" priority="231" operator="equal">
      <formula>0</formula>
    </cfRule>
  </conditionalFormatting>
  <conditionalFormatting sqref="D9:Y15">
    <cfRule type="cellIs" dxfId="174" priority="265" operator="equal">
      <formula>0</formula>
    </cfRule>
  </conditionalFormatting>
  <conditionalFormatting sqref="E36:U41">
    <cfRule type="expression" dxfId="173" priority="36">
      <formula>$I$15=FALSE</formula>
    </cfRule>
  </conditionalFormatting>
  <conditionalFormatting sqref="E31:AB31 AE31:AG31">
    <cfRule type="expression" dxfId="171" priority="45" stopIfTrue="1">
      <formula>$I$13=FALSE</formula>
    </cfRule>
  </conditionalFormatting>
  <conditionalFormatting sqref="E19:AG28">
    <cfRule type="expression" dxfId="169" priority="1">
      <formula>AND($I$9=FALSE,$I$11=FALSE)</formula>
    </cfRule>
  </conditionalFormatting>
  <conditionalFormatting sqref="G21">
    <cfRule type="expression" dxfId="168" priority="184">
      <formula>$G$23=TRUE</formula>
    </cfRule>
    <cfRule type="expression" dxfId="167" priority="53">
      <formula>$E$21=FALSE</formula>
    </cfRule>
  </conditionalFormatting>
  <conditionalFormatting sqref="G23">
    <cfRule type="expression" dxfId="166" priority="49">
      <formula>$G$21=TRUE</formula>
    </cfRule>
    <cfRule type="expression" dxfId="165" priority="52">
      <formula>$E$21=FALSE</formula>
    </cfRule>
  </conditionalFormatting>
  <conditionalFormatting sqref="G38">
    <cfRule type="expression" dxfId="163" priority="295">
      <formula>E36=TRUE</formula>
    </cfRule>
  </conditionalFormatting>
  <conditionalFormatting sqref="G21:H21 G23:H23 H22">
    <cfRule type="expression" dxfId="162" priority="171">
      <formula>$E$21=FALSE</formula>
    </cfRule>
  </conditionalFormatting>
  <conditionalFormatting sqref="G23:H23">
    <cfRule type="expression" dxfId="161" priority="183">
      <formula>$G$21=TRUE</formula>
    </cfRule>
  </conditionalFormatting>
  <conditionalFormatting sqref="G36:H36">
    <cfRule type="cellIs" dxfId="159" priority="34" operator="equal">
      <formula>0</formula>
    </cfRule>
    <cfRule type="expression" dxfId="158" priority="298">
      <formula>E36=TRUE</formula>
    </cfRule>
  </conditionalFormatting>
  <conditionalFormatting sqref="H21:H22">
    <cfRule type="expression" dxfId="157" priority="80">
      <formula>$G$23=TRUE</formula>
    </cfRule>
  </conditionalFormatting>
  <conditionalFormatting sqref="H23">
    <cfRule type="expression" dxfId="156" priority="50">
      <formula>$G$21=TRUE</formula>
    </cfRule>
  </conditionalFormatting>
  <conditionalFormatting sqref="H38">
    <cfRule type="expression" dxfId="154" priority="296">
      <formula>E36=TRUE</formula>
    </cfRule>
  </conditionalFormatting>
  <conditionalFormatting sqref="I13">
    <cfRule type="expression" dxfId="153" priority="427">
      <formula>AND($I11=TRUE,I9=TRUE)</formula>
    </cfRule>
  </conditionalFormatting>
  <conditionalFormatting sqref="I20:I23">
    <cfRule type="expression" dxfId="152" priority="51">
      <formula>$E$21=FALSE</formula>
    </cfRule>
  </conditionalFormatting>
  <conditionalFormatting sqref="I21">
    <cfRule type="expression" dxfId="151" priority="348">
      <formula>G23=TRUE</formula>
    </cfRule>
    <cfRule type="expression" dxfId="150" priority="181">
      <formula>$I$22=TRUE</formula>
    </cfRule>
  </conditionalFormatting>
  <conditionalFormatting sqref="I22">
    <cfRule type="expression" dxfId="149" priority="349">
      <formula>G23=TRUE</formula>
    </cfRule>
    <cfRule type="expression" dxfId="148" priority="82">
      <formula>$I$21=TRUE</formula>
    </cfRule>
  </conditionalFormatting>
  <conditionalFormatting sqref="I36">
    <cfRule type="expression" dxfId="147" priority="294">
      <formula>E37=TRUE</formula>
    </cfRule>
  </conditionalFormatting>
  <conditionalFormatting sqref="I37:I38">
    <cfRule type="expression" dxfId="146" priority="291">
      <formula>E37=TRUE</formula>
    </cfRule>
  </conditionalFormatting>
  <conditionalFormatting sqref="I60">
    <cfRule type="cellIs" dxfId="145" priority="219" operator="equal">
      <formula>"Please fill out Sensitivity Labels Tab"</formula>
    </cfRule>
  </conditionalFormatting>
  <conditionalFormatting sqref="I19:J20">
    <cfRule type="expression" dxfId="144" priority="346">
      <formula>G23=TRUE</formula>
    </cfRule>
  </conditionalFormatting>
  <conditionalFormatting sqref="J13">
    <cfRule type="expression" dxfId="138" priority="426">
      <formula>AND($I11=TRUE,I9=TRUE)</formula>
    </cfRule>
  </conditionalFormatting>
  <conditionalFormatting sqref="J21">
    <cfRule type="expression" dxfId="137" priority="60">
      <formula>$I$22=TRUE</formula>
    </cfRule>
    <cfRule type="expression" dxfId="136" priority="351">
      <formula>G23=TRUE</formula>
    </cfRule>
  </conditionalFormatting>
  <conditionalFormatting sqref="J22">
    <cfRule type="expression" dxfId="135" priority="350">
      <formula>G23=TRUE</formula>
    </cfRule>
  </conditionalFormatting>
  <conditionalFormatting sqref="J22:J24">
    <cfRule type="expression" dxfId="134" priority="83">
      <formula>$I$21=TRUE</formula>
    </cfRule>
  </conditionalFormatting>
  <conditionalFormatting sqref="J36">
    <cfRule type="expression" dxfId="133" priority="293">
      <formula>E37=TRUE</formula>
    </cfRule>
  </conditionalFormatting>
  <conditionalFormatting sqref="J37:J38">
    <cfRule type="expression" dxfId="132" priority="292">
      <formula>E37=TRUE</formula>
    </cfRule>
  </conditionalFormatting>
  <conditionalFormatting sqref="K13">
    <cfRule type="expression" dxfId="131" priority="415">
      <formula>AND($I11=TRUE,I9=TRUE)</formula>
    </cfRule>
  </conditionalFormatting>
  <conditionalFormatting sqref="K21">
    <cfRule type="expression" dxfId="130" priority="77">
      <formula>$K$22=TRUE</formula>
    </cfRule>
  </conditionalFormatting>
  <conditionalFormatting sqref="K21:K22">
    <cfRule type="expression" dxfId="129" priority="64">
      <formula>$K$23=TRUE</formula>
    </cfRule>
  </conditionalFormatting>
  <conditionalFormatting sqref="K21:K23">
    <cfRule type="expression" dxfId="128" priority="78">
      <formula>AND($I$21=TRUE,$G$23=TRUE)</formula>
    </cfRule>
  </conditionalFormatting>
  <conditionalFormatting sqref="K22:K23">
    <cfRule type="expression" dxfId="127" priority="58">
      <formula>$K$21=TRUE</formula>
    </cfRule>
  </conditionalFormatting>
  <conditionalFormatting sqref="K23">
    <cfRule type="expression" dxfId="126" priority="72">
      <formula>$K$22=TRUE</formula>
    </cfRule>
  </conditionalFormatting>
  <conditionalFormatting sqref="L21">
    <cfRule type="expression" dxfId="124" priority="66">
      <formula>$K$22=TRUE</formula>
    </cfRule>
  </conditionalFormatting>
  <conditionalFormatting sqref="L21:L22">
    <cfRule type="expression" dxfId="123" priority="59">
      <formula>$K$23=TRUE</formula>
    </cfRule>
  </conditionalFormatting>
  <conditionalFormatting sqref="L21:L23">
    <cfRule type="expression" dxfId="122" priority="79">
      <formula>AND($I$21=TRUE,$G$23=TRUE)</formula>
    </cfRule>
  </conditionalFormatting>
  <conditionalFormatting sqref="L22:L23">
    <cfRule type="expression" dxfId="121" priority="74">
      <formula>$K$21=TRUE</formula>
    </cfRule>
  </conditionalFormatting>
  <conditionalFormatting sqref="L23">
    <cfRule type="expression" dxfId="120" priority="76">
      <formula>$K$22=TRUE</formula>
    </cfRule>
  </conditionalFormatting>
  <conditionalFormatting sqref="L36">
    <cfRule type="expression" dxfId="119" priority="307">
      <formula>AND(I36=TRUE,$E$37=TRUE)</formula>
    </cfRule>
  </conditionalFormatting>
  <conditionalFormatting sqref="L37">
    <cfRule type="expression" dxfId="118" priority="305">
      <formula>AND(I36=TRUE,$E$37=TRUE)</formula>
    </cfRule>
  </conditionalFormatting>
  <conditionalFormatting sqref="M36">
    <cfRule type="expression" dxfId="117" priority="304">
      <formula>AND(I37=TRUE,$E$37=TRUE)</formula>
    </cfRule>
  </conditionalFormatting>
  <conditionalFormatting sqref="M37">
    <cfRule type="expression" dxfId="116" priority="300">
      <formula>AND(I37=TRUE,$E$37=TRUE)</formula>
    </cfRule>
  </conditionalFormatting>
  <conditionalFormatting sqref="M39">
    <cfRule type="expression" dxfId="115" priority="301">
      <formula>AND(I37=TRUE,$E$37=TRUE)</formula>
    </cfRule>
  </conditionalFormatting>
  <conditionalFormatting sqref="M22:N22">
    <cfRule type="expression" dxfId="114" priority="114">
      <formula>AND($K$22=TRUE,$I$21=TRUE)</formula>
    </cfRule>
    <cfRule type="expression" dxfId="113" priority="57">
      <formula>AND($I$21=FALSE,$I$22=FALSE)</formula>
    </cfRule>
  </conditionalFormatting>
  <conditionalFormatting sqref="M22:N23">
    <cfRule type="expression" dxfId="112" priority="121">
      <formula>$K$21=TRUE</formula>
    </cfRule>
  </conditionalFormatting>
  <conditionalFormatting sqref="M23:N23">
    <cfRule type="expression" dxfId="111" priority="120">
      <formula>AND(K22=TRUE,$I$21=TRUE)</formula>
    </cfRule>
    <cfRule type="expression" dxfId="110" priority="117">
      <formula>AND(K23=TRUE,$I$21=TRUE)</formula>
    </cfRule>
  </conditionalFormatting>
  <conditionalFormatting sqref="N37">
    <cfRule type="expression" dxfId="106" priority="299">
      <formula>AND(I37=TRUE,$E$37=TRUE)</formula>
    </cfRule>
  </conditionalFormatting>
  <conditionalFormatting sqref="N39">
    <cfRule type="expression" dxfId="105" priority="4421">
      <formula>M36=TRUE</formula>
    </cfRule>
    <cfRule type="expression" dxfId="104" priority="4420">
      <formula>AND(I37=TRUE,$E$37=TRUE)</formula>
    </cfRule>
  </conditionalFormatting>
  <conditionalFormatting sqref="N53:N54 Y55:Z55">
    <cfRule type="expression" dxfId="103" priority="260">
      <formula>M51=TRUE</formula>
    </cfRule>
  </conditionalFormatting>
  <conditionalFormatting sqref="N38:P38">
    <cfRule type="expression" dxfId="100" priority="4419">
      <formula>AND($M$37=TRUE,$E$37=TRUE)</formula>
    </cfRule>
  </conditionalFormatting>
  <conditionalFormatting sqref="N40:P40">
    <cfRule type="expression" dxfId="99" priority="240">
      <formula>AND(I39,M39,$E$37)=TRUE</formula>
    </cfRule>
  </conditionalFormatting>
  <conditionalFormatting sqref="N51:P51">
    <cfRule type="expression" dxfId="98" priority="234">
      <formula>M49=TRUE</formula>
    </cfRule>
  </conditionalFormatting>
  <conditionalFormatting sqref="N31:AB31 AE31:AG31">
    <cfRule type="cellIs" dxfId="97" priority="320" operator="equal">
      <formula>0</formula>
    </cfRule>
  </conditionalFormatting>
  <conditionalFormatting sqref="O21">
    <cfRule type="expression" dxfId="96" priority="2">
      <formula>$O$23=TRUE</formula>
    </cfRule>
    <cfRule type="expression" dxfId="95" priority="6">
      <formula>$O$22=TRUE</formula>
    </cfRule>
  </conditionalFormatting>
  <conditionalFormatting sqref="O21:O23">
    <cfRule type="expression" dxfId="94" priority="15">
      <formula>AND($I$21,$G$23,$E$21)=TRUE</formula>
    </cfRule>
  </conditionalFormatting>
  <conditionalFormatting sqref="O22">
    <cfRule type="expression" dxfId="93" priority="4">
      <formula>$O$23=TRUE</formula>
    </cfRule>
  </conditionalFormatting>
  <conditionalFormatting sqref="O22:O23">
    <cfRule type="expression" dxfId="92" priority="11">
      <formula>$O$21=TRUE</formula>
    </cfRule>
  </conditionalFormatting>
  <conditionalFormatting sqref="O23">
    <cfRule type="expression" dxfId="91" priority="9">
      <formula>$O$22=TRUE</formula>
    </cfRule>
  </conditionalFormatting>
  <conditionalFormatting sqref="P21">
    <cfRule type="expression" dxfId="90" priority="8">
      <formula>$O$22=TRUE</formula>
    </cfRule>
  </conditionalFormatting>
  <conditionalFormatting sqref="P21:P22">
    <cfRule type="expression" dxfId="89" priority="5">
      <formula>$O$23=TRUE</formula>
    </cfRule>
  </conditionalFormatting>
  <conditionalFormatting sqref="P21:P23">
    <cfRule type="expression" dxfId="88" priority="17">
      <formula>AND($I$21,$G$23,$E$21)=TRUE</formula>
    </cfRule>
  </conditionalFormatting>
  <conditionalFormatting sqref="P22:P23">
    <cfRule type="expression" dxfId="87" priority="12">
      <formula>$O$21=TRUE</formula>
    </cfRule>
  </conditionalFormatting>
  <conditionalFormatting sqref="P23">
    <cfRule type="expression" dxfId="86" priority="10">
      <formula>$O$22=TRUE</formula>
    </cfRule>
  </conditionalFormatting>
  <conditionalFormatting sqref="Q23">
    <cfRule type="expression" dxfId="85" priority="91">
      <formula>AND($O$23=TRUE,$I$21=TRUE,$G$23=TRUE)</formula>
    </cfRule>
  </conditionalFormatting>
  <conditionalFormatting sqref="R36">
    <cfRule type="expression" dxfId="78" priority="290">
      <formula>E38=TRUE</formula>
    </cfRule>
  </conditionalFormatting>
  <conditionalFormatting sqref="R37">
    <cfRule type="expression" dxfId="77" priority="288">
      <formula>E38=TRUE</formula>
    </cfRule>
  </conditionalFormatting>
  <conditionalFormatting sqref="R39">
    <cfRule type="expression" dxfId="76" priority="281">
      <formula>E38=TRUE</formula>
    </cfRule>
  </conditionalFormatting>
  <conditionalFormatting sqref="R40">
    <cfRule type="expression" dxfId="75" priority="282">
      <formula>E38=TRUE</formula>
    </cfRule>
  </conditionalFormatting>
  <conditionalFormatting sqref="R22:T22">
    <cfRule type="expression" dxfId="73" priority="94">
      <formula>AND($I$21=TRUE,$G$23=TRUE)</formula>
    </cfRule>
  </conditionalFormatting>
  <conditionalFormatting sqref="R25:T25">
    <cfRule type="expression" dxfId="72" priority="95">
      <formula>AND($I$21=TRUE,$G$23=TRUE)</formula>
    </cfRule>
  </conditionalFormatting>
  <conditionalFormatting sqref="R38:T38">
    <cfRule type="expression" dxfId="71" priority="287">
      <formula>E38=TRUE</formula>
    </cfRule>
  </conditionalFormatting>
  <conditionalFormatting sqref="R19:U19">
    <cfRule type="expression" dxfId="70" priority="98">
      <formula>AND($I$21=TRUE,$G$23=TRUE)</formula>
    </cfRule>
  </conditionalFormatting>
  <conditionalFormatting sqref="S46">
    <cfRule type="expression" dxfId="68" priority="6670">
      <formula>R45=TRUE</formula>
    </cfRule>
  </conditionalFormatting>
  <conditionalFormatting sqref="S37:T37">
    <cfRule type="expression" dxfId="67" priority="289">
      <formula>E38=TRUE</formula>
    </cfRule>
  </conditionalFormatting>
  <conditionalFormatting sqref="S39:T39">
    <cfRule type="expression" dxfId="66" priority="286">
      <formula>E38=TRUE</formula>
    </cfRule>
  </conditionalFormatting>
  <conditionalFormatting sqref="S40:T40">
    <cfRule type="expression" dxfId="65" priority="285">
      <formula>E38=TRUE</formula>
    </cfRule>
  </conditionalFormatting>
  <conditionalFormatting sqref="S20:U21">
    <cfRule type="expression" dxfId="64" priority="99">
      <formula>AND($I$21=TRUE,$G$23=TRUE)</formula>
    </cfRule>
  </conditionalFormatting>
  <conditionalFormatting sqref="S23:U24">
    <cfRule type="expression" dxfId="63" priority="101">
      <formula>AND($R$22=TRUE,$I$21=TRUE,$G$23=TRUE)</formula>
    </cfRule>
  </conditionalFormatting>
  <conditionalFormatting sqref="S26:U27">
    <cfRule type="expression" dxfId="62" priority="100">
      <formula>AND($R$25=TRUE,$I$21=TRUE,$G$23=TRUE)</formula>
    </cfRule>
  </conditionalFormatting>
  <conditionalFormatting sqref="V49:V50">
    <cfRule type="expression" dxfId="60" priority="251">
      <formula>M46=TRUE</formula>
    </cfRule>
  </conditionalFormatting>
  <conditionalFormatting sqref="V52">
    <cfRule type="expression" dxfId="59" priority="31">
      <formula>M49=TRUE</formula>
    </cfRule>
  </conditionalFormatting>
  <conditionalFormatting sqref="V19:W23 V24 V25:W25 V26:V27">
    <cfRule type="expression" dxfId="58" priority="130">
      <formula>AND($G$23=TRUE,$I$22=TRUE)</formula>
    </cfRule>
  </conditionalFormatting>
  <conditionalFormatting sqref="V53:W54">
    <cfRule type="expression" dxfId="57" priority="30">
      <formula>$V$52=TRUE</formula>
    </cfRule>
  </conditionalFormatting>
  <conditionalFormatting sqref="W20">
    <cfRule type="expression" dxfId="56" priority="129">
      <formula>AND($I$22=TRUE,$G$23=TRUE)</formula>
    </cfRule>
  </conditionalFormatting>
  <conditionalFormatting sqref="W24">
    <cfRule type="expression" dxfId="55" priority="89">
      <formula>AND($V$23=TRUE,$I$22=TRUE)</formula>
    </cfRule>
  </conditionalFormatting>
  <conditionalFormatting sqref="W26:W27">
    <cfRule type="expression" dxfId="54" priority="90">
      <formula>AND($V$25=TRUE,$I$22=TRUE)</formula>
    </cfRule>
  </conditionalFormatting>
  <conditionalFormatting sqref="W46">
    <cfRule type="expression" dxfId="53" priority="87">
      <formula>$V$45=TRUE</formula>
    </cfRule>
  </conditionalFormatting>
  <conditionalFormatting sqref="W49:W50">
    <cfRule type="expression" dxfId="52" priority="252">
      <formula>M46=TRUE</formula>
    </cfRule>
  </conditionalFormatting>
  <conditionalFormatting sqref="X9">
    <cfRule type="cellIs" dxfId="50" priority="413" operator="equal">
      <formula>"Gray"</formula>
    </cfRule>
    <cfRule type="cellIs" dxfId="49" priority="410" operator="equal">
      <formula>"Purple"</formula>
    </cfRule>
    <cfRule type="cellIs" dxfId="48" priority="411" operator="equal">
      <formula>"Dark Gray"</formula>
    </cfRule>
    <cfRule type="cellIs" dxfId="47" priority="408" operator="equal">
      <formula>"Green"</formula>
    </cfRule>
    <cfRule type="cellIs" dxfId="46" priority="409" operator="equal">
      <formula>"Blue"</formula>
    </cfRule>
    <cfRule type="cellIs" dxfId="45" priority="412" operator="equal">
      <formula>"Magenta"</formula>
    </cfRule>
    <cfRule type="cellIs" dxfId="44" priority="407" operator="equal">
      <formula>"orange"</formula>
    </cfRule>
    <cfRule type="cellIs" dxfId="43" priority="406" operator="equal">
      <formula>"Amber"</formula>
    </cfRule>
    <cfRule type="cellIs" dxfId="42" priority="414" operator="equal">
      <formula>"Black"</formula>
    </cfRule>
    <cfRule type="cellIs" dxfId="41" priority="405" operator="equal">
      <formula>"Brown"</formula>
    </cfRule>
  </conditionalFormatting>
  <conditionalFormatting sqref="X21">
    <cfRule type="expression" dxfId="40" priority="126">
      <formula>E22=TRUE</formula>
    </cfRule>
  </conditionalFormatting>
  <conditionalFormatting sqref="X22">
    <cfRule type="expression" dxfId="39" priority="128">
      <formula>E22=TRUE</formula>
    </cfRule>
  </conditionalFormatting>
  <conditionalFormatting sqref="X23">
    <cfRule type="expression" dxfId="38" priority="127">
      <formula>E22=TRUE</formula>
    </cfRule>
  </conditionalFormatting>
  <conditionalFormatting sqref="Y21">
    <cfRule type="expression" dxfId="37" priority="330">
      <formula>E22=TRUE</formula>
    </cfRule>
  </conditionalFormatting>
  <conditionalFormatting sqref="Y22">
    <cfRule type="expression" dxfId="36" priority="335">
      <formula>E22=TRUE</formula>
    </cfRule>
  </conditionalFormatting>
  <conditionalFormatting sqref="Y23">
    <cfRule type="expression" dxfId="35" priority="334">
      <formula>E22=TRUE</formula>
    </cfRule>
  </conditionalFormatting>
  <conditionalFormatting sqref="Y53">
    <cfRule type="expression" dxfId="34" priority="6975">
      <formula>X49=TRUE</formula>
    </cfRule>
  </conditionalFormatting>
  <conditionalFormatting sqref="Y27:AA27">
    <cfRule type="expression" dxfId="32" priority="4378">
      <formula>AND(H23=TRUE,J22=TRUE)</formula>
    </cfRule>
  </conditionalFormatting>
  <conditionalFormatting sqref="Z23:Z24">
    <cfRule type="expression" dxfId="31" priority="125">
      <formula>AND($X23=TRUE,$E22=TRUE)</formula>
    </cfRule>
  </conditionalFormatting>
  <conditionalFormatting sqref="Z21:AA21">
    <cfRule type="expression" dxfId="30" priority="6677">
      <formula>AND(E22=TRUE,X21=TRUE)</formula>
    </cfRule>
  </conditionalFormatting>
  <conditionalFormatting sqref="Z22:AA22">
    <cfRule type="expression" dxfId="29" priority="6678">
      <formula>AND(X22=TRUE,E22=TRUE)</formula>
    </cfRule>
  </conditionalFormatting>
  <conditionalFormatting sqref="AA23">
    <cfRule type="expression" dxfId="27" priority="6679">
      <formula>AND(F22=TRUE,Y23=TRUE)</formula>
    </cfRule>
  </conditionalFormatting>
  <conditionalFormatting sqref="AA53:AB54">
    <cfRule type="expression" dxfId="26" priority="262">
      <formula>Y52=TRUE</formula>
    </cfRule>
  </conditionalFormatting>
  <conditionalFormatting sqref="AA55:AB55">
    <cfRule type="expression" dxfId="25" priority="263">
      <formula>Y52=TRUE</formula>
    </cfRule>
  </conditionalFormatting>
  <conditionalFormatting sqref="AB22:AD22">
    <cfRule type="expression" dxfId="20" priority="4358">
      <formula>AND(#REF!=TRUE,Q22=TRUE)</formula>
    </cfRule>
  </conditionalFormatting>
  <conditionalFormatting sqref="AC46:AD46">
    <cfRule type="expression" dxfId="18" priority="245">
      <formula>AB45=TRUE</formula>
    </cfRule>
  </conditionalFormatting>
  <conditionalFormatting sqref="AC53:AD54 H37">
    <cfRule type="expression" dxfId="17" priority="297">
      <formula>E36=TRUE</formula>
    </cfRule>
  </conditionalFormatting>
  <conditionalFormatting sqref="AC55:AD55">
    <cfRule type="expression" dxfId="16" priority="4397">
      <formula>Z52=TRUE</formula>
    </cfRule>
  </conditionalFormatting>
  <conditionalFormatting sqref="AE22">
    <cfRule type="expression" dxfId="14" priority="4460">
      <formula>AND(#REF!=TRUE,S22=TRUE)</formula>
    </cfRule>
  </conditionalFormatting>
  <conditionalFormatting sqref="AE60">
    <cfRule type="expression" dxfId="13" priority="225">
      <formula>M60=TRUE</formula>
    </cfRule>
  </conditionalFormatting>
  <conditionalFormatting sqref="AE61">
    <cfRule type="expression" dxfId="12" priority="224">
      <formula>M60=TRUE</formula>
    </cfRule>
  </conditionalFormatting>
  <conditionalFormatting sqref="AE61:AG61 AE60:AK60 U60 W60 AB60 D60:Q60 Y60 AK61 D61:P62 AE62:AK62">
    <cfRule type="cellIs" dxfId="11" priority="4428" operator="equal">
      <formula>0</formula>
    </cfRule>
  </conditionalFormatting>
  <conditionalFormatting sqref="AF47">
    <cfRule type="expression" dxfId="10" priority="29">
      <formula>AE46=TRUE</formula>
    </cfRule>
  </conditionalFormatting>
  <conditionalFormatting sqref="AF60">
    <cfRule type="expression" dxfId="9" priority="226">
      <formula>M60=TRUE</formula>
    </cfRule>
  </conditionalFormatting>
  <conditionalFormatting sqref="AF61">
    <cfRule type="expression" dxfId="8" priority="227">
      <formula>M60=TRUE</formula>
    </cfRule>
  </conditionalFormatting>
  <conditionalFormatting sqref="AF21:AG21">
    <cfRule type="expression" dxfId="7" priority="366">
      <formula>AB21=TRUE</formula>
    </cfRule>
  </conditionalFormatting>
  <conditionalFormatting sqref="AG60">
    <cfRule type="expression" dxfId="3" priority="4451">
      <formula>AE61=TRUE</formula>
    </cfRule>
    <cfRule type="expression" dxfId="2" priority="4450">
      <formula>M60=FALSE</formula>
    </cfRule>
  </conditionalFormatting>
  <conditionalFormatting sqref="AG61:AJ61">
    <cfRule type="expression" dxfId="1" priority="4452">
      <formula>$AE$61=TRUE</formula>
    </cfRule>
  </conditionalFormatting>
  <conditionalFormatting sqref="AH19:AH20">
    <cfRule type="expression" dxfId="0" priority="345">
      <formula>AB21=TRUE</formula>
    </cfRule>
  </conditionalFormatting>
  <dataValidations count="1">
    <dataValidation type="list" allowBlank="1" showInputMessage="1" showErrorMessage="1" sqref="AB55:AD55" xr:uid="{76D22766-25EC-4E8B-9BA8-DAE89E9B76D5}">
      <formula1>publabel</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expression" priority="37" stopIfTrue="1" id="{E2EEE776-C129-400E-96CE-306B0CF53708}">
            <xm:f>OR($D$9=INputs!$A$3,INputs!$A$4=$D$9)</xm:f>
            <x14:dxf>
              <font>
                <color theme="2" tint="-0.499984740745262"/>
              </font>
              <fill>
                <patternFill>
                  <bgColor theme="2" tint="-0.499984740745262"/>
                </patternFill>
              </fill>
              <border>
                <left/>
                <right/>
                <top/>
                <bottom/>
                <vertical/>
                <horizontal/>
              </border>
            </x14:dxf>
          </x14:cfRule>
          <xm:sqref>E36:U41</xm:sqref>
        </x14:conditionalFormatting>
        <x14:conditionalFormatting xmlns:xm="http://schemas.microsoft.com/office/excel/2006/main">
          <x14:cfRule type="expression" priority="3" id="{3D1CA647-BA3D-4D24-8C32-612B390EF803}">
            <xm:f>OR($D$9=INputs!$A$3,$D$9=INputs!$A$4)</xm:f>
            <x14:dxf>
              <font>
                <color theme="2" tint="-0.499984740745262"/>
              </font>
              <fill>
                <patternFill>
                  <bgColor theme="2" tint="-0.499984740745262"/>
                </patternFill>
              </fill>
              <border>
                <left/>
                <right/>
                <top/>
                <bottom/>
                <vertical/>
                <horizontal/>
              </border>
            </x14:dxf>
          </x14:cfRule>
          <xm:sqref>E19:AG28</xm:sqref>
        </x14:conditionalFormatting>
        <x14:conditionalFormatting xmlns:xm="http://schemas.microsoft.com/office/excel/2006/main">
          <x14:cfRule type="expression" priority="316" id="{B244AC53-1E3F-406F-A6A0-053CF60A7A3F}">
            <xm:f>E31=INputs!$X$8</xm:f>
            <x14:dxf>
              <font>
                <color theme="2" tint="-0.24994659260841701"/>
              </font>
              <fill>
                <patternFill>
                  <bgColor theme="2" tint="-0.24994659260841701"/>
                </patternFill>
              </fill>
            </x14:dxf>
          </x14:cfRule>
          <xm:sqref>G31:G33</xm:sqref>
        </x14:conditionalFormatting>
        <x14:conditionalFormatting xmlns:xm="http://schemas.microsoft.com/office/excel/2006/main">
          <x14:cfRule type="expression" priority="48" id="{0202DFCD-50BA-46EB-8BFB-936138494B4F}">
            <xm:f>$E$31=INputs!$Z$6</xm:f>
            <x14:dxf>
              <font>
                <color theme="2" tint="-0.499984740745262"/>
              </font>
              <fill>
                <patternFill>
                  <bgColor theme="2" tint="-0.499984740745262"/>
                </patternFill>
              </fill>
            </x14:dxf>
          </x14:cfRule>
          <xm:sqref>G31:H31</xm:sqref>
        </x14:conditionalFormatting>
        <x14:conditionalFormatting xmlns:xm="http://schemas.microsoft.com/office/excel/2006/main">
          <x14:cfRule type="expression" priority="326" id="{D20CB2AC-58A3-423E-AFCE-F42A3F9AB0E1}">
            <xm:f>E31=INputs!$X$8</xm:f>
            <x14:dxf>
              <font>
                <color theme="2" tint="-0.24994659260841701"/>
              </font>
              <fill>
                <patternFill>
                  <bgColor theme="2" tint="-0.24994659260841701"/>
                </patternFill>
              </fill>
            </x14:dxf>
          </x14:cfRule>
          <xm:sqref>H31:H33</xm:sqref>
        </x14:conditionalFormatting>
        <x14:conditionalFormatting xmlns:xm="http://schemas.microsoft.com/office/excel/2006/main">
          <x14:cfRule type="expression" priority="277" id="{B70213B6-0AF6-40FD-8F52-A537E82FCD90}">
            <xm:f>OR($D$9=INputs!$A$3,$D$9=INputs!$A$4)</xm:f>
            <x14:dxf>
              <font>
                <color theme="0"/>
              </font>
              <fill>
                <patternFill>
                  <bgColor theme="0"/>
                </patternFill>
              </fill>
            </x14:dxf>
          </x14:cfRule>
          <xm:sqref>I9:Q9</xm:sqref>
        </x14:conditionalFormatting>
        <x14:conditionalFormatting xmlns:xm="http://schemas.microsoft.com/office/excel/2006/main">
          <x14:cfRule type="expression" priority="172" id="{58F472BE-11B9-4C08-B9DB-E0B4E0847ECC}">
            <xm:f>OR($D$9=INputs!$A$3,$D$9=INputs!$A$4)</xm:f>
            <x14:dxf>
              <font>
                <color theme="2" tint="-0.499984740745262"/>
              </font>
              <fill>
                <patternFill>
                  <bgColor theme="2" tint="-0.499984740745262"/>
                </patternFill>
              </fill>
              <border>
                <left/>
                <right/>
                <top/>
                <bottom/>
              </border>
            </x14:dxf>
          </x14:cfRule>
          <xm:sqref>I9:Q15</xm:sqref>
        </x14:conditionalFormatting>
        <x14:conditionalFormatting xmlns:xm="http://schemas.microsoft.com/office/excel/2006/main">
          <x14:cfRule type="expression" priority="274" id="{C8CD4C84-FF28-41CE-8A33-880A1A145207}">
            <xm:f>OR($D$9=INputs!$A$3,$D$9=INputs!$A$4)</xm:f>
            <x14:dxf>
              <font>
                <color theme="0"/>
              </font>
              <fill>
                <patternFill>
                  <bgColor theme="0"/>
                </patternFill>
              </fill>
            </x14:dxf>
          </x14:cfRule>
          <xm:sqref>I11:Q11</xm:sqref>
        </x14:conditionalFormatting>
        <x14:conditionalFormatting xmlns:xm="http://schemas.microsoft.com/office/excel/2006/main">
          <x14:cfRule type="expression" priority="271" id="{9C7B6072-A399-455B-9019-6E237AA22E2E}">
            <xm:f>OR($D$9=INputs!$A$3,$D$9=INputs!$A$4)</xm:f>
            <x14:dxf>
              <font>
                <color theme="0"/>
              </font>
              <fill>
                <patternFill>
                  <bgColor theme="0"/>
                </patternFill>
              </fill>
            </x14:dxf>
          </x14:cfRule>
          <xm:sqref>I13:Q13</xm:sqref>
        </x14:conditionalFormatting>
        <x14:conditionalFormatting xmlns:xm="http://schemas.microsoft.com/office/excel/2006/main">
          <x14:cfRule type="expression" priority="268" id="{8D3A1FB1-796C-4AB0-86BD-954125B1CC1D}">
            <xm:f>OR($D$9=INputs!$A$3,$D$9=INputs!$A$4)</xm:f>
            <x14:dxf>
              <font>
                <color theme="0"/>
              </font>
              <fill>
                <patternFill>
                  <bgColor theme="0"/>
                </patternFill>
              </fill>
            </x14:dxf>
          </x14:cfRule>
          <xm:sqref>I15:Q15</xm:sqref>
        </x14:conditionalFormatting>
        <x14:conditionalFormatting xmlns:xm="http://schemas.microsoft.com/office/excel/2006/main">
          <x14:cfRule type="expression" priority="47" id="{83337257-1CFB-4231-A39A-8E73D9C4D32D}">
            <xm:f>$Q$31=INputs!$AF$3</xm:f>
            <x14:dxf>
              <font>
                <color theme="2" tint="-0.499984740745262"/>
              </font>
              <fill>
                <patternFill>
                  <bgColor theme="2" tint="-0.499984740745262"/>
                </patternFill>
              </fill>
            </x14:dxf>
          </x14:cfRule>
          <xm:sqref>K31:M31</xm:sqref>
        </x14:conditionalFormatting>
        <x14:conditionalFormatting xmlns:xm="http://schemas.microsoft.com/office/excel/2006/main">
          <x14:cfRule type="expression" priority="319" stopIfTrue="1" id="{94F42A51-16E0-4E21-9B8B-91C1BC7E3F4D}">
            <xm:f>$O31=INputs!$AF$3</xm:f>
            <x14:dxf>
              <font>
                <color theme="2" tint="-0.499984740745262"/>
              </font>
              <fill>
                <patternFill>
                  <bgColor theme="2" tint="-0.499984740745262"/>
                </patternFill>
              </fill>
              <border>
                <left style="thin">
                  <color auto="1"/>
                </left>
                <right style="thin">
                  <color auto="1"/>
                </right>
                <top style="thin">
                  <color auto="1"/>
                </top>
                <bottom style="thin">
                  <color auto="1"/>
                </bottom>
                <vertical/>
                <horizontal/>
              </border>
            </x14:dxf>
          </x14:cfRule>
          <xm:sqref>N31:N33 K31:K33</xm:sqref>
        </x14:conditionalFormatting>
        <x14:conditionalFormatting xmlns:xm="http://schemas.microsoft.com/office/excel/2006/main">
          <x14:cfRule type="expression" priority="266" stopIfTrue="1" id="{F47964D7-A20D-4BB8-BD69-8BFF358ADF29}">
            <xm:f>K31=INputs!$AB$3</xm:f>
            <x14:dxf>
              <font>
                <color theme="2" tint="-0.499984740745262"/>
              </font>
              <fill>
                <patternFill>
                  <bgColor theme="2" tint="-0.499984740745262"/>
                </patternFill>
              </fill>
            </x14:dxf>
          </x14:cfRule>
          <x14:cfRule type="expression" priority="170" stopIfTrue="1" id="{10D28445-AD25-4B76-B205-981C7672BDF1}">
            <xm:f>K31=INputs!$AB$4</xm:f>
            <x14:dxf>
              <font>
                <color theme="2" tint="-0.499984740745262"/>
              </font>
              <fill>
                <patternFill>
                  <bgColor theme="2" tint="-0.499984740745262"/>
                </patternFill>
              </fill>
            </x14:dxf>
          </x14:cfRule>
          <xm:sqref>N31:N33</xm:sqref>
        </x14:conditionalFormatting>
        <x14:conditionalFormatting xmlns:xm="http://schemas.microsoft.com/office/excel/2006/main">
          <x14:cfRule type="expression" priority="54" stopIfTrue="1" id="{CC1E8B91-1C4D-4D59-A298-A8015AF1162B}">
            <xm:f>$Q$31=INputs!$AF$3</xm:f>
            <x14:dxf>
              <font>
                <color theme="2" tint="-0.499984740745262"/>
              </font>
              <fill>
                <patternFill>
                  <bgColor theme="2" tint="-0.499984740745262"/>
                </patternFill>
              </fill>
            </x14:dxf>
          </x14:cfRule>
          <x14:cfRule type="expression" priority="38" stopIfTrue="1" id="{5D8D0F7E-C6E9-4F5E-938C-025F5EA373E5}">
            <xm:f>OR($Q$31=INputs!$AB$3,INputs!$AB$4=Q31)</xm:f>
            <x14:dxf>
              <font>
                <color theme="2" tint="-0.499984740745262"/>
              </font>
              <fill>
                <patternFill>
                  <bgColor theme="2" tint="-0.499984740745262"/>
                </patternFill>
              </fill>
            </x14:dxf>
          </x14:cfRule>
          <xm:sqref>N31:P31</xm:sqref>
        </x14:conditionalFormatting>
        <x14:conditionalFormatting xmlns:xm="http://schemas.microsoft.com/office/excel/2006/main">
          <x14:cfRule type="expression" priority="35" id="{C53C7278-3A0C-4FB5-8AC4-FA74D26565CF}">
            <xm:f>OR($K$31,INputs!$AB$3,INputs!$AB$4=$K$31)</xm:f>
            <x14:dxf>
              <font>
                <color theme="2" tint="-0.499984740745262"/>
              </font>
              <fill>
                <patternFill>
                  <bgColor theme="2" tint="-0.499984740745262"/>
                </patternFill>
              </fill>
            </x14:dxf>
          </x14:cfRule>
          <x14:cfRule type="expression" priority="41" stopIfTrue="1" id="{E36E5F0E-DA03-45AC-BA9D-71B7C55DB7B0}">
            <xm:f>$Z$31=INputs!$AL$3</xm:f>
            <x14:dxf>
              <font>
                <color theme="2" tint="-0.499984740745262"/>
              </font>
              <fill>
                <patternFill>
                  <bgColor theme="2" tint="-0.499984740745262"/>
                </patternFill>
              </fill>
            </x14:dxf>
          </x14:cfRule>
          <x14:cfRule type="expression" priority="39" stopIfTrue="1" id="{D45E7D62-8FD7-4F54-8CE5-0C65A139CA23}">
            <xm:f>$K$31=INputs!$AB$3</xm:f>
            <x14:dxf>
              <font>
                <color theme="2" tint="-0.499984740745262"/>
              </font>
              <fill>
                <patternFill>
                  <bgColor theme="2" tint="-0.499984740745262"/>
                </patternFill>
              </fill>
            </x14:dxf>
          </x14:cfRule>
          <x14:cfRule type="expression" priority="42" stopIfTrue="1" id="{D6328D64-7316-44E4-AC2E-78F573D26769}">
            <xm:f>$N$31=INputs!$AD$4</xm:f>
            <x14:dxf>
              <font>
                <color theme="2" tint="-0.499984740745262"/>
              </font>
              <fill>
                <patternFill>
                  <bgColor theme="2" tint="-0.499984740745262"/>
                </patternFill>
              </fill>
            </x14:dxf>
          </x14:cfRule>
          <x14:cfRule type="expression" priority="43" stopIfTrue="1" id="{EC3A8DF2-A3D4-43BA-B200-8D3D4B783A50}">
            <xm:f>$N$31=INputs!$AD$3</xm:f>
            <x14:dxf>
              <font>
                <color theme="2" tint="-0.499984740745262"/>
              </font>
              <fill>
                <patternFill>
                  <bgColor theme="2" tint="-0.499984740745262"/>
                </patternFill>
              </fill>
            </x14:dxf>
          </x14:cfRule>
          <x14:cfRule type="expression" priority="44" stopIfTrue="1" id="{1186F179-77D9-47DC-9031-F46322ED291C}">
            <xm:f>$K$31=INputs!$AB$3</xm:f>
            <x14:dxf>
              <font>
                <color theme="2" tint="-0.499984740745262"/>
              </font>
              <fill>
                <patternFill>
                  <bgColor theme="2" tint="-0.499984740745262"/>
                </patternFill>
              </fill>
            </x14:dxf>
          </x14:cfRule>
          <xm:sqref>Q31:U31</xm:sqref>
        </x14:conditionalFormatting>
        <x14:conditionalFormatting xmlns:xm="http://schemas.microsoft.com/office/excel/2006/main">
          <x14:cfRule type="expression" priority="55" id="{7E0390D8-644F-4F13-9C24-A83F4CED80D1}">
            <xm:f>AND($R$39=TRUE,$E$36=TRUE,$G$36=INputs!$AN$4)</xm:f>
            <x14:dxf>
              <font>
                <color theme="1"/>
              </font>
              <border>
                <left style="thin">
                  <color auto="1"/>
                </left>
                <vertical/>
                <horizontal/>
              </border>
            </x14:dxf>
          </x14:cfRule>
          <xm:sqref>R41</xm:sqref>
        </x14:conditionalFormatting>
        <x14:conditionalFormatting xmlns:xm="http://schemas.microsoft.com/office/excel/2006/main">
          <x14:cfRule type="expression" priority="131" id="{910B927F-3EDE-4347-B52F-D8941F89D7B5}">
            <xm:f>AND($R$39,$G$36=INputs!$AN$4,$E$36=TRUE)</xm:f>
            <x14:dxf>
              <font>
                <color theme="1"/>
              </font>
              <border>
                <bottom style="thin">
                  <color auto="1"/>
                </bottom>
                <vertical/>
                <horizontal/>
              </border>
            </x14:dxf>
          </x14:cfRule>
          <xm:sqref>S41</xm:sqref>
        </x14:conditionalFormatting>
        <x14:conditionalFormatting xmlns:xm="http://schemas.microsoft.com/office/excel/2006/main">
          <x14:cfRule type="expression" priority="223" id="{8852C837-3FAA-48E2-81FC-D42667DDD92A}">
            <xm:f>$Q60=INputs!$AX$3</xm:f>
            <x14:dxf>
              <font>
                <color theme="1"/>
              </font>
              <border>
                <left style="thin">
                  <color auto="1"/>
                </left>
                <right/>
                <top/>
                <bottom/>
                <vertical/>
                <horizontal/>
              </border>
            </x14:dxf>
          </x14:cfRule>
          <xm:sqref>U60</xm:sqref>
        </x14:conditionalFormatting>
        <x14:conditionalFormatting xmlns:xm="http://schemas.microsoft.com/office/excel/2006/main">
          <x14:cfRule type="expression" priority="196" stopIfTrue="1" id="{F3170326-01AC-4EC4-B189-49C4F2077E9C}">
            <xm:f>AND($Q60=INputs!$AX$4,$M60=TRUE)</xm:f>
            <x14:dxf>
              <font>
                <color theme="1"/>
              </font>
              <border>
                <left style="thin">
                  <color auto="1"/>
                </left>
                <right style="thin">
                  <color auto="1"/>
                </right>
                <top style="thin">
                  <color auto="1"/>
                </top>
                <bottom style="thin">
                  <color auto="1"/>
                </bottom>
                <vertical/>
                <horizontal/>
              </border>
            </x14:dxf>
          </x14:cfRule>
          <xm:sqref>W60</xm:sqref>
        </x14:conditionalFormatting>
        <x14:conditionalFormatting xmlns:xm="http://schemas.microsoft.com/office/excel/2006/main">
          <x14:cfRule type="expression" priority="4429" id="{D7FC96C0-11A4-49B9-9549-D282BA16F862}">
            <xm:f>AND($Q60=INputs!$AX$4,$M61=TRUE)</xm:f>
            <x14:dxf>
              <font>
                <color theme="1"/>
              </font>
              <border>
                <left style="thin">
                  <color auto="1"/>
                </left>
                <right/>
                <top style="thin">
                  <color auto="1"/>
                </top>
                <bottom style="thin">
                  <color auto="1"/>
                </bottom>
                <vertical/>
                <horizontal/>
              </border>
            </x14:dxf>
          </x14:cfRule>
          <xm:sqref>Y60</xm:sqref>
        </x14:conditionalFormatting>
        <x14:conditionalFormatting xmlns:xm="http://schemas.microsoft.com/office/excel/2006/main">
          <x14:cfRule type="expression" priority="33" id="{0B4B71A4-3858-493B-BEF4-B0CC9DD1584E}">
            <xm:f>$Q$31=INputs!$AF$3</xm:f>
            <x14:dxf>
              <font>
                <color theme="2" tint="-0.499984740745262"/>
              </font>
              <fill>
                <patternFill>
                  <bgColor theme="2" tint="-0.499984740745262"/>
                </patternFill>
              </fill>
            </x14:dxf>
          </x14:cfRule>
          <xm:sqref>Z31:AA31</xm:sqref>
        </x14:conditionalFormatting>
        <x14:conditionalFormatting xmlns:xm="http://schemas.microsoft.com/office/excel/2006/main">
          <x14:cfRule type="expression" priority="359" id="{ABFB3EDF-FCFB-40A5-BB41-8890393D23C7}">
            <xm:f>F21=INputs!$S$4</xm:f>
            <x14:dxf>
              <font>
                <color theme="0" tint="-0.24994659260841701"/>
              </font>
            </x14:dxf>
          </x14:cfRule>
          <xm:sqref>AB19:AB20</xm:sqref>
        </x14:conditionalFormatting>
        <x14:conditionalFormatting xmlns:xm="http://schemas.microsoft.com/office/excel/2006/main">
          <x14:cfRule type="expression" priority="354" id="{4B15A92A-017F-4446-ABA9-7F3E4BBCB6F4}">
            <xm:f>F21=INputs!$S$4</xm:f>
            <x14:dxf>
              <font>
                <color theme="1"/>
              </font>
            </x14:dxf>
          </x14:cfRule>
          <xm:sqref>AB21</xm:sqref>
        </x14:conditionalFormatting>
        <x14:conditionalFormatting xmlns:xm="http://schemas.microsoft.com/office/excel/2006/main">
          <x14:cfRule type="expression" priority="4211" id="{A4D13A4D-FC65-4B1E-94BC-6AE657D3ABBA}">
            <xm:f>F21=INputs!$S$4</xm:f>
            <x14:dxf>
              <font>
                <color theme="1"/>
              </font>
            </x14:dxf>
          </x14:cfRule>
          <xm:sqref>AB23</xm:sqref>
        </x14:conditionalFormatting>
        <x14:conditionalFormatting xmlns:xm="http://schemas.microsoft.com/office/excel/2006/main">
          <x14:cfRule type="expression" priority="40" id="{15DE1728-CD7F-4693-A7B9-A864F33A2C1E}">
            <xm:f>AND($M$62=TRUE,$Q$60=INputs!$AX$4)</xm:f>
            <x14:dxf>
              <font>
                <color theme="1"/>
              </font>
              <border>
                <left style="thin">
                  <color auto="1"/>
                </left>
                <right style="thin">
                  <color auto="1"/>
                </right>
                <top style="thin">
                  <color auto="1"/>
                </top>
                <bottom style="thin">
                  <color auto="1"/>
                </bottom>
                <vertical/>
                <horizontal/>
              </border>
            </x14:dxf>
          </x14:cfRule>
          <xm:sqref>AB60</xm:sqref>
        </x14:conditionalFormatting>
        <x14:conditionalFormatting xmlns:xm="http://schemas.microsoft.com/office/excel/2006/main">
          <x14:cfRule type="expression" priority="4210" id="{42CD6508-0A94-47FF-A7CC-3EA1D4EC386D}">
            <xm:f>F21=INputs!$S$4</xm:f>
            <x14:dxf>
              <font>
                <color theme="1"/>
              </font>
            </x14:dxf>
          </x14:cfRule>
          <xm:sqref>AC21:AD21</xm:sqref>
        </x14:conditionalFormatting>
        <x14:conditionalFormatting xmlns:xm="http://schemas.microsoft.com/office/excel/2006/main">
          <x14:cfRule type="expression" priority="4462" id="{42CD6508-0A94-47FF-A7CC-3EA1D4EC386D}">
            <xm:f>G21=INputs!$S$4</xm:f>
            <x14:dxf>
              <font>
                <color theme="1"/>
              </font>
            </x14:dxf>
          </x14:cfRule>
          <xm:sqref>AE21</xm:sqref>
        </x14:conditionalFormatting>
        <x14:conditionalFormatting xmlns:xm="http://schemas.microsoft.com/office/excel/2006/main">
          <x14:cfRule type="expression" priority="353" id="{2BCA4D89-4BF8-4EE3-8524-E6D29F5B1CCF}">
            <xm:f>$I$10=INputs!$S$3</xm:f>
            <x14:dxf>
              <font>
                <color theme="0"/>
              </font>
              <fill>
                <patternFill>
                  <bgColor theme="0"/>
                </patternFill>
              </fill>
              <border>
                <left/>
                <right/>
                <top/>
                <bottom/>
                <vertical/>
                <horizontal/>
              </border>
            </x14:dxf>
          </x14:cfRule>
          <xm:sqref>AF21:AG21</xm:sqref>
        </x14:conditionalFormatting>
        <x14:conditionalFormatting xmlns:xm="http://schemas.microsoft.com/office/excel/2006/main">
          <x14:cfRule type="expression" priority="344" id="{BDD3791A-357E-4657-9460-33EE32F56EFA}">
            <xm:f>OR(AB23=INputs!$BB$3,AB23=INputs!$BB$4)</xm:f>
            <x14:dxf>
              <font>
                <color theme="0" tint="-0.34998626667073579"/>
              </font>
            </x14:dxf>
          </x14:cfRule>
          <xm:sqref>AF22:AG22</xm:sqref>
        </x14:conditionalFormatting>
        <x14:conditionalFormatting xmlns:xm="http://schemas.microsoft.com/office/excel/2006/main">
          <x14:cfRule type="expression" priority="347" id="{D2F6F110-7CE1-41D4-BA21-6AB4375E341B}">
            <xm:f>OR(AB23=INputs!$BB$3,AB23=INputs!$BB$4)</xm:f>
            <x14:dxf>
              <font>
                <color theme="1"/>
              </font>
              <border>
                <left style="thin">
                  <color auto="1"/>
                </left>
                <right style="thin">
                  <color auto="1"/>
                </right>
                <top style="thin">
                  <color auto="1"/>
                </top>
                <bottom style="thin">
                  <color auto="1"/>
                </bottom>
                <vertical/>
                <horizontal/>
              </border>
            </x14:dxf>
          </x14:cfRule>
          <xm:sqref>AF23:AG23</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2077918A-12F6-46CC-A0FB-B9CFCE21DDD9}">
          <x14:formula1>
            <xm:f>INputs!$R$25:$R$44</xm:f>
          </x14:formula1>
          <xm:sqref>H1 L1 J1 N1</xm:sqref>
        </x14:dataValidation>
      </x14:dataValidations>
    </ext>
  </extLst>
</worksheet>
</file>

<file path=docMetadata/LabelInfo.xml><?xml version="1.0" encoding="utf-8"?>
<clbl:labelList xmlns:clbl="http://schemas.microsoft.com/office/2020/mipLabelMetadata">
  <clbl:label id="{87867195-f2b8-4ac2-b0b6-6bb73cb33af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28</vt:i4>
      </vt:variant>
    </vt:vector>
  </HeadingPairs>
  <TitlesOfParts>
    <vt:vector size="39" baseType="lpstr">
      <vt:lpstr>INputs</vt:lpstr>
      <vt:lpstr>How to Use</vt:lpstr>
      <vt:lpstr>Sensitivity Labels</vt:lpstr>
      <vt:lpstr>Emails, Files, &amp; Other Data</vt:lpstr>
      <vt:lpstr>Teams meetings and chats</vt:lpstr>
      <vt:lpstr>Groups &amp; Sites</vt:lpstr>
      <vt:lpstr>Summary</vt:lpstr>
      <vt:lpstr>Publishing</vt:lpstr>
      <vt:lpstr>Service-side Auto-Labeling</vt:lpstr>
      <vt:lpstr>Data Loss Prevention (DLP)</vt:lpstr>
      <vt:lpstr>Search</vt:lpstr>
      <vt:lpstr>Arecord</vt:lpstr>
      <vt:lpstr>color</vt:lpstr>
      <vt:lpstr>emaillabel</vt:lpstr>
      <vt:lpstr>encrypt</vt:lpstr>
      <vt:lpstr>Groupsaccess</vt:lpstr>
      <vt:lpstr>GroupsDef</vt:lpstr>
      <vt:lpstr>Groupsshare</vt:lpstr>
      <vt:lpstr>Label</vt:lpstr>
      <vt:lpstr>LabelE</vt:lpstr>
      <vt:lpstr>LabelG</vt:lpstr>
      <vt:lpstr>LabelM</vt:lpstr>
      <vt:lpstr>Lobby</vt:lpstr>
      <vt:lpstr>meetchat</vt:lpstr>
      <vt:lpstr>OutL</vt:lpstr>
      <vt:lpstr>policy</vt:lpstr>
      <vt:lpstr>Policymode</vt:lpstr>
      <vt:lpstr>present</vt:lpstr>
      <vt:lpstr>prevent</vt:lpstr>
      <vt:lpstr>publabel</vt:lpstr>
      <vt:lpstr>record</vt:lpstr>
      <vt:lpstr>rules</vt:lpstr>
      <vt:lpstr>Sens</vt:lpstr>
      <vt:lpstr>sett</vt:lpstr>
      <vt:lpstr>Slabel</vt:lpstr>
      <vt:lpstr>SubL</vt:lpstr>
      <vt:lpstr>Vlabel</vt:lpstr>
      <vt:lpstr>WaterA</vt:lpstr>
      <vt:lpstr>waterB</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Thomas Reed</dc:creator>
  <cp:keywords/>
  <dc:description/>
  <cp:lastModifiedBy>Nick Bear</cp:lastModifiedBy>
  <cp:revision/>
  <dcterms:created xsi:type="dcterms:W3CDTF">2025-05-08T17:35:39Z</dcterms:created>
  <dcterms:modified xsi:type="dcterms:W3CDTF">2025-11-12T22:27:10Z</dcterms:modified>
  <cp:category/>
  <cp:contentStatus/>
</cp:coreProperties>
</file>