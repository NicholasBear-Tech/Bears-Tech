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crosoft-my.sharepoint.com/personal/nickbear_microsoft_com/Documents/Desktop/Sensitivity Label Workbook Project/"/>
    </mc:Choice>
  </mc:AlternateContent>
  <xr:revisionPtr revIDLastSave="218" documentId="8_{F4B55EEB-7033-47FF-972A-431609F1843A}" xr6:coauthVersionLast="47" xr6:coauthVersionMax="47" xr10:uidLastSave="{092AAF5A-BD2D-4BEA-A5D2-3D3CFA76F234}"/>
  <bookViews>
    <workbookView xWindow="15920" yWindow="220" windowWidth="4947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4" l="1"/>
  <c r="M14" i="4"/>
  <c r="M15" i="4"/>
  <c r="M16" i="4"/>
  <c r="M17" i="4"/>
  <c r="M18" i="4"/>
  <c r="M19" i="4"/>
  <c r="M20" i="4"/>
  <c r="M21" i="4"/>
  <c r="O13" i="4"/>
  <c r="O14" i="4"/>
  <c r="O15" i="4"/>
  <c r="O16" i="4"/>
  <c r="O17" i="4"/>
  <c r="O18" i="4"/>
  <c r="O19" i="4"/>
  <c r="O20" i="4"/>
  <c r="O21"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M12" i="4" l="1"/>
  <c r="N12" i="4"/>
  <c r="B29" i="6" s="1"/>
  <c r="O12" i="4"/>
  <c r="O11" i="4"/>
  <c r="M11" i="4"/>
  <c r="N11" i="4"/>
  <c r="B27" i="6" s="1"/>
  <c r="O10" i="4"/>
  <c r="M10" i="4"/>
  <c r="C94" i="3" s="1"/>
  <c r="N10" i="4"/>
  <c r="B25" i="6" s="1"/>
  <c r="N9" i="4"/>
  <c r="B23" i="6" s="1"/>
  <c r="O9" i="4"/>
  <c r="M9" i="4"/>
  <c r="C82" i="3" s="1"/>
  <c r="M7" i="4"/>
  <c r="C58" i="3" s="1"/>
  <c r="N7" i="4"/>
  <c r="B19" i="6" s="1"/>
  <c r="O7" i="4"/>
  <c r="B22" i="3"/>
  <c r="B11" i="3"/>
  <c r="B12" i="3" s="1"/>
  <c r="B13" i="3" s="1"/>
  <c r="B14" i="3" s="1"/>
  <c r="B15" i="3" s="1"/>
  <c r="B16" i="3" s="1"/>
  <c r="B17" i="3" s="1"/>
  <c r="B18" i="3" s="1"/>
  <c r="B33" i="6"/>
  <c r="B35" i="6"/>
  <c r="D22" i="4"/>
  <c r="H22" i="4"/>
  <c r="B47" i="6"/>
  <c r="E21" i="4"/>
  <c r="H21" i="4"/>
  <c r="B45" i="6"/>
  <c r="E20" i="4"/>
  <c r="H20" i="4"/>
  <c r="B43" i="6"/>
  <c r="B41" i="6"/>
  <c r="E18" i="4"/>
  <c r="H18" i="4"/>
  <c r="B39" i="6"/>
  <c r="E17" i="4"/>
  <c r="H17" i="4"/>
  <c r="B37" i="6"/>
  <c r="E16" i="4"/>
  <c r="H16" i="4"/>
  <c r="E13" i="4"/>
  <c r="B31" i="6"/>
  <c r="E12" i="4"/>
  <c r="H12" i="4"/>
  <c r="E11" i="4"/>
  <c r="H11" i="4"/>
  <c r="E10" i="4"/>
  <c r="H10" i="4"/>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M8" i="4" l="1"/>
  <c r="C70" i="3" s="1"/>
  <c r="O8" i="4"/>
  <c r="N8" i="4"/>
  <c r="B21" i="6" s="1"/>
  <c r="M6" i="4"/>
  <c r="C46" i="3" s="1"/>
  <c r="O6" i="4"/>
  <c r="N6" i="4"/>
  <c r="M5" i="4"/>
  <c r="O5" i="4"/>
  <c r="N5" i="4"/>
  <c r="E22" i="4"/>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O24" i="4"/>
  <c r="N24" i="4"/>
  <c r="E24" i="4"/>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M24" i="4"/>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<sst xmlns="http://schemas.openxmlformats.org/spreadsheetml/2006/main" count="2642" uniqueCount="408">
  <si>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</si>
  <si>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</si>
  <si>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</si>
  <si>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</si>
  <si>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</si>
  <si>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</si>
  <si>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</si>
  <si>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</si>
  <si>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</si>
  <si>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</si>
  <si>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</si>
  <si>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</si>
  <si>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</si>
  <si>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</si>
  <si>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</si>
  <si>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</si>
  <si>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</si>
  <si>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</si>
  <si>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</si>
  <si>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</si>
  <si>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</si>
  <si>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</si>
  <si>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</si>
  <si>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</si>
  <si>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</si>
  <si>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</si>
  <si>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</si>
  <si>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</si>
  <si>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</si>
  <si>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</si>
  <si>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</si>
  <si>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</si>
  <si>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</si>
  <si>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</si>
  <si>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</si>
  <si>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</si>
  <si>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</si>
  <si>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</si>
  <si>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</si>
  <si>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</si>
  <si>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</si>
  <si>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</si>
  <si>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</si>
  <si>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</si>
  <si>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</si>
  <si>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</si>
  <si>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</si>
  <si>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</si>
  <si>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</si>
  <si>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</si>
  <si>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</si>
  <si>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</si>
  <si>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</si>
  <si>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</si>
  <si>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</si>
  <si>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</si>
  <si>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</si>
  <si>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</si>
  <si>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</si>
  <si>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</si>
  <si>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</si>
  <si>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</si>
  <si>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</si>
  <si>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</si>
  <si>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</si>
  <si>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</si>
  <si>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</si>
  <si>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</si>
  <si>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</si>
  <si>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</si>
  <si>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</si>
  <si>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</si>
  <si>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</si>
  <si>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</si>
  <si>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</si>
  <si>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</si>
  <si>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</si>
  <si>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</si>
  <si>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</si>
  <si>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</si>
  <si>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</si>
  <si>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</si>
  <si>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</si>
  <si>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</si>
  <si>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</si>
  <si>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</si>
  <si>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</si>
  <si>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</si>
  <si>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</si>
  <si>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</si>
  <si>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</si>
  <si>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</si>
  <si>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</si>
  <si>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</si>
  <si>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</si>
  <si>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</si>
  <si>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</si>
  <si>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</si>
  <si>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</si>
  <si>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</si>
  <si>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</si>
  <si>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</si>
  <si>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</si>
  <si>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</si>
  <si>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</si>
  <si>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</si>
  <si>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</si>
  <si>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</si>
  <si>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</si>
  <si>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</si>
  <si>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</si>
  <si>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</si>
  <si>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</si>
  <si>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</si>
  <si>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</si>
  <si>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</si>
  <si>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</si>
  <si>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</si>
  <si>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</si>
  <si>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</si>
  <si>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</si>
  <si>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</si>
  <si>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</si>
  <si>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</si>
  <si>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</si>
  <si>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</si>
  <si>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</si>
  <si>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</si>
  <si>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</si>
  <si>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</si>
  <si>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</si>
  <si>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</si>
  <si>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</si>
  <si>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</si>
  <si>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</si>
  <si>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</si>
  <si>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</si>
  <si>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</si>
  <si>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</si>
  <si>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</si>
  <si>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</si>
  <si>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</si>
  <si>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</si>
  <si>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</si>
  <si>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</si>
  <si>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</si>
  <si>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</si>
  <si>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</si>
  <si>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</si>
  <si>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</si>
  <si>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</si>
  <si>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</si>
  <si>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</si>
  <si>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</si>
  <si>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</si>
  <si>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</si>
  <si>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</si>
  <si>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</si>
  <si>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</si>
  <si>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</si>
  <si>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</si>
  <si>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</si>
  <si>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</si>
  <si>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</si>
  <si>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</si>
  <si>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</si>
  <si>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</si>
  <si>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</si>
  <si>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</si>
  <si>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</si>
  <si>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</si>
  <si>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</si>
  <si>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</si>
  <si>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</si>
  <si>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</si>
  <si>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</si>
  <si>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</si>
  <si>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</si>
  <si>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</si>
  <si>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</si>
  <si>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</si>
  <si>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</si>
  <si>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</si>
  <si>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</si>
  <si>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</si>
  <si>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</si>
  <si>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</si>
  <si>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</si>
  <si>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</si>
  <si>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</si>
  <si>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</si>
  <si>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</si>
  <si>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</si>
  <si>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</si>
  <si>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</si>
  <si>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</si>
  <si>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</si>
  <si>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</si>
  <si>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</si>
  <si>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</si>
  <si>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</si>
  <si>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</si>
  <si>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</si>
  <si>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</si>
  <si>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</si>
  <si>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</si>
  <si>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</si>
  <si>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</si>
  <si>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</si>
  <si>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</si>
  <si>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</si>
  <si>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</si>
  <si>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</si>
  <si>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</si>
  <si>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</si>
  <si>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</si>
  <si>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</si>
  <si>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</si>
  <si>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</si>
  <si>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</si>
  <si>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</si>
  <si>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</si>
  <si>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</si>
  <si>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</si>
  <si>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</si>
  <si>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</si>
  <si>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</si>
  <si>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</si>
  <si>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</si>
  <si>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</si>
  <si>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</si>
  <si>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</si>
  <si>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</si>
  <si>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</si>
  <si>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</si>
  <si>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</si>
  <si>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</si>
  <si>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</si>
  <si>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</si>
  <si>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</si>
  <si>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</si>
  <si>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</si>
  <si>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</si>
  <si>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</si>
  <si>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</si>
  <si>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</si>
  <si>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</si>
  <si>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</si>
  <si>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</si>
  <si>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</si>
  <si>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</si>
  <si>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</si>
  <si>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</si>
  <si>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</si>
  <si>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</si>
  <si>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</si>
  <si>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</si>
  <si>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</si>
  <si>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</si>
  <si>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</si>
  <si>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</si>
  <si>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</si>
  <si>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</si>
  <si>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</si>
  <si>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</si>
  <si>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</si>
  <si>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</si>
  <si>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</si>
  <si>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</si>
  <si>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</si>
  <si>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</si>
  <si>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</si>
  <si>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</si>
  <si>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</si>
  <si>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</si>
  <si>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</si>
  <si>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</si>
  <si>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</si>
  <si>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</si>
  <si>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</si>
  <si>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</si>
  <si>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</si>
  <si>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</si>
  <si>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</si>
  <si>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</si>
  <si>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</si>
  <si>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</si>
  <si>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</si>
  <si>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</si>
  <si>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</si>
  <si>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</si>
  <si>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</si>
  <si>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</si>
  <si>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</si>
  <si>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</si>
  <si>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</si>
  <si>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</si>
  <si>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</si>
  <si>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</si>
  <si>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</si>
  <si>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</si>
  <si>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</si>
  <si>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</si>
  <si>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</si>
  <si>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</si>
  <si>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</si>
  <si>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</si>
  <si>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</si>
  <si>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</si>
  <si>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</si>
  <si>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</si>
  <si>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</si>
  <si>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</si>
  <si>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</si>
  <si>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</si>
  <si>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</si>
  <si>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</si>
  <si>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</si>
  <si>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</si>
  <si>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</si>
  <si>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</si>
  <si>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</si>
  <si>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</si>
  <si>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</si>
  <si>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</si>
  <si>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</si>
  <si>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</si>
  <si>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</si>
  <si>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</si>
  <si>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</si>
  <si>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</si>
  <si>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</si>
  <si>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</si>
  <si>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</si>
  <si>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</si>
  <si>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</si>
  <si>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</si>
  <si>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</si>
  <si>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</si>
  <si>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</si>
  <si>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</si>
  <si>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</si>
  <si>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</si>
  <si>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</si>
  <si>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</si>
  <si>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</si>
  <si>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</si>
  <si>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</si>
  <si>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</si>
  <si>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</si>
  <si>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</si>
  <si>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</si>
  <si>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</si>
  <si>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</si>
  <si>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</si>
  <si>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</si>
  <si>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</si>
  <si>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</si>
  <si>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</si>
  <si>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</si>
  <si>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</si>
  <si>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</si>
  <si>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</si>
  <si>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</si>
  <si>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</si>
  <si>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</si>
  <si>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</si>
  <si>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</si>
  <si>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</si>
  <si>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</si>
  <si>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</si>
  <si>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</si>
  <si>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</si>
  <si>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</si>
  <si>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</si>
  <si>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</si>
  <si>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</si>
  <si>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</si>
  <si>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General</t>
  </si>
  <si>
    <t>Confidential</t>
  </si>
  <si>
    <t>All Employees</t>
  </si>
  <si>
    <t>Specific People</t>
  </si>
  <si>
    <t>Internal exception</t>
  </si>
  <si>
    <t>Highly Confidential</t>
  </si>
  <si>
    <t>Business data that is prepared and approved for public consumption.</t>
  </si>
  <si>
    <t>Business data that isn't intended for public consumption. However, this can be shared with external partners, as required.</t>
  </si>
  <si>
    <t>Confidential data that requires protection, which allows all employees full permissions. Data owners can track and revoke content.</t>
  </si>
  <si>
    <t>Confidential data that can be shared with trusted people inside and outside your organization. These people can also reshare the data as needed.</t>
  </si>
  <si>
    <t>Confidential data that doesn’t need to be encrypted. Use this option with care and appropriate business justification.</t>
  </si>
  <si>
    <t>Highly confidential data that allows all employees view, edit, and reply permissions to this content. Data owners can track and revoke content.</t>
  </si>
  <si>
    <t>Highly confidential data that requires protection and can be viewed only by people you specify and with the permission level you choose.</t>
  </si>
  <si>
    <t>Highly confidential data that doesn’t need to be encrypted. Use this option with care and appropriate business justification.</t>
  </si>
  <si>
    <t>All users and groups in the org: Co-Author</t>
  </si>
  <si>
    <t>Classified as Confidential</t>
  </si>
  <si>
    <t>Highly Confidential 
${Consumer.PrincipalName} 
${Device.DateTime}</t>
  </si>
  <si>
    <t>Classified as Highly Confidential</t>
  </si>
  <si>
    <t>Consider automatically applying on sensitive information types such as 'All credentials'.</t>
  </si>
  <si>
    <t>Protection was applied due to containing highly sensitive information.</t>
  </si>
  <si>
    <t>Company Wide</t>
  </si>
  <si>
    <t>All Labels</t>
  </si>
  <si>
    <t>All users and groups</t>
  </si>
  <si>
    <t>Your internal Intranet SharePoint Online page with your Sensitivity Label information.</t>
  </si>
  <si>
    <t>Block All Employee labled content to External</t>
  </si>
  <si>
    <t>Block Unlabled content to External</t>
  </si>
  <si>
    <t>Exchange, SharePoint, OneDrive, Devices</t>
  </si>
  <si>
    <t xml:space="preserve">Blocking all employees labeled content (Confidential/Highly Confidential.) shared to external people. </t>
  </si>
  <si>
    <t>Blocking unlabeled content from sharing external.</t>
  </si>
  <si>
    <t>https://learn.microsoft.com/en-us/purview/migrate-sensitivity-label-scheme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</si>
</sst>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19" fillId="0" borderId="21" xfId="0" applyFont="1" applyBorder="1" applyAlignment="1">
      <alignment horizontal="center" wrapText="1"/>
    </xf>
    <xf numFmtId="0" fontId="5" fillId="0" borderId="0" xfId="0" applyFont="1" applyAlignment="1">
      <alignment horizontal="center" wrapText="1"/>
    </xf>
    <xf numFmtId="0" fontId="10" fillId="0" borderId="0" xfId="0" applyFont="1" applyAlignment="1">
      <alignment wrapText="1"/>
    </xf>
    <xf numFmtId="0" fontId="0" fillId="7" borderId="1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11" xfId="0" applyFill="1" applyBorder="1" applyAlignment="1">
      <alignment horizontal="center" vertical="center" wrapText="1"/>
    </xf>
    <xf numFmtId="0" fontId="10" fillId="0" borderId="21" xfId="0" applyFont="1" applyBorder="1" applyAlignment="1">
      <alignment horizontal="left"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8" fillId="0" borderId="0" xfId="0" applyFont="1" applyAlignment="1">
      <alignment horizontal="left" vertical="center" wrapText="1"/>
    </xf>
    <xf numFmtId="0" fontId="0" fillId="0" borderId="0" xfId="0" applyAlignment="1">
      <alignment horizontal="left" vertical="top"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53" xfId="0"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0" fillId="16" borderId="34" xfId="0" applyFill="1" applyBorder="1" applyAlignment="1">
      <alignment horizontal="left" vertical="center" wrapText="1"/>
    </xf>
    <xf numFmtId="0" fontId="1" fillId="16" borderId="11" xfId="0" applyFont="1" applyFill="1" applyBorder="1" applyAlignment="1">
      <alignment horizontal="center" vertical="center"/>
    </xf>
    <xf numFmtId="0" fontId="0" fillId="16" borderId="3" xfId="0" applyFill="1" applyBorder="1" applyAlignment="1">
      <alignment horizontal="left" vertical="center" wrapText="1"/>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1" fillId="11"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0" fontId="1" fillId="11" borderId="11" xfId="0" applyFont="1" applyFill="1" applyBorder="1" applyAlignment="1">
      <alignment horizontal="center" wrapText="1"/>
    </xf>
    <xf numFmtId="0" fontId="1" fillId="11" borderId="12" xfId="0" applyFont="1" applyFill="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20" fillId="11"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 fillId="11" borderId="1" xfId="0" applyFont="1" applyFill="1" applyBorder="1" applyAlignment="1">
      <alignment horizontal="center" vertical="top"/>
    </xf>
    <xf numFmtId="0" fontId="1" fillId="11" borderId="3" xfId="0" applyFont="1" applyFill="1" applyBorder="1" applyAlignment="1">
      <alignment horizontal="center" wrapText="1"/>
    </xf>
    <xf numFmtId="0" fontId="0" fillId="0" borderId="7" xfId="0" applyBorder="1" applyAlignment="1">
      <alignment horizontal="left" wrapText="1"/>
    </xf>
    <xf numFmtId="0" fontId="1" fillId="11" borderId="3"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6" fillId="12" borderId="12" xfId="0" applyFont="1" applyFill="1" applyBorder="1" applyAlignment="1">
      <alignment horizontal="center"/>
    </xf>
    <xf numFmtId="0" fontId="6" fillId="12"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1"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30" fillId="0" borderId="1" xfId="1" applyBorder="1" applyAlignment="1">
      <alignment horizontal="center" vertical="center" wrapText="1"/>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style="thin">
          <color auto="1"/>
        </right>
        <top/>
        <bottom/>
        <vertical/>
        <horizontal/>
      </border>
    </dxf>
    <dxf>
      <font>
        <color theme="1"/>
      </font>
      <border>
        <left style="thin">
          <color auto="1"/>
        </left>
        <right style="thin">
          <color auto="1"/>
        </right>
        <top style="thin">
          <color auto="1"/>
        </top>
        <bottom style="thin">
          <color auto="1"/>
        </bottom>
        <vertical/>
        <horizontal/>
      </border>
    </dxf>
    <dxf>
      <font>
        <color theme="0"/>
      </font>
      <border>
        <right style="thin">
          <color auto="1"/>
        </right>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border>
        <left style="thin">
          <color auto="1"/>
        </left>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796875" defaultRowHeight="14.5" x14ac:dyDescent="0.35"/>
  <cols>
    <col min="1" max="1" width="16.1796875" style="3" customWidth="1"/>
    <col min="2" max="2" width="6.453125" style="3" customWidth="1"/>
    <col min="3" max="3" width="19.54296875" style="3" customWidth="1"/>
    <col min="4" max="5" width="24.453125" style="3" customWidth="1"/>
    <col min="6" max="6" width="3.7265625" style="3" customWidth="1"/>
    <col min="7" max="8" width="7.54296875" style="3" customWidth="1"/>
    <col min="9" max="9" width="15" style="3" customWidth="1"/>
    <col min="10" max="10" width="8.453125" style="3" customWidth="1"/>
    <col min="11" max="11" width="11.1796875" style="3" customWidth="1"/>
    <col min="12" max="12" width="9.81640625" style="3" customWidth="1"/>
    <col min="13" max="13" width="41.26953125" style="3" customWidth="1"/>
    <col min="14" max="14" width="33.453125" style="3" customWidth="1"/>
    <col min="15" max="15" width="34.26953125" style="3" customWidth="1"/>
    <col min="16" max="16" width="28.1796875" style="3" customWidth="1"/>
    <col min="17" max="17" width="4.54296875" style="3" customWidth="1"/>
    <col min="18" max="18" width="18.453125" style="3" customWidth="1"/>
    <col min="19" max="19" width="27.7265625" style="3" customWidth="1"/>
    <col min="20" max="20" width="7.54296875" style="3" customWidth="1"/>
    <col min="21" max="21" width="2.453125" style="3" customWidth="1"/>
    <col min="22" max="22" width="46.1796875" style="3" customWidth="1"/>
    <col min="23" max="23" width="2.453125" style="3" customWidth="1"/>
    <col min="24" max="24" width="43.81640625" style="3" customWidth="1"/>
    <col min="25" max="25" width="1.81640625" style="3" customWidth="1"/>
    <col min="26" max="26" width="45.81640625" style="3" customWidth="1"/>
    <col min="27" max="27" width="1.7265625" style="3" customWidth="1"/>
    <col min="28" max="28" width="37.453125" style="3" customWidth="1"/>
    <col min="29" max="29" width="2.7265625" style="3" customWidth="1"/>
    <col min="30" max="30" width="27.81640625" style="3" customWidth="1"/>
    <col min="31" max="31" width="1.7265625" style="3" customWidth="1"/>
    <col min="32" max="32" width="27.7265625" style="3" customWidth="1"/>
    <col min="33" max="33" width="1.7265625" style="3" customWidth="1"/>
    <col min="34" max="34" width="23.81640625" style="3" customWidth="1"/>
    <col min="35" max="35" width="1.7265625" style="3" customWidth="1"/>
    <col min="36" max="36" width="31.54296875" style="3" customWidth="1"/>
    <col min="37" max="37" width="2.1796875" style="3" customWidth="1"/>
    <col min="38" max="38" width="21.81640625" style="3" customWidth="1"/>
    <col min="39" max="39" width="2.7265625" style="3" customWidth="1"/>
    <col min="40" max="40" width="21.54296875" style="3" customWidth="1"/>
    <col min="41" max="41" width="2.26953125" style="3" customWidth="1"/>
    <col min="42" max="42" width="32.1796875" style="3" customWidth="1"/>
    <col min="43" max="43" width="2.7265625" style="3" customWidth="1"/>
    <col min="44" max="44" width="36.81640625" style="3" customWidth="1"/>
    <col min="45" max="45" width="3" style="3" customWidth="1"/>
    <col min="46" max="46" width="41.7265625" style="3" customWidth="1"/>
    <col min="47" max="47" width="3" style="3" customWidth="1"/>
    <col min="48" max="48" width="26.1796875" style="3" customWidth="1"/>
    <col min="49" max="49" width="3" style="3" customWidth="1"/>
    <col min="50" max="50" width="23.26953125" style="3" customWidth="1"/>
    <col min="51" max="51" width="3" style="3" customWidth="1"/>
    <col min="52" max="52" width="30.7265625" style="3" customWidth="1"/>
    <col min="53" max="53" width="2.26953125" style="3" customWidth="1"/>
    <col min="54" max="54" width="44" style="3" customWidth="1"/>
    <col min="55" max="16384" width="9.1796875" style="3"/>
  </cols>
  <sheetData>
    <row r="1" spans="1:54" x14ac:dyDescent="0.35">
      <c r="A1" s="3" t="str">
        <f>'Sensitivity Labels'!C1</f>
        <v>Sensitivity Labels</v>
      </c>
      <c r="C1" s="4" t="s">
        <v>0</v>
      </c>
      <c r="R1" s="3" t="s">
        <v>1</v>
      </c>
      <c r="S1" s="534" t="s">
        <v>2</v>
      </c>
      <c r="T1" s="534"/>
      <c r="U1" s="534"/>
      <c r="V1" s="534"/>
      <c r="X1" s="534" t="s">
        <v>3</v>
      </c>
      <c r="Y1" s="534"/>
      <c r="Z1" s="534"/>
      <c r="AA1" s="534"/>
      <c r="AB1" s="534"/>
      <c r="AC1" s="534"/>
      <c r="AD1" s="534"/>
      <c r="AE1" s="534"/>
      <c r="AF1" s="534"/>
      <c r="AG1" s="534"/>
      <c r="AH1" s="534"/>
      <c r="AI1" s="534"/>
      <c r="AJ1" s="534"/>
      <c r="AK1" s="534"/>
      <c r="AL1" s="534"/>
    </row>
    <row r="2" spans="1:54" ht="43.5" x14ac:dyDescent="0.3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x14ac:dyDescent="0.35">
      <c r="A3" s="5" t="s">
        <v>7</v>
      </c>
      <c r="B3" s="95">
        <f>G3</f>
        <v>1</v>
      </c>
      <c r="C3" s="5" t="str">
        <f>IF('Sensitivity Labels'!C11="","",'Sensitivity Labels'!C11)</f>
        <v>Label</v>
      </c>
      <c r="D3" s="5" t="str">
        <f>IF('Sensitivity Labels'!D11="","",C3&amp;"-"&amp;'Sensitivity Labels'!D11)</f>
        <v>Label-Public</v>
      </c>
      <c r="E3" s="5" t="str">
        <f t="shared" ref="E3:E22" si="0">IF(OR(C3="",(LEFT(D3,3)="Par"),RIGHT(C3,1)="p"),"",D3)</f>
        <v>Label-Public</v>
      </c>
      <c r="G3" s="5">
        <v>1</v>
      </c>
      <c r="H3" s="526" t="str">
        <f>IF(OR(C3=A$3,C3=A$4),"true","false")</f>
        <v>false</v>
      </c>
      <c r="I3" s="5" t="b">
        <f>'Sensitivity Labels'!F11</f>
        <v>1</v>
      </c>
      <c r="J3" s="5" t="b">
        <f>'Sensitivity Labels'!F13</f>
        <v>1</v>
      </c>
      <c r="K3" s="5" t="b">
        <f>'Sensitivity Labels'!F15</f>
        <v>0</v>
      </c>
      <c r="L3" s="5" t="b">
        <f>'Sensitivity Labels'!F17</f>
        <v>0</v>
      </c>
      <c r="M3" s="527" t="str">
        <f t="shared" ref="M3:M22" si="1">(IF(D3="",P$3,IF(H3="TRUE",D3,(IF(OR(I3=TRUE,J3=TRUE),D3,(D3&amp;" - "&amp;P$4))))))</f>
        <v>Label-Public</v>
      </c>
      <c r="N3" s="527" t="str">
        <f>IF(D3="",P$3,IF(H3="True",D3,(IF(AND(I3=TRUE,J3=TRUE,K3=TRUE),$D3,(D3&amp;" - "&amp; P$4)))))</f>
        <v>Label-Public - Pending checkbox selection on Sensitivity Labels Tab</v>
      </c>
      <c r="O3" s="527" t="str">
        <f t="shared" ref="O3:O22" si="2">IF(D3="",P$3,IF(H3="true",D3,IF(L3=TRUE,$D3,(D3&amp;" - "&amp;P$4))))</f>
        <v>Label-Public - Pending checkbox selection on Sensitivity Labels Tab</v>
      </c>
      <c r="P3" s="95" t="s">
        <v>8</v>
      </c>
      <c r="R3" s="535"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32" x14ac:dyDescent="0.35">
      <c r="A4" s="5" t="s">
        <v>26</v>
      </c>
      <c r="B4" s="95">
        <f t="shared" ref="B4:B22" si="3">G4</f>
        <v>2</v>
      </c>
      <c r="C4" s="5" t="str">
        <f>IF('Sensitivity Labels'!C19="","",'Sensitivity Labels'!C19)</f>
        <v>Label</v>
      </c>
      <c r="D4" s="5" t="str">
        <f>IF('Sensitivity Labels'!D19="","",C4&amp;"-"&amp;'Sensitivity Labels'!D19)</f>
        <v>Label-General</v>
      </c>
      <c r="E4" s="5" t="str">
        <f>IF(OR(C4="",(LEFT(D4,3)="Par"),RIGHT(C4,1)="p"),"",D4)</f>
        <v>Label-General</v>
      </c>
      <c r="G4" s="5">
        <f>G3+1</f>
        <v>2</v>
      </c>
      <c r="H4" s="526" t="str">
        <f t="shared" ref="H4:H22" si="4">IF(OR(C4=A$3,C4=A$4),"true","false")</f>
        <v>false</v>
      </c>
      <c r="I4" s="5" t="b">
        <f>'Sensitivity Labels'!F19</f>
        <v>1</v>
      </c>
      <c r="J4" s="5" t="b">
        <f>'Sensitivity Labels'!F21</f>
        <v>1</v>
      </c>
      <c r="K4" s="5" t="b">
        <f>'Sensitivity Labels'!F23</f>
        <v>1</v>
      </c>
      <c r="L4" s="5" t="b">
        <f>'Sensitivity Labels'!F25</f>
        <v>1</v>
      </c>
      <c r="M4" s="527" t="str">
        <f t="shared" si="1"/>
        <v>Label-General</v>
      </c>
      <c r="N4" s="527" t="str">
        <f t="shared" ref="N4:N22" si="5">IF(D4="",P$3,IF(H4="True",D4,(IF(AND(I4=TRUE,J4=TRUE,K4=TRUE),$D4,(D4&amp;" - "&amp;P$4)))))</f>
        <v>Label-General</v>
      </c>
      <c r="O4" s="527" t="str">
        <f t="shared" si="2"/>
        <v>Label-General</v>
      </c>
      <c r="P4" s="533" t="s">
        <v>377</v>
      </c>
      <c r="R4" s="535"/>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29" x14ac:dyDescent="0.35">
      <c r="A5" s="5" t="s">
        <v>45</v>
      </c>
      <c r="B5" s="95">
        <f t="shared" si="3"/>
        <v>3</v>
      </c>
      <c r="C5" s="5" t="str">
        <f>IF('Sensitivity Labels'!C27="","",'Sensitivity Labels'!C27)</f>
        <v>Parent Label</v>
      </c>
      <c r="D5" s="5" t="str">
        <f>IF('Sensitivity Labels'!D27="","",C5&amp;"-"&amp;'Sensitivity Labels'!D27)</f>
        <v>Parent Label-Confidential</v>
      </c>
      <c r="E5" s="5" t="str">
        <f t="shared" si="0"/>
        <v/>
      </c>
      <c r="G5" s="5">
        <f t="shared" ref="G5:G22" si="6">G4+1</f>
        <v>3</v>
      </c>
      <c r="H5" s="526" t="str">
        <f t="shared" si="4"/>
        <v>true</v>
      </c>
      <c r="I5" s="5" t="b">
        <f>'Sensitivity Labels'!F27</f>
        <v>0</v>
      </c>
      <c r="J5" s="5" t="b">
        <f>'Sensitivity Labels'!F29</f>
        <v>0</v>
      </c>
      <c r="K5" s="5" t="b">
        <f>'Sensitivity Labels'!F31</f>
        <v>0</v>
      </c>
      <c r="L5" s="5" t="b">
        <f>'Sensitivity Labels'!F33</f>
        <v>0</v>
      </c>
      <c r="M5" s="527" t="str">
        <f t="shared" si="1"/>
        <v>Parent Label-Confidential</v>
      </c>
      <c r="N5" s="527" t="str">
        <f t="shared" si="5"/>
        <v>Parent Label-Confidential</v>
      </c>
      <c r="O5" s="527" t="str">
        <f t="shared" si="2"/>
        <v>Parent Label-Confidential</v>
      </c>
      <c r="R5" s="535"/>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6" x14ac:dyDescent="0.35">
      <c r="A6" s="5" t="s">
        <v>54</v>
      </c>
      <c r="B6" s="95">
        <f t="shared" si="3"/>
        <v>4</v>
      </c>
      <c r="C6" s="5" t="str">
        <f>IF('Sensitivity Labels'!C35="","",'Sensitivity Labels'!C35)</f>
        <v>Sub Label</v>
      </c>
      <c r="D6" s="5" t="str">
        <f>IF('Sensitivity Labels'!D35="","",C6&amp;"-"&amp;'Sensitivity Labels'!D35)</f>
        <v>Sub Label-All Employees</v>
      </c>
      <c r="E6" s="5" t="str">
        <f t="shared" si="0"/>
        <v>Sub Label-All Employees</v>
      </c>
      <c r="G6" s="5">
        <f t="shared" si="6"/>
        <v>4</v>
      </c>
      <c r="H6" s="526" t="str">
        <f t="shared" si="4"/>
        <v>false</v>
      </c>
      <c r="I6" s="5" t="b">
        <f>'Sensitivity Labels'!F35</f>
        <v>1</v>
      </c>
      <c r="J6" s="5" t="b">
        <f>'Sensitivity Labels'!F37</f>
        <v>1</v>
      </c>
      <c r="K6" s="5" t="b">
        <f>'Sensitivity Labels'!F39</f>
        <v>1</v>
      </c>
      <c r="L6" s="5" t="b">
        <f>'Sensitivity Labels'!F41</f>
        <v>1</v>
      </c>
      <c r="M6" s="527" t="str">
        <f t="shared" si="1"/>
        <v>Sub Label-All Employees</v>
      </c>
      <c r="N6" s="527" t="str">
        <f t="shared" si="5"/>
        <v>Sub Label-All Employees</v>
      </c>
      <c r="O6" s="527" t="str">
        <f t="shared" si="2"/>
        <v>Sub Label-All Employees</v>
      </c>
      <c r="R6" s="535"/>
      <c r="S6" s="5"/>
      <c r="V6" s="5"/>
      <c r="X6" s="6" t="s">
        <v>55</v>
      </c>
      <c r="Z6" s="6" t="s">
        <v>56</v>
      </c>
      <c r="AB6" s="5"/>
      <c r="AD6" s="5"/>
      <c r="AF6" s="5"/>
      <c r="AH6" s="5"/>
      <c r="AJ6" s="5"/>
      <c r="AN6" s="5"/>
      <c r="AP6" s="5" t="s">
        <v>57</v>
      </c>
      <c r="AR6" s="5"/>
      <c r="AT6" s="5"/>
      <c r="AV6" s="5" t="s">
        <v>35</v>
      </c>
      <c r="AZ6" s="5" t="s">
        <v>17</v>
      </c>
    </row>
    <row r="7" spans="1:54" ht="16" x14ac:dyDescent="0.35">
      <c r="A7" s="375"/>
      <c r="B7" s="5">
        <f t="shared" si="3"/>
        <v>5</v>
      </c>
      <c r="C7" s="5" t="str">
        <f>IF('Sensitivity Labels'!C43="","",'Sensitivity Labels'!C43)</f>
        <v>Sub Label</v>
      </c>
      <c r="D7" s="5" t="str">
        <f>IF('Sensitivity Labels'!D43="","",C7&amp;"-"&amp;'Sensitivity Labels'!D43)</f>
        <v>Sub Label-Specific People</v>
      </c>
      <c r="E7" s="5" t="str">
        <f t="shared" si="0"/>
        <v>Sub Label-Specific People</v>
      </c>
      <c r="G7" s="5">
        <f t="shared" si="6"/>
        <v>5</v>
      </c>
      <c r="H7" s="526" t="str">
        <f t="shared" si="4"/>
        <v>false</v>
      </c>
      <c r="I7" s="5" t="b">
        <f>'Sensitivity Labels'!F43</f>
        <v>1</v>
      </c>
      <c r="J7" s="5" t="b">
        <f>'Sensitivity Labels'!F45</f>
        <v>1</v>
      </c>
      <c r="K7" s="5" t="b">
        <f>'Sensitivity Labels'!F47</f>
        <v>1</v>
      </c>
      <c r="L7" s="5" t="b">
        <f>'Sensitivity Labels'!F49</f>
        <v>1</v>
      </c>
      <c r="M7" s="527" t="str">
        <f t="shared" si="1"/>
        <v>Sub Label-Specific People</v>
      </c>
      <c r="N7" s="527" t="str">
        <f t="shared" si="5"/>
        <v>Sub Label-Specific People</v>
      </c>
      <c r="O7" s="527" t="str">
        <f t="shared" si="2"/>
        <v>Sub Label-Specific People</v>
      </c>
      <c r="R7" s="535"/>
      <c r="S7" s="5"/>
      <c r="X7" s="6" t="s">
        <v>58</v>
      </c>
      <c r="Z7" s="5"/>
      <c r="AP7" s="5"/>
      <c r="AV7" s="5"/>
      <c r="AZ7" s="5"/>
    </row>
    <row r="8" spans="1:54" ht="32" x14ac:dyDescent="0.35">
      <c r="B8" s="5">
        <f t="shared" si="3"/>
        <v>6</v>
      </c>
      <c r="C8" s="5" t="str">
        <f>IF('Sensitivity Labels'!C51="","",'Sensitivity Labels'!C51)</f>
        <v>Sub Label</v>
      </c>
      <c r="D8" s="5" t="str">
        <f>IF('Sensitivity Labels'!D51="","",C8&amp;"-"&amp;'Sensitivity Labels'!D51)</f>
        <v>Sub Label-Internal exception</v>
      </c>
      <c r="E8" s="5" t="str">
        <f t="shared" si="0"/>
        <v>Sub Label-Internal exception</v>
      </c>
      <c r="G8" s="5">
        <f t="shared" si="6"/>
        <v>6</v>
      </c>
      <c r="H8" s="526" t="str">
        <f t="shared" si="4"/>
        <v>false</v>
      </c>
      <c r="I8" s="5" t="b">
        <f>'Sensitivity Labels'!F51</f>
        <v>1</v>
      </c>
      <c r="J8" s="5" t="b">
        <f>'Sensitivity Labels'!F53</f>
        <v>1</v>
      </c>
      <c r="K8" s="5" t="b">
        <f>'Sensitivity Labels'!F55</f>
        <v>1</v>
      </c>
      <c r="L8" s="5" t="b">
        <f>'Sensitivity Labels'!F57</f>
        <v>1</v>
      </c>
      <c r="M8" s="527" t="str">
        <f t="shared" si="1"/>
        <v>Sub Label-Internal exception</v>
      </c>
      <c r="N8" s="527" t="str">
        <f t="shared" si="5"/>
        <v>Sub Label-Internal exception</v>
      </c>
      <c r="O8" s="527" t="str">
        <f t="shared" si="2"/>
        <v>Sub Label-Internal exception</v>
      </c>
      <c r="R8" s="535"/>
      <c r="X8" s="6" t="s">
        <v>56</v>
      </c>
      <c r="Z8" s="5"/>
      <c r="AH8" s="6" t="s">
        <v>59</v>
      </c>
    </row>
    <row r="9" spans="1:54" ht="48" x14ac:dyDescent="0.35">
      <c r="B9" s="5">
        <f t="shared" si="3"/>
        <v>7</v>
      </c>
      <c r="C9" s="5" t="str">
        <f>IF('Sensitivity Labels'!C59="","",'Sensitivity Labels'!C59)</f>
        <v>Parent Label</v>
      </c>
      <c r="D9" s="5" t="str">
        <f>IF('Sensitivity Labels'!D59="","",C9&amp;"-"&amp;'Sensitivity Labels'!D59)</f>
        <v>Parent Label-Highly Confidential</v>
      </c>
      <c r="E9" s="5" t="str">
        <f t="shared" si="0"/>
        <v/>
      </c>
      <c r="G9" s="5">
        <f t="shared" si="6"/>
        <v>7</v>
      </c>
      <c r="H9" s="526" t="str">
        <f t="shared" si="4"/>
        <v>true</v>
      </c>
      <c r="I9" s="5" t="b">
        <f>'Sensitivity Labels'!F59</f>
        <v>0</v>
      </c>
      <c r="J9" s="5" t="b">
        <f>'Sensitivity Labels'!F61</f>
        <v>0</v>
      </c>
      <c r="K9" s="5" t="b">
        <f>'Sensitivity Labels'!F63</f>
        <v>0</v>
      </c>
      <c r="L9" s="5" t="b">
        <f>'Sensitivity Labels'!F65</f>
        <v>0</v>
      </c>
      <c r="M9" s="527" t="str">
        <f t="shared" si="1"/>
        <v>Parent Label-Highly Confidential</v>
      </c>
      <c r="N9" s="527" t="str">
        <f t="shared" si="5"/>
        <v>Parent Label-Highly Confidential</v>
      </c>
      <c r="O9" s="527" t="str">
        <f t="shared" si="2"/>
        <v>Parent Label-Highly Confidential</v>
      </c>
      <c r="R9" s="535"/>
      <c r="X9" s="5"/>
      <c r="AH9" s="6" t="s">
        <v>60</v>
      </c>
    </row>
    <row r="10" spans="1:54" x14ac:dyDescent="0.35">
      <c r="B10" s="5">
        <f t="shared" si="3"/>
        <v>8</v>
      </c>
      <c r="C10" s="5" t="str">
        <f>IF('Sensitivity Labels'!C67="","",'Sensitivity Labels'!C67)</f>
        <v>Sub Label</v>
      </c>
      <c r="D10" s="5" t="str">
        <f>IF('Sensitivity Labels'!D67="","",C10&amp;"-"&amp;'Sensitivity Labels'!D67)</f>
        <v>Sub Label-All Employees</v>
      </c>
      <c r="E10" s="5" t="str">
        <f t="shared" si="0"/>
        <v>Sub Label-All Employees</v>
      </c>
      <c r="G10" s="5">
        <f t="shared" si="6"/>
        <v>8</v>
      </c>
      <c r="H10" s="526" t="str">
        <f t="shared" si="4"/>
        <v>false</v>
      </c>
      <c r="I10" s="5" t="b">
        <f>'Sensitivity Labels'!F67</f>
        <v>1</v>
      </c>
      <c r="J10" s="5" t="b">
        <f>'Sensitivity Labels'!F69</f>
        <v>1</v>
      </c>
      <c r="K10" s="5" t="b">
        <f>'Sensitivity Labels'!F71</f>
        <v>1</v>
      </c>
      <c r="L10" s="5" t="b">
        <f>'Sensitivity Labels'!F73</f>
        <v>1</v>
      </c>
      <c r="M10" s="527" t="str">
        <f t="shared" si="1"/>
        <v>Sub Label-All Employees</v>
      </c>
      <c r="N10" s="527" t="str">
        <f t="shared" si="5"/>
        <v>Sub Label-All Employees</v>
      </c>
      <c r="O10" s="527" t="str">
        <f t="shared" si="2"/>
        <v>Sub Label-All Employees</v>
      </c>
      <c r="R10" s="535"/>
      <c r="X10" s="5"/>
      <c r="AH10" s="5"/>
    </row>
    <row r="11" spans="1:54" x14ac:dyDescent="0.35">
      <c r="B11" s="5">
        <f t="shared" si="3"/>
        <v>9</v>
      </c>
      <c r="C11" s="5" t="str">
        <f>IF('Sensitivity Labels'!C75="","",'Sensitivity Labels'!C75)</f>
        <v>Sub Label</v>
      </c>
      <c r="D11" s="5" t="str">
        <f>IF('Sensitivity Labels'!D75="","",C11&amp;"-"&amp;'Sensitivity Labels'!D75)</f>
        <v>Sub Label-Specific People</v>
      </c>
      <c r="E11" s="5" t="str">
        <f t="shared" si="0"/>
        <v>Sub Label-Specific People</v>
      </c>
      <c r="G11" s="5">
        <f t="shared" si="6"/>
        <v>9</v>
      </c>
      <c r="H11" s="526" t="str">
        <f t="shared" si="4"/>
        <v>false</v>
      </c>
      <c r="I11" s="5" t="b">
        <f>'Sensitivity Labels'!F75</f>
        <v>1</v>
      </c>
      <c r="J11" s="5" t="b">
        <f>'Sensitivity Labels'!F77</f>
        <v>1</v>
      </c>
      <c r="K11" s="5" t="b">
        <f>'Sensitivity Labels'!F79</f>
        <v>1</v>
      </c>
      <c r="L11" s="5" t="b">
        <f>'Sensitivity Labels'!F81</f>
        <v>1</v>
      </c>
      <c r="M11" s="527" t="str">
        <f t="shared" si="1"/>
        <v>Sub Label-Specific People</v>
      </c>
      <c r="N11" s="527" t="str">
        <f t="shared" si="5"/>
        <v>Sub Label-Specific People</v>
      </c>
      <c r="O11" s="527" t="str">
        <f t="shared" si="2"/>
        <v>Sub Label-Specific People</v>
      </c>
      <c r="R11" s="535"/>
      <c r="S11" s="4" t="s">
        <v>61</v>
      </c>
      <c r="AH11" s="5"/>
    </row>
    <row r="12" spans="1:54" x14ac:dyDescent="0.35">
      <c r="B12" s="5">
        <f t="shared" si="3"/>
        <v>10</v>
      </c>
      <c r="C12" s="5" t="str">
        <f>IF('Sensitivity Labels'!C83="","",'Sensitivity Labels'!C83)</f>
        <v>Sub Label</v>
      </c>
      <c r="D12" s="5" t="str">
        <f>IF('Sensitivity Labels'!D83="","",C12&amp;"-"&amp;'Sensitivity Labels'!D83)</f>
        <v>Sub Label-Internal exception</v>
      </c>
      <c r="E12" s="5" t="str">
        <f t="shared" si="0"/>
        <v>Sub Label-Internal exception</v>
      </c>
      <c r="G12" s="5">
        <f t="shared" si="6"/>
        <v>10</v>
      </c>
      <c r="H12" s="526" t="str">
        <f t="shared" si="4"/>
        <v>false</v>
      </c>
      <c r="I12" s="5" t="b">
        <f>'Sensitivity Labels'!F83</f>
        <v>1</v>
      </c>
      <c r="J12" s="5" t="b">
        <f>'Sensitivity Labels'!F85</f>
        <v>1</v>
      </c>
      <c r="K12" s="5" t="b">
        <f>'Sensitivity Labels'!F87</f>
        <v>1</v>
      </c>
      <c r="L12" s="5" t="b">
        <f>'Sensitivity Labels'!F89</f>
        <v>1</v>
      </c>
      <c r="M12" s="527" t="str">
        <f t="shared" si="1"/>
        <v>Sub Label-Internal exception</v>
      </c>
      <c r="N12" s="527" t="str">
        <f t="shared" si="5"/>
        <v>Sub Label-Internal exception</v>
      </c>
      <c r="O12" s="527" t="str">
        <f t="shared" si="2"/>
        <v>Sub Label-Internal exception</v>
      </c>
      <c r="R12" s="535"/>
      <c r="S12" s="3" t="s">
        <v>62</v>
      </c>
      <c r="AH12" s="5"/>
    </row>
    <row r="13" spans="1:54" x14ac:dyDescent="0.3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35"/>
      <c r="S13" s="3" t="s">
        <v>63</v>
      </c>
    </row>
    <row r="14" spans="1:54" x14ac:dyDescent="0.3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35"/>
      <c r="S14" s="3" t="s">
        <v>64</v>
      </c>
    </row>
    <row r="15" spans="1:54" x14ac:dyDescent="0.3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35"/>
      <c r="S15" s="3" t="s">
        <v>65</v>
      </c>
    </row>
    <row r="16" spans="1:54" x14ac:dyDescent="0.3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35"/>
      <c r="S16" s="3" t="s">
        <v>66</v>
      </c>
    </row>
    <row r="17" spans="2:19" x14ac:dyDescent="0.3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35"/>
      <c r="S17" s="3" t="s">
        <v>67</v>
      </c>
    </row>
    <row r="18" spans="2:19" x14ac:dyDescent="0.3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35"/>
      <c r="S18" s="3" t="s">
        <v>68</v>
      </c>
    </row>
    <row r="19" spans="2:19" x14ac:dyDescent="0.3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35"/>
      <c r="S19" s="3" t="s">
        <v>69</v>
      </c>
    </row>
    <row r="20" spans="2:19" x14ac:dyDescent="0.3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35"/>
      <c r="S20" s="3" t="s">
        <v>70</v>
      </c>
    </row>
    <row r="21" spans="2:19" x14ac:dyDescent="0.3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35"/>
      <c r="S21" s="3" t="s">
        <v>71</v>
      </c>
    </row>
    <row r="22" spans="2:19" x14ac:dyDescent="0.3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35"/>
    </row>
    <row r="23" spans="2:19" x14ac:dyDescent="0.35">
      <c r="E23" s="182" t="s">
        <v>72</v>
      </c>
      <c r="M23" s="524" t="s">
        <v>73</v>
      </c>
      <c r="N23" s="524" t="s">
        <v>74</v>
      </c>
      <c r="O23" s="524" t="s">
        <v>75</v>
      </c>
      <c r="R23" s="535"/>
    </row>
    <row r="24" spans="2:19" ht="29" x14ac:dyDescent="0.35">
      <c r="E24" s="5" t="str" cm="1">
        <f t="array" ref="E24:E31">IFERROR(_xlfn._xlws.FILTER(E3:E22,E3:E22&lt;&gt;""),"Please fill out Sensitivity Labels Tab")</f>
        <v>Label-Public</v>
      </c>
      <c r="M24" s="5" t="str" cm="1">
        <f t="array" ref="M24:M43">IFERROR(_xlfn._xlws.FILTER(M3:M22,M3:M22&lt;&gt;""),"Please fill out Sensitivity Labels Tab")</f>
        <v>Label-Public</v>
      </c>
      <c r="N24" s="5" t="str" cm="1">
        <f t="array" ref="N24:N43">IFERROR(_xlfn._xlws.FILTER(N3:N22,N3:N22&lt;&gt;""),"Please fill out Sensitivity Labels Tab")</f>
        <v>Label-Public - Pending checkbox selection on Sensitivity Labels Tab</v>
      </c>
      <c r="O24" s="5" t="str" cm="1">
        <f t="array" ref="O24:O43">IFERROR(_xlfn._xlws.FILTER(O3:O22,O3:O22&lt;&gt;""),"Please fill out Sensitivity Labels Tab")</f>
        <v>Label-Public - Pending checkbox selection on Sensitivity Labels Tab</v>
      </c>
      <c r="R24" s="39"/>
    </row>
    <row r="25" spans="2:19" x14ac:dyDescent="0.35">
      <c r="E25" s="5" t="str">
        <v>Label-General</v>
      </c>
      <c r="M25" s="5" t="str">
        <v>Label-General</v>
      </c>
      <c r="N25" s="5" t="str">
        <v>Label-General</v>
      </c>
      <c r="O25" s="5" t="str">
        <v>Label-General</v>
      </c>
      <c r="R25" s="3">
        <v>1</v>
      </c>
    </row>
    <row r="26" spans="2:19" x14ac:dyDescent="0.35">
      <c r="E26" s="5" t="str">
        <v>Sub Label-All Employees</v>
      </c>
      <c r="M26" s="5" t="str">
        <v>Parent Label-Confidential</v>
      </c>
      <c r="N26" s="5" t="str">
        <v>Parent Label-Confidential</v>
      </c>
      <c r="O26" s="5" t="str">
        <v>Parent Label-Confidential</v>
      </c>
      <c r="R26" s="3">
        <f>R25+1</f>
        <v>2</v>
      </c>
    </row>
    <row r="27" spans="2:19" x14ac:dyDescent="0.35">
      <c r="E27" s="5" t="str">
        <v>Sub Label-Specific People</v>
      </c>
      <c r="M27" s="5" t="str">
        <v>Sub Label-All Employees</v>
      </c>
      <c r="N27" s="5" t="str">
        <v>Sub Label-All Employees</v>
      </c>
      <c r="O27" s="5" t="str">
        <v>Sub Label-All Employees</v>
      </c>
      <c r="R27" s="3">
        <f t="shared" ref="R27:R44" si="7">R26+1</f>
        <v>3</v>
      </c>
    </row>
    <row r="28" spans="2:19" x14ac:dyDescent="0.35">
      <c r="C28"/>
      <c r="D28"/>
      <c r="E28" s="10" t="str">
        <v>Sub Label-Internal exception</v>
      </c>
      <c r="F28"/>
      <c r="M28" s="10" t="str">
        <v>Sub Label-Specific People</v>
      </c>
      <c r="N28" s="10" t="str">
        <v>Sub Label-Specific People</v>
      </c>
      <c r="O28" s="10" t="str">
        <v>Sub Label-Specific People</v>
      </c>
      <c r="R28" s="3">
        <f t="shared" si="7"/>
        <v>4</v>
      </c>
    </row>
    <row r="29" spans="2:19" x14ac:dyDescent="0.35">
      <c r="C29"/>
      <c r="D29"/>
      <c r="E29" s="10" t="str">
        <v>Sub Label-All Employees</v>
      </c>
      <c r="F29"/>
      <c r="M29" s="10" t="str">
        <v>Sub Label-Internal exception</v>
      </c>
      <c r="N29" s="10" t="str">
        <v>Sub Label-Internal exception</v>
      </c>
      <c r="O29" s="10" t="str">
        <v>Sub Label-Internal exception</v>
      </c>
      <c r="R29" s="3">
        <f t="shared" si="7"/>
        <v>5</v>
      </c>
    </row>
    <row r="30" spans="2:19" x14ac:dyDescent="0.35">
      <c r="C30"/>
      <c r="D30"/>
      <c r="E30" s="10" t="str">
        <v>Sub Label-Specific People</v>
      </c>
      <c r="F30"/>
      <c r="M30" s="10" t="str">
        <v>Parent Label-Highly Confidential</v>
      </c>
      <c r="N30" s="10" t="str">
        <v>Parent Label-Highly Confidential</v>
      </c>
      <c r="O30" s="10" t="str">
        <v>Parent Label-Highly Confidential</v>
      </c>
      <c r="R30" s="3">
        <f t="shared" si="7"/>
        <v>6</v>
      </c>
    </row>
    <row r="31" spans="2:19" x14ac:dyDescent="0.35">
      <c r="C31"/>
      <c r="D31"/>
      <c r="E31" s="10" t="str">
        <v>Sub Label-Internal exception</v>
      </c>
      <c r="F31"/>
      <c r="M31" s="10" t="str">
        <v>Sub Label-All Employees</v>
      </c>
      <c r="N31" s="10" t="str">
        <v>Sub Label-All Employees</v>
      </c>
      <c r="O31" s="10" t="str">
        <v>Sub Label-All Employees</v>
      </c>
      <c r="R31" s="3">
        <f t="shared" si="7"/>
        <v>7</v>
      </c>
    </row>
    <row r="32" spans="2:19" x14ac:dyDescent="0.35">
      <c r="E32" s="5"/>
      <c r="M32" s="5" t="str">
        <v>Sub Label-Specific People</v>
      </c>
      <c r="N32" s="5" t="str">
        <v>Sub Label-Specific People</v>
      </c>
      <c r="O32" s="5" t="str">
        <v>Sub Label-Specific People</v>
      </c>
      <c r="R32" s="3">
        <f t="shared" si="7"/>
        <v>8</v>
      </c>
    </row>
    <row r="33" spans="3:18" x14ac:dyDescent="0.35">
      <c r="E33" s="5"/>
      <c r="M33" s="5" t="str">
        <v>Sub Label-Internal exception</v>
      </c>
      <c r="N33" s="5" t="str">
        <v>Sub Label-Internal exception</v>
      </c>
      <c r="O33" s="5" t="str">
        <v>Sub Label-Internal exception</v>
      </c>
      <c r="R33" s="3">
        <f t="shared" si="7"/>
        <v>9</v>
      </c>
    </row>
    <row r="34" spans="3:18" x14ac:dyDescent="0.35">
      <c r="E34" s="5"/>
      <c r="M34" s="5" t="str">
        <v>Please fill out Sensitivity Labels Tab</v>
      </c>
      <c r="N34" s="5" t="str">
        <v>Please fill out Sensitivity Labels Tab</v>
      </c>
      <c r="O34" s="5" t="str">
        <v>Please fill out Sensitivity Labels Tab</v>
      </c>
      <c r="R34" s="3">
        <f t="shared" si="7"/>
        <v>10</v>
      </c>
    </row>
    <row r="35" spans="3:18" x14ac:dyDescent="0.35">
      <c r="E35" s="5"/>
      <c r="M35" s="5" t="str">
        <v>Please fill out Sensitivity Labels Tab</v>
      </c>
      <c r="N35" s="5" t="str">
        <v>Please fill out Sensitivity Labels Tab</v>
      </c>
      <c r="O35" s="5" t="str">
        <v>Please fill out Sensitivity Labels Tab</v>
      </c>
      <c r="R35" s="3">
        <f t="shared" si="7"/>
        <v>11</v>
      </c>
    </row>
    <row r="36" spans="3:18" x14ac:dyDescent="0.35">
      <c r="E36" s="5"/>
      <c r="M36" s="5" t="str">
        <v>Please fill out Sensitivity Labels Tab</v>
      </c>
      <c r="N36" s="5" t="str">
        <v>Please fill out Sensitivity Labels Tab</v>
      </c>
      <c r="O36" s="5" t="str">
        <v>Please fill out Sensitivity Labels Tab</v>
      </c>
      <c r="R36" s="3">
        <f t="shared" si="7"/>
        <v>12</v>
      </c>
    </row>
    <row r="37" spans="3:18" x14ac:dyDescent="0.35">
      <c r="E37" s="5"/>
      <c r="M37" s="5" t="str">
        <v>Please fill out Sensitivity Labels Tab</v>
      </c>
      <c r="N37" s="5" t="str">
        <v>Please fill out Sensitivity Labels Tab</v>
      </c>
      <c r="O37" s="5" t="str">
        <v>Please fill out Sensitivity Labels Tab</v>
      </c>
      <c r="R37" s="3">
        <f t="shared" si="7"/>
        <v>13</v>
      </c>
    </row>
    <row r="38" spans="3:18" x14ac:dyDescent="0.35">
      <c r="E38" s="5"/>
      <c r="M38" s="5" t="str">
        <v>Please fill out Sensitivity Labels Tab</v>
      </c>
      <c r="N38" s="5" t="str">
        <v>Please fill out Sensitivity Labels Tab</v>
      </c>
      <c r="O38" s="5" t="str">
        <v>Please fill out Sensitivity Labels Tab</v>
      </c>
      <c r="R38" s="3">
        <f t="shared" si="7"/>
        <v>14</v>
      </c>
    </row>
    <row r="39" spans="3:18" x14ac:dyDescent="0.35">
      <c r="E39" s="5"/>
      <c r="M39" s="5" t="str">
        <v>Please fill out Sensitivity Labels Tab</v>
      </c>
      <c r="N39" s="5" t="str">
        <v>Please fill out Sensitivity Labels Tab</v>
      </c>
      <c r="O39" s="5" t="str">
        <v>Please fill out Sensitivity Labels Tab</v>
      </c>
      <c r="R39" s="3">
        <f t="shared" si="7"/>
        <v>15</v>
      </c>
    </row>
    <row r="40" spans="3:18" x14ac:dyDescent="0.35">
      <c r="E40" s="5"/>
      <c r="M40" s="5" t="str">
        <v>Please fill out Sensitivity Labels Tab</v>
      </c>
      <c r="N40" s="5" t="str">
        <v>Please fill out Sensitivity Labels Tab</v>
      </c>
      <c r="O40" s="5" t="str">
        <v>Please fill out Sensitivity Labels Tab</v>
      </c>
      <c r="R40" s="3">
        <f t="shared" si="7"/>
        <v>16</v>
      </c>
    </row>
    <row r="41" spans="3:18" x14ac:dyDescent="0.35">
      <c r="E41" s="5"/>
      <c r="M41" s="5" t="str">
        <v>Please fill out Sensitivity Labels Tab</v>
      </c>
      <c r="N41" s="5" t="str">
        <v>Please fill out Sensitivity Labels Tab</v>
      </c>
      <c r="O41" s="5" t="str">
        <v>Please fill out Sensitivity Labels Tab</v>
      </c>
      <c r="R41" s="3">
        <f t="shared" si="7"/>
        <v>17</v>
      </c>
    </row>
    <row r="42" spans="3:18" x14ac:dyDescent="0.35">
      <c r="E42" s="5"/>
      <c r="M42" s="5" t="str">
        <v>Please fill out Sensitivity Labels Tab</v>
      </c>
      <c r="N42" s="5" t="str">
        <v>Please fill out Sensitivity Labels Tab</v>
      </c>
      <c r="O42" s="5" t="str">
        <v>Please fill out Sensitivity Labels Tab</v>
      </c>
      <c r="R42" s="3">
        <f t="shared" si="7"/>
        <v>18</v>
      </c>
    </row>
    <row r="43" spans="3:18" x14ac:dyDescent="0.35">
      <c r="E43" s="5"/>
      <c r="M43" s="5" t="str">
        <v>Please fill out Sensitivity Labels Tab</v>
      </c>
      <c r="N43" s="5" t="str">
        <v>Please fill out Sensitivity Labels Tab</v>
      </c>
      <c r="O43" s="5" t="str">
        <v>Please fill out Sensitivity Labels Tab</v>
      </c>
      <c r="R43" s="3">
        <f t="shared" si="7"/>
        <v>19</v>
      </c>
    </row>
    <row r="44" spans="3:18" x14ac:dyDescent="0.35">
      <c r="C44" s="4"/>
      <c r="D44" s="4"/>
      <c r="E44" s="181"/>
      <c r="F44" s="4"/>
      <c r="G44" s="4"/>
      <c r="H44" s="4"/>
      <c r="M44" s="181"/>
      <c r="N44" s="181"/>
      <c r="O44" s="181"/>
      <c r="R44" s="3">
        <f t="shared" si="7"/>
        <v>20</v>
      </c>
    </row>
    <row r="45" spans="3:18" x14ac:dyDescent="0.35">
      <c r="R45" s="39"/>
    </row>
    <row r="46" spans="3:18" x14ac:dyDescent="0.35">
      <c r="R46" s="39"/>
    </row>
    <row r="47" spans="3:18" x14ac:dyDescent="0.35">
      <c r="R47" s="39"/>
    </row>
    <row r="48" spans="3:18" x14ac:dyDescent="0.35">
      <c r="R48" s="39"/>
    </row>
    <row r="49" spans="1:52" x14ac:dyDescent="0.35">
      <c r="R49" s="39"/>
    </row>
    <row r="50" spans="1:52" x14ac:dyDescent="0.35">
      <c r="R50" s="39"/>
    </row>
    <row r="51" spans="1:52" x14ac:dyDescent="0.35">
      <c r="R51" s="39"/>
    </row>
    <row r="52" spans="1:52" x14ac:dyDescent="0.35">
      <c r="R52" s="39"/>
    </row>
    <row r="53" spans="1:52" x14ac:dyDescent="0.35">
      <c r="A53"/>
      <c r="B53"/>
      <c r="C53"/>
      <c r="D53"/>
      <c r="E53"/>
      <c r="F53"/>
      <c r="G53"/>
      <c r="H53"/>
      <c r="I53"/>
      <c r="J53"/>
      <c r="K53"/>
      <c r="L53"/>
      <c r="M53"/>
      <c r="N53"/>
      <c r="R53" s="39"/>
    </row>
    <row r="54" spans="1:52" s="13" customFormat="1" x14ac:dyDescent="0.35">
      <c r="A54"/>
      <c r="B54"/>
      <c r="C54"/>
      <c r="D54"/>
      <c r="E54"/>
      <c r="F54"/>
      <c r="G54"/>
      <c r="H54"/>
      <c r="I54"/>
      <c r="J54"/>
      <c r="K54"/>
      <c r="L54"/>
      <c r="M54"/>
      <c r="N54"/>
      <c r="R54" s="39"/>
      <c r="AZ54" s="3"/>
    </row>
    <row r="55" spans="1:52" x14ac:dyDescent="0.35">
      <c r="A55"/>
      <c r="B55"/>
      <c r="C55"/>
      <c r="D55"/>
      <c r="E55"/>
      <c r="F55"/>
      <c r="G55"/>
      <c r="H55"/>
      <c r="I55"/>
      <c r="J55"/>
      <c r="K55"/>
      <c r="L55"/>
      <c r="M55"/>
      <c r="N55"/>
      <c r="R55" s="39"/>
    </row>
    <row r="56" spans="1:52" x14ac:dyDescent="0.35">
      <c r="A56"/>
      <c r="B56"/>
      <c r="C56"/>
      <c r="D56"/>
      <c r="E56"/>
      <c r="F56"/>
      <c r="G56"/>
      <c r="H56"/>
      <c r="I56"/>
      <c r="J56"/>
      <c r="K56"/>
      <c r="L56"/>
      <c r="M56"/>
      <c r="N56"/>
      <c r="R56" s="39"/>
      <c r="AZ56" s="13"/>
    </row>
    <row r="57" spans="1:52" x14ac:dyDescent="0.35">
      <c r="A57"/>
      <c r="B57"/>
      <c r="C57"/>
      <c r="D57"/>
      <c r="E57"/>
      <c r="F57"/>
      <c r="G57"/>
      <c r="H57"/>
      <c r="I57"/>
      <c r="J57"/>
      <c r="K57"/>
      <c r="L57"/>
      <c r="M57"/>
      <c r="N57"/>
      <c r="R57" s="39"/>
    </row>
    <row r="58" spans="1:52" x14ac:dyDescent="0.35">
      <c r="A58"/>
      <c r="B58"/>
      <c r="C58"/>
      <c r="D58"/>
      <c r="E58"/>
      <c r="F58"/>
      <c r="G58"/>
      <c r="H58"/>
      <c r="I58"/>
      <c r="J58"/>
      <c r="K58"/>
      <c r="L58"/>
      <c r="M58"/>
      <c r="N58"/>
      <c r="R58" s="39"/>
    </row>
    <row r="59" spans="1:52" x14ac:dyDescent="0.35">
      <c r="A59"/>
      <c r="B59"/>
      <c r="C59"/>
      <c r="D59"/>
      <c r="E59"/>
      <c r="F59"/>
      <c r="G59"/>
      <c r="H59"/>
      <c r="I59"/>
      <c r="J59"/>
      <c r="K59"/>
      <c r="L59"/>
      <c r="M59"/>
      <c r="N59"/>
      <c r="R59" s="39"/>
    </row>
    <row r="60" spans="1:52" x14ac:dyDescent="0.35">
      <c r="A60"/>
      <c r="B60"/>
      <c r="C60"/>
      <c r="D60"/>
      <c r="E60"/>
      <c r="F60"/>
      <c r="G60"/>
      <c r="H60"/>
      <c r="I60"/>
      <c r="J60"/>
      <c r="K60"/>
      <c r="L60"/>
      <c r="M60"/>
      <c r="N60"/>
      <c r="R60" s="39"/>
    </row>
    <row r="61" spans="1:52" x14ac:dyDescent="0.35">
      <c r="A61"/>
      <c r="B61"/>
      <c r="C61"/>
      <c r="D61"/>
      <c r="E61"/>
      <c r="F61"/>
      <c r="G61"/>
      <c r="H61"/>
      <c r="I61"/>
      <c r="J61"/>
      <c r="K61"/>
      <c r="L61"/>
      <c r="M61"/>
      <c r="N61"/>
      <c r="R61" s="39"/>
    </row>
    <row r="62" spans="1:52" x14ac:dyDescent="0.35">
      <c r="A62"/>
      <c r="B62"/>
      <c r="C62"/>
      <c r="D62"/>
      <c r="E62"/>
      <c r="F62"/>
      <c r="G62"/>
      <c r="H62"/>
      <c r="I62"/>
      <c r="J62"/>
      <c r="K62"/>
      <c r="L62"/>
      <c r="M62"/>
      <c r="N62"/>
      <c r="R62" s="39"/>
    </row>
    <row r="63" spans="1:52" x14ac:dyDescent="0.35">
      <c r="A63"/>
      <c r="B63"/>
      <c r="C63"/>
      <c r="D63"/>
      <c r="E63"/>
      <c r="F63"/>
      <c r="G63"/>
      <c r="H63"/>
      <c r="I63"/>
      <c r="J63"/>
      <c r="K63"/>
      <c r="L63"/>
      <c r="M63"/>
      <c r="N63"/>
      <c r="R63" s="39"/>
    </row>
    <row r="64" spans="1:52" x14ac:dyDescent="0.35">
      <c r="A64"/>
      <c r="B64"/>
      <c r="C64"/>
      <c r="D64"/>
      <c r="E64"/>
      <c r="F64"/>
      <c r="G64"/>
      <c r="H64"/>
      <c r="I64"/>
      <c r="J64"/>
      <c r="K64"/>
      <c r="L64"/>
      <c r="M64"/>
      <c r="N64"/>
      <c r="R64" s="39"/>
    </row>
    <row r="65" spans="1:20" x14ac:dyDescent="0.35">
      <c r="A65"/>
      <c r="B65"/>
      <c r="C65"/>
      <c r="D65"/>
      <c r="E65"/>
      <c r="F65"/>
      <c r="G65"/>
      <c r="H65"/>
      <c r="I65"/>
      <c r="J65"/>
      <c r="K65"/>
      <c r="L65"/>
      <c r="M65"/>
      <c r="N65"/>
      <c r="R65" s="39"/>
    </row>
    <row r="66" spans="1:20" x14ac:dyDescent="0.35">
      <c r="A66"/>
      <c r="B66"/>
      <c r="C66"/>
      <c r="D66"/>
      <c r="E66"/>
      <c r="F66"/>
      <c r="G66"/>
      <c r="H66"/>
      <c r="I66"/>
      <c r="J66"/>
      <c r="K66"/>
      <c r="L66"/>
      <c r="M66"/>
      <c r="N66"/>
      <c r="R66" s="39"/>
    </row>
    <row r="67" spans="1:20" x14ac:dyDescent="0.35">
      <c r="A67"/>
      <c r="B67"/>
      <c r="C67"/>
      <c r="D67"/>
      <c r="E67"/>
      <c r="F67"/>
      <c r="G67"/>
      <c r="H67"/>
      <c r="I67"/>
      <c r="J67"/>
      <c r="K67"/>
      <c r="L67"/>
      <c r="M67"/>
      <c r="N67"/>
      <c r="R67" s="39"/>
    </row>
    <row r="68" spans="1:20" x14ac:dyDescent="0.35">
      <c r="A68"/>
      <c r="B68"/>
      <c r="C68"/>
      <c r="D68"/>
      <c r="E68"/>
      <c r="F68"/>
      <c r="G68"/>
      <c r="H68"/>
      <c r="I68"/>
      <c r="J68"/>
      <c r="K68"/>
      <c r="L68"/>
      <c r="M68"/>
      <c r="N68"/>
      <c r="R68" s="39"/>
    </row>
    <row r="69" spans="1:20" x14ac:dyDescent="0.35">
      <c r="A69"/>
      <c r="B69"/>
      <c r="C69"/>
      <c r="D69"/>
      <c r="E69"/>
      <c r="F69"/>
      <c r="G69"/>
      <c r="H69"/>
      <c r="I69"/>
      <c r="J69"/>
      <c r="K69"/>
      <c r="L69"/>
      <c r="M69"/>
      <c r="N69"/>
      <c r="R69" s="39"/>
    </row>
    <row r="70" spans="1:20" x14ac:dyDescent="0.35">
      <c r="A70"/>
      <c r="B70"/>
      <c r="C70"/>
      <c r="D70"/>
      <c r="E70"/>
      <c r="F70"/>
      <c r="G70"/>
      <c r="H70"/>
      <c r="I70"/>
      <c r="J70"/>
      <c r="K70"/>
      <c r="L70"/>
      <c r="M70"/>
      <c r="N70"/>
      <c r="R70" s="39"/>
    </row>
    <row r="71" spans="1:20" x14ac:dyDescent="0.35">
      <c r="A71"/>
      <c r="B71"/>
      <c r="C71"/>
      <c r="D71"/>
      <c r="E71"/>
      <c r="F71"/>
      <c r="G71"/>
      <c r="H71"/>
      <c r="I71"/>
      <c r="J71"/>
      <c r="K71"/>
      <c r="L71"/>
      <c r="M71"/>
      <c r="N71"/>
      <c r="R71" s="39"/>
    </row>
    <row r="72" spans="1:20" x14ac:dyDescent="0.35">
      <c r="A72"/>
      <c r="B72"/>
      <c r="C72"/>
      <c r="D72"/>
      <c r="E72"/>
      <c r="F72"/>
      <c r="G72"/>
      <c r="H72"/>
      <c r="I72"/>
      <c r="J72"/>
      <c r="K72"/>
      <c r="L72"/>
      <c r="M72"/>
      <c r="N72"/>
      <c r="R72" s="39"/>
    </row>
    <row r="73" spans="1:20" x14ac:dyDescent="0.35">
      <c r="A73"/>
      <c r="B73"/>
      <c r="C73"/>
      <c r="D73"/>
      <c r="E73"/>
      <c r="F73"/>
      <c r="G73"/>
      <c r="H73"/>
      <c r="I73"/>
      <c r="J73"/>
      <c r="K73"/>
      <c r="L73"/>
      <c r="M73"/>
      <c r="N73"/>
      <c r="R73" s="39"/>
    </row>
    <row r="74" spans="1:20" x14ac:dyDescent="0.35">
      <c r="A74"/>
      <c r="B74"/>
      <c r="C74"/>
      <c r="D74"/>
      <c r="E74"/>
      <c r="F74"/>
      <c r="G74"/>
      <c r="H74"/>
      <c r="I74"/>
      <c r="J74"/>
      <c r="K74"/>
      <c r="L74"/>
      <c r="M74"/>
      <c r="N74"/>
      <c r="R74" s="39"/>
    </row>
    <row r="75" spans="1:20" x14ac:dyDescent="0.35">
      <c r="A75"/>
      <c r="B75"/>
      <c r="C75"/>
      <c r="D75"/>
      <c r="E75"/>
      <c r="F75"/>
      <c r="G75"/>
      <c r="H75"/>
      <c r="I75"/>
      <c r="J75"/>
      <c r="K75"/>
      <c r="L75"/>
      <c r="M75"/>
      <c r="N75"/>
      <c r="R75" s="39"/>
    </row>
    <row r="76" spans="1:20" x14ac:dyDescent="0.35">
      <c r="A76"/>
      <c r="B76"/>
      <c r="C76"/>
      <c r="D76"/>
      <c r="E76"/>
      <c r="F76"/>
      <c r="G76"/>
      <c r="H76"/>
      <c r="I76"/>
      <c r="J76"/>
      <c r="K76"/>
      <c r="L76"/>
      <c r="M76"/>
      <c r="N76"/>
      <c r="R76" s="39"/>
    </row>
    <row r="77" spans="1:20" x14ac:dyDescent="0.35">
      <c r="A77"/>
      <c r="B77"/>
      <c r="C77"/>
      <c r="D77"/>
      <c r="E77"/>
      <c r="F77"/>
      <c r="G77"/>
      <c r="H77"/>
      <c r="I77"/>
      <c r="J77"/>
      <c r="K77"/>
      <c r="L77"/>
      <c r="M77"/>
      <c r="N77"/>
      <c r="R77" s="39"/>
    </row>
    <row r="78" spans="1:20" x14ac:dyDescent="0.35">
      <c r="A78"/>
      <c r="B78"/>
      <c r="C78"/>
      <c r="D78"/>
      <c r="E78"/>
      <c r="F78"/>
      <c r="G78"/>
      <c r="H78"/>
      <c r="I78"/>
      <c r="J78"/>
      <c r="K78"/>
      <c r="L78"/>
      <c r="M78"/>
      <c r="N78"/>
      <c r="R78" s="536"/>
      <c r="S78" s="536"/>
      <c r="T78" s="13"/>
    </row>
    <row r="79" spans="1:20" x14ac:dyDescent="0.35">
      <c r="A79"/>
      <c r="B79"/>
      <c r="C79"/>
      <c r="D79"/>
      <c r="E79"/>
      <c r="F79"/>
      <c r="G79"/>
      <c r="H79"/>
      <c r="I79"/>
      <c r="J79"/>
      <c r="K79"/>
      <c r="L79"/>
      <c r="M79"/>
      <c r="N79"/>
      <c r="P79" s="4"/>
    </row>
    <row r="80" spans="1:20" x14ac:dyDescent="0.35">
      <c r="A80"/>
      <c r="B80"/>
      <c r="C80"/>
      <c r="D80"/>
      <c r="E80"/>
      <c r="F80"/>
      <c r="G80"/>
      <c r="H80"/>
      <c r="I80"/>
      <c r="J80"/>
      <c r="K80"/>
      <c r="L80"/>
      <c r="M80"/>
      <c r="N80"/>
    </row>
    <row r="81" spans="1:14" x14ac:dyDescent="0.35">
      <c r="A81"/>
      <c r="B81"/>
      <c r="C81"/>
      <c r="D81"/>
      <c r="E81"/>
      <c r="F81"/>
      <c r="G81"/>
      <c r="H81"/>
      <c r="I81"/>
      <c r="J81"/>
      <c r="K81"/>
      <c r="L81"/>
      <c r="M81"/>
      <c r="N81"/>
    </row>
    <row r="82" spans="1:14" x14ac:dyDescent="0.35">
      <c r="A82"/>
      <c r="B82"/>
      <c r="C82"/>
      <c r="D82"/>
      <c r="E82"/>
      <c r="F82"/>
      <c r="G82"/>
      <c r="H82"/>
      <c r="I82"/>
      <c r="J82"/>
      <c r="K82"/>
      <c r="L82"/>
      <c r="M82"/>
      <c r="N82"/>
    </row>
    <row r="83" spans="1:14" x14ac:dyDescent="0.35">
      <c r="A83"/>
      <c r="B83"/>
      <c r="C83"/>
      <c r="D83"/>
      <c r="E83"/>
      <c r="F83"/>
      <c r="G83"/>
      <c r="H83"/>
      <c r="I83"/>
      <c r="J83"/>
      <c r="K83"/>
      <c r="L83"/>
      <c r="M83"/>
      <c r="N83"/>
    </row>
    <row r="84" spans="1:14" x14ac:dyDescent="0.35">
      <c r="A84"/>
      <c r="B84"/>
      <c r="C84"/>
      <c r="D84"/>
      <c r="E84"/>
      <c r="F84"/>
      <c r="G84"/>
      <c r="H84"/>
      <c r="I84"/>
      <c r="J84"/>
      <c r="K84"/>
      <c r="L84"/>
      <c r="M84"/>
      <c r="N84"/>
    </row>
    <row r="85" spans="1:14" x14ac:dyDescent="0.35">
      <c r="A85"/>
      <c r="B85"/>
      <c r="C85"/>
      <c r="D85"/>
      <c r="E85"/>
      <c r="F85"/>
      <c r="G85"/>
      <c r="H85"/>
      <c r="I85"/>
      <c r="J85"/>
      <c r="K85"/>
      <c r="L85"/>
      <c r="M85"/>
      <c r="N85"/>
    </row>
    <row r="86" spans="1:14" x14ac:dyDescent="0.35">
      <c r="A86"/>
      <c r="B86"/>
      <c r="C86"/>
      <c r="D86"/>
      <c r="E86"/>
      <c r="F86"/>
      <c r="G86"/>
      <c r="H86"/>
      <c r="I86"/>
      <c r="J86"/>
      <c r="K86"/>
      <c r="L86"/>
      <c r="M86"/>
      <c r="N86"/>
    </row>
    <row r="87" spans="1:14" x14ac:dyDescent="0.35">
      <c r="A87"/>
      <c r="B87"/>
      <c r="C87"/>
      <c r="D87"/>
      <c r="E87"/>
      <c r="F87"/>
      <c r="G87"/>
      <c r="H87"/>
      <c r="I87"/>
      <c r="J87"/>
      <c r="K87"/>
      <c r="L87"/>
      <c r="M87"/>
      <c r="N87"/>
    </row>
    <row r="88" spans="1:14" x14ac:dyDescent="0.35">
      <c r="A88"/>
      <c r="B88"/>
      <c r="C88"/>
      <c r="D88"/>
      <c r="E88"/>
      <c r="F88"/>
      <c r="G88"/>
      <c r="H88"/>
      <c r="I88"/>
      <c r="J88"/>
      <c r="K88"/>
      <c r="L88"/>
      <c r="M88"/>
      <c r="N88"/>
    </row>
    <row r="89" spans="1:14" x14ac:dyDescent="0.35">
      <c r="A89"/>
      <c r="B89"/>
      <c r="C89"/>
      <c r="D89"/>
      <c r="E89"/>
      <c r="F89"/>
      <c r="G89"/>
      <c r="H89"/>
      <c r="I89"/>
      <c r="J89"/>
      <c r="K89"/>
      <c r="L89"/>
      <c r="M89"/>
      <c r="N89"/>
    </row>
    <row r="90" spans="1:14" x14ac:dyDescent="0.35">
      <c r="A90"/>
      <c r="B90"/>
      <c r="C90"/>
      <c r="D90"/>
      <c r="E90"/>
      <c r="F90"/>
      <c r="G90"/>
      <c r="H90"/>
      <c r="I90"/>
      <c r="J90"/>
      <c r="K90"/>
      <c r="L90"/>
      <c r="M90"/>
      <c r="N90"/>
    </row>
    <row r="91" spans="1:14" x14ac:dyDescent="0.35">
      <c r="A91"/>
      <c r="B91"/>
      <c r="C91"/>
      <c r="D91"/>
      <c r="E91"/>
      <c r="F91"/>
      <c r="G91"/>
      <c r="H91"/>
      <c r="I91"/>
      <c r="J91"/>
      <c r="K91"/>
      <c r="L91"/>
      <c r="M91"/>
      <c r="N91"/>
    </row>
    <row r="92" spans="1:14" x14ac:dyDescent="0.35">
      <c r="A92"/>
      <c r="B92"/>
      <c r="C92"/>
      <c r="D92"/>
      <c r="E92"/>
      <c r="F92"/>
      <c r="G92"/>
      <c r="H92"/>
      <c r="I92"/>
      <c r="J92"/>
      <c r="K92"/>
      <c r="L92"/>
      <c r="M92"/>
      <c r="N92"/>
    </row>
    <row r="93" spans="1:14" x14ac:dyDescent="0.35">
      <c r="A93"/>
      <c r="B93"/>
      <c r="C93"/>
      <c r="D93"/>
      <c r="E93"/>
      <c r="F93"/>
      <c r="G93"/>
      <c r="H93"/>
      <c r="I93"/>
      <c r="J93"/>
      <c r="K93"/>
      <c r="L93"/>
      <c r="M93"/>
      <c r="N93"/>
    </row>
    <row r="94" spans="1:14" x14ac:dyDescent="0.35">
      <c r="A94"/>
      <c r="B94"/>
      <c r="C94"/>
      <c r="D94"/>
      <c r="E94"/>
      <c r="F94"/>
      <c r="G94"/>
      <c r="H94"/>
      <c r="I94"/>
      <c r="J94"/>
      <c r="K94"/>
      <c r="L94"/>
      <c r="M94"/>
      <c r="N94"/>
    </row>
    <row r="95" spans="1:14" x14ac:dyDescent="0.35">
      <c r="A95"/>
      <c r="B95"/>
      <c r="C95"/>
      <c r="D95"/>
      <c r="E95"/>
      <c r="F95"/>
      <c r="G95"/>
      <c r="H95"/>
      <c r="I95"/>
      <c r="J95"/>
      <c r="K95"/>
      <c r="L95"/>
      <c r="M95"/>
      <c r="N95"/>
    </row>
    <row r="96" spans="1:14" x14ac:dyDescent="0.35">
      <c r="A96"/>
      <c r="B96"/>
      <c r="C96"/>
      <c r="D96"/>
      <c r="E96"/>
      <c r="F96"/>
      <c r="G96"/>
      <c r="H96"/>
      <c r="I96"/>
      <c r="J96"/>
      <c r="K96"/>
      <c r="L96"/>
      <c r="M96"/>
      <c r="N96"/>
    </row>
    <row r="97" spans="1:14" x14ac:dyDescent="0.35">
      <c r="A97"/>
      <c r="B97"/>
      <c r="C97"/>
      <c r="D97"/>
      <c r="E97"/>
      <c r="F97"/>
      <c r="G97"/>
      <c r="H97"/>
      <c r="I97"/>
      <c r="J97"/>
      <c r="K97"/>
      <c r="L97"/>
      <c r="M97"/>
      <c r="N97"/>
    </row>
    <row r="98" spans="1:14" x14ac:dyDescent="0.35">
      <c r="A98"/>
      <c r="B98"/>
      <c r="C98"/>
      <c r="D98"/>
      <c r="E98"/>
      <c r="F98"/>
      <c r="G98"/>
      <c r="H98"/>
      <c r="I98"/>
      <c r="J98"/>
      <c r="K98"/>
      <c r="L98"/>
      <c r="M98"/>
      <c r="N98"/>
    </row>
    <row r="99" spans="1:14" x14ac:dyDescent="0.35">
      <c r="A99"/>
      <c r="B99"/>
      <c r="C99"/>
      <c r="D99"/>
      <c r="E99"/>
      <c r="F99"/>
      <c r="G99"/>
      <c r="H99"/>
      <c r="I99"/>
      <c r="J99"/>
      <c r="K99"/>
      <c r="L99"/>
      <c r="M99"/>
      <c r="N99"/>
    </row>
    <row r="100" spans="1:14" x14ac:dyDescent="0.35">
      <c r="A100"/>
      <c r="B100"/>
      <c r="C100"/>
      <c r="D100"/>
      <c r="E100"/>
      <c r="F100"/>
      <c r="G100"/>
      <c r="H100"/>
      <c r="I100"/>
      <c r="J100"/>
      <c r="K100"/>
      <c r="L100"/>
      <c r="M100"/>
      <c r="N100"/>
    </row>
    <row r="101" spans="1:14" x14ac:dyDescent="0.35">
      <c r="A101"/>
      <c r="B101"/>
      <c r="C101"/>
      <c r="D101"/>
      <c r="E101"/>
      <c r="F101"/>
      <c r="G101"/>
      <c r="H101"/>
      <c r="I101"/>
      <c r="J101"/>
      <c r="K101"/>
      <c r="L101"/>
      <c r="M101"/>
      <c r="N101"/>
    </row>
    <row r="102" spans="1:14" x14ac:dyDescent="0.35">
      <c r="A102"/>
      <c r="B102"/>
      <c r="C102"/>
      <c r="D102"/>
      <c r="E102"/>
      <c r="F102"/>
      <c r="G102"/>
      <c r="H102"/>
      <c r="I102"/>
      <c r="J102"/>
      <c r="K102"/>
      <c r="L102"/>
      <c r="M102"/>
      <c r="N102"/>
    </row>
    <row r="103" spans="1:14" x14ac:dyDescent="0.35">
      <c r="A103"/>
      <c r="B103"/>
      <c r="C103"/>
      <c r="D103"/>
      <c r="E103"/>
      <c r="F103"/>
      <c r="G103"/>
      <c r="H103"/>
      <c r="I103"/>
      <c r="J103"/>
      <c r="K103"/>
      <c r="L103"/>
      <c r="M103"/>
      <c r="N103"/>
    </row>
    <row r="104" spans="1:14" x14ac:dyDescent="0.35">
      <c r="A104"/>
      <c r="B104"/>
      <c r="C104"/>
      <c r="D104"/>
      <c r="E104"/>
      <c r="F104"/>
      <c r="G104"/>
      <c r="H104"/>
      <c r="I104"/>
      <c r="J104"/>
      <c r="K104"/>
      <c r="L104"/>
      <c r="M104"/>
      <c r="N104"/>
    </row>
    <row r="105" spans="1:14" x14ac:dyDescent="0.35">
      <c r="A105"/>
      <c r="B105"/>
      <c r="C105"/>
      <c r="D105"/>
      <c r="E105"/>
      <c r="F105"/>
      <c r="G105"/>
      <c r="H105"/>
      <c r="I105"/>
      <c r="J105"/>
      <c r="K105"/>
      <c r="L105"/>
      <c r="M105"/>
      <c r="N105"/>
    </row>
    <row r="106" spans="1:14" x14ac:dyDescent="0.35">
      <c r="A106"/>
      <c r="B106"/>
      <c r="C106"/>
      <c r="D106"/>
      <c r="E106"/>
      <c r="F106"/>
      <c r="G106"/>
      <c r="H106"/>
      <c r="I106"/>
      <c r="J106"/>
      <c r="K106"/>
      <c r="L106"/>
      <c r="M106"/>
      <c r="N106"/>
    </row>
    <row r="107" spans="1:14" x14ac:dyDescent="0.35">
      <c r="A107"/>
      <c r="B107"/>
      <c r="C107"/>
      <c r="D107"/>
      <c r="E107"/>
      <c r="F107"/>
      <c r="G107"/>
      <c r="H107"/>
      <c r="I107"/>
      <c r="J107"/>
      <c r="K107"/>
      <c r="L107"/>
      <c r="M107"/>
      <c r="N107"/>
    </row>
    <row r="108" spans="1:14" x14ac:dyDescent="0.35">
      <c r="A108"/>
      <c r="B108"/>
      <c r="C108"/>
      <c r="D108"/>
      <c r="E108"/>
      <c r="F108"/>
      <c r="G108"/>
      <c r="H108"/>
      <c r="I108"/>
      <c r="J108"/>
      <c r="K108"/>
      <c r="L108"/>
      <c r="M108"/>
      <c r="N108"/>
    </row>
    <row r="109" spans="1:14" x14ac:dyDescent="0.35">
      <c r="A109"/>
      <c r="B109"/>
      <c r="C109"/>
      <c r="D109"/>
      <c r="E109"/>
      <c r="F109"/>
      <c r="G109"/>
      <c r="H109"/>
      <c r="I109"/>
      <c r="J109"/>
      <c r="K109"/>
      <c r="L109"/>
      <c r="M109"/>
      <c r="N109"/>
    </row>
    <row r="110" spans="1:14" x14ac:dyDescent="0.35">
      <c r="A110"/>
      <c r="B110"/>
      <c r="C110"/>
      <c r="D110"/>
      <c r="E110"/>
      <c r="F110"/>
      <c r="G110"/>
      <c r="H110"/>
      <c r="I110"/>
      <c r="J110"/>
      <c r="K110"/>
      <c r="L110"/>
      <c r="M110"/>
      <c r="N110"/>
    </row>
    <row r="111" spans="1:14" x14ac:dyDescent="0.35">
      <c r="A111"/>
      <c r="B111"/>
      <c r="C111"/>
      <c r="D111"/>
      <c r="E111"/>
      <c r="F111"/>
      <c r="G111"/>
      <c r="H111"/>
      <c r="I111"/>
      <c r="J111"/>
      <c r="K111"/>
      <c r="L111"/>
      <c r="M111"/>
      <c r="N111"/>
    </row>
    <row r="112" spans="1:14" x14ac:dyDescent="0.35">
      <c r="A112"/>
      <c r="B112"/>
      <c r="C112"/>
      <c r="D112"/>
      <c r="E112"/>
      <c r="F112"/>
      <c r="G112"/>
      <c r="H112"/>
      <c r="I112"/>
      <c r="J112"/>
      <c r="K112"/>
      <c r="L112"/>
      <c r="M112"/>
      <c r="N112"/>
    </row>
    <row r="113" spans="1:14" x14ac:dyDescent="0.35">
      <c r="A113"/>
      <c r="B113"/>
      <c r="C113"/>
      <c r="D113"/>
      <c r="E113"/>
      <c r="F113"/>
      <c r="G113"/>
      <c r="H113"/>
      <c r="I113"/>
      <c r="J113"/>
      <c r="K113"/>
      <c r="L113"/>
      <c r="M113"/>
      <c r="N113"/>
    </row>
    <row r="114" spans="1:14" x14ac:dyDescent="0.35">
      <c r="A114"/>
      <c r="B114"/>
      <c r="C114"/>
      <c r="D114"/>
      <c r="E114"/>
      <c r="F114"/>
      <c r="G114"/>
      <c r="H114"/>
      <c r="I114"/>
      <c r="J114"/>
      <c r="K114"/>
      <c r="L114"/>
      <c r="M114"/>
      <c r="N114"/>
    </row>
    <row r="115" spans="1:14" x14ac:dyDescent="0.35">
      <c r="A115"/>
      <c r="B115"/>
      <c r="C115"/>
      <c r="D115"/>
      <c r="E115"/>
      <c r="F115"/>
      <c r="G115"/>
      <c r="H115"/>
      <c r="I115"/>
      <c r="J115"/>
      <c r="K115"/>
      <c r="L115"/>
      <c r="M115"/>
      <c r="N115"/>
    </row>
    <row r="116" spans="1:14" x14ac:dyDescent="0.35">
      <c r="A116"/>
      <c r="B116"/>
      <c r="C116"/>
      <c r="D116"/>
      <c r="E116"/>
      <c r="F116"/>
      <c r="G116"/>
      <c r="H116"/>
      <c r="I116"/>
      <c r="J116"/>
      <c r="K116"/>
      <c r="L116"/>
      <c r="M116"/>
      <c r="N116"/>
    </row>
    <row r="117" spans="1:14" x14ac:dyDescent="0.35">
      <c r="A117"/>
      <c r="B117"/>
      <c r="C117"/>
      <c r="D117"/>
      <c r="E117"/>
      <c r="F117"/>
      <c r="G117"/>
      <c r="H117"/>
      <c r="I117"/>
      <c r="J117"/>
      <c r="K117"/>
      <c r="L117"/>
      <c r="M117"/>
      <c r="N117"/>
    </row>
    <row r="118" spans="1:14" x14ac:dyDescent="0.35">
      <c r="A118"/>
      <c r="B118"/>
      <c r="C118"/>
      <c r="D118"/>
      <c r="E118"/>
      <c r="F118"/>
      <c r="G118"/>
      <c r="H118"/>
      <c r="I118"/>
      <c r="J118"/>
      <c r="K118"/>
      <c r="L118"/>
      <c r="M118"/>
      <c r="N118"/>
    </row>
    <row r="119" spans="1:14" x14ac:dyDescent="0.35">
      <c r="A119"/>
      <c r="B119"/>
      <c r="C119"/>
      <c r="D119"/>
      <c r="E119"/>
      <c r="F119"/>
      <c r="G119"/>
      <c r="H119"/>
      <c r="I119"/>
      <c r="J119"/>
      <c r="K119"/>
      <c r="L119"/>
      <c r="M119"/>
      <c r="N119"/>
    </row>
    <row r="120" spans="1:14" x14ac:dyDescent="0.35">
      <c r="A120"/>
      <c r="B120"/>
      <c r="C120"/>
      <c r="D120"/>
      <c r="E120"/>
      <c r="F120"/>
      <c r="G120"/>
      <c r="H120"/>
      <c r="I120"/>
      <c r="J120"/>
      <c r="K120"/>
      <c r="L120"/>
      <c r="M120"/>
      <c r="N120"/>
    </row>
    <row r="121" spans="1:14" x14ac:dyDescent="0.35">
      <c r="A121"/>
      <c r="B121"/>
      <c r="C121"/>
      <c r="D121"/>
      <c r="E121"/>
      <c r="F121"/>
      <c r="G121"/>
      <c r="H121"/>
      <c r="I121"/>
      <c r="J121"/>
      <c r="K121"/>
      <c r="L121"/>
      <c r="M121"/>
      <c r="N121"/>
    </row>
    <row r="122" spans="1:14" x14ac:dyDescent="0.35">
      <c r="A122"/>
      <c r="B122"/>
      <c r="C122"/>
      <c r="D122"/>
      <c r="E122"/>
      <c r="F122"/>
      <c r="G122"/>
      <c r="H122"/>
      <c r="I122"/>
      <c r="J122"/>
      <c r="K122"/>
      <c r="L122"/>
      <c r="M122"/>
      <c r="N122"/>
    </row>
    <row r="123" spans="1:14" x14ac:dyDescent="0.35">
      <c r="A123"/>
      <c r="B123"/>
      <c r="C123"/>
      <c r="D123"/>
      <c r="E123"/>
      <c r="F123"/>
      <c r="G123"/>
      <c r="H123"/>
      <c r="I123"/>
      <c r="J123"/>
      <c r="K123"/>
      <c r="L123"/>
      <c r="M123"/>
      <c r="N123"/>
    </row>
    <row r="124" spans="1:14" x14ac:dyDescent="0.35">
      <c r="A124"/>
      <c r="B124"/>
      <c r="C124"/>
      <c r="D124"/>
      <c r="E124"/>
      <c r="F124"/>
      <c r="G124"/>
      <c r="H124"/>
      <c r="I124"/>
      <c r="J124"/>
      <c r="K124"/>
      <c r="L124"/>
      <c r="M124"/>
      <c r="N124"/>
    </row>
    <row r="125" spans="1:14" x14ac:dyDescent="0.35">
      <c r="A125"/>
      <c r="B125"/>
      <c r="C125"/>
      <c r="D125"/>
      <c r="E125"/>
      <c r="F125"/>
      <c r="G125"/>
      <c r="H125"/>
      <c r="I125"/>
      <c r="J125"/>
      <c r="K125"/>
      <c r="L125"/>
      <c r="M125"/>
      <c r="N125"/>
    </row>
    <row r="126" spans="1:14" x14ac:dyDescent="0.35">
      <c r="A126"/>
      <c r="B126"/>
      <c r="C126"/>
      <c r="D126"/>
      <c r="E126"/>
      <c r="F126"/>
      <c r="G126"/>
      <c r="H126"/>
      <c r="I126"/>
      <c r="J126"/>
      <c r="K126"/>
      <c r="L126"/>
      <c r="M126"/>
      <c r="N126"/>
    </row>
    <row r="127" spans="1:14" x14ac:dyDescent="0.35">
      <c r="A127"/>
      <c r="B127"/>
      <c r="C127"/>
      <c r="D127"/>
      <c r="E127"/>
      <c r="F127"/>
      <c r="G127"/>
      <c r="H127"/>
      <c r="I127"/>
      <c r="J127"/>
      <c r="K127"/>
      <c r="L127"/>
      <c r="M127"/>
      <c r="N127"/>
    </row>
    <row r="128" spans="1:14" x14ac:dyDescent="0.35">
      <c r="A128"/>
      <c r="B128"/>
      <c r="C128"/>
      <c r="D128"/>
      <c r="E128"/>
      <c r="F128"/>
      <c r="G128"/>
      <c r="H128"/>
      <c r="I128"/>
      <c r="J128"/>
      <c r="K128"/>
      <c r="L128"/>
      <c r="M128"/>
      <c r="N128"/>
    </row>
    <row r="129" spans="1:14" x14ac:dyDescent="0.35">
      <c r="A129"/>
      <c r="B129"/>
      <c r="C129"/>
      <c r="D129"/>
      <c r="E129"/>
      <c r="F129"/>
      <c r="G129"/>
      <c r="H129"/>
      <c r="I129"/>
      <c r="J129"/>
      <c r="K129"/>
      <c r="L129"/>
      <c r="M129"/>
      <c r="N129"/>
    </row>
    <row r="130" spans="1:14" x14ac:dyDescent="0.35">
      <c r="A130"/>
      <c r="B130"/>
      <c r="C130"/>
      <c r="D130"/>
      <c r="E130"/>
      <c r="F130"/>
      <c r="G130"/>
      <c r="H130"/>
      <c r="I130"/>
      <c r="J130"/>
      <c r="K130"/>
      <c r="L130"/>
      <c r="M130"/>
      <c r="N130"/>
    </row>
    <row r="131" spans="1:14" x14ac:dyDescent="0.35">
      <c r="A131"/>
      <c r="B131"/>
      <c r="C131"/>
      <c r="D131"/>
      <c r="E131"/>
      <c r="F131"/>
      <c r="G131"/>
      <c r="H131"/>
      <c r="I131"/>
      <c r="J131"/>
      <c r="K131"/>
      <c r="L131"/>
      <c r="M131"/>
      <c r="N131"/>
    </row>
    <row r="132" spans="1:14" x14ac:dyDescent="0.35">
      <c r="A132"/>
      <c r="B132"/>
      <c r="C132"/>
      <c r="D132"/>
      <c r="E132"/>
      <c r="F132"/>
      <c r="G132"/>
      <c r="H132"/>
      <c r="I132"/>
      <c r="J132"/>
      <c r="K132"/>
      <c r="L132"/>
      <c r="M132"/>
      <c r="N132"/>
    </row>
    <row r="133" spans="1:14" x14ac:dyDescent="0.35">
      <c r="A133"/>
      <c r="B133"/>
      <c r="C133"/>
      <c r="D133"/>
      <c r="E133"/>
      <c r="F133"/>
      <c r="G133"/>
      <c r="H133"/>
      <c r="I133"/>
      <c r="J133"/>
      <c r="K133"/>
      <c r="L133"/>
      <c r="M133"/>
      <c r="N133"/>
    </row>
    <row r="134" spans="1:14" x14ac:dyDescent="0.35">
      <c r="A134"/>
      <c r="B134"/>
      <c r="C134"/>
      <c r="D134"/>
      <c r="E134"/>
      <c r="F134"/>
      <c r="G134"/>
      <c r="H134"/>
      <c r="I134"/>
      <c r="J134"/>
      <c r="K134"/>
      <c r="L134"/>
      <c r="M134"/>
      <c r="N134"/>
    </row>
    <row r="135" spans="1:14" x14ac:dyDescent="0.35">
      <c r="A135"/>
      <c r="B135"/>
      <c r="C135"/>
      <c r="D135"/>
      <c r="E135"/>
      <c r="F135"/>
      <c r="G135"/>
      <c r="H135"/>
      <c r="I135"/>
      <c r="J135"/>
      <c r="K135"/>
      <c r="L135"/>
      <c r="M135"/>
      <c r="N135"/>
    </row>
    <row r="136" spans="1:14" x14ac:dyDescent="0.35">
      <c r="A136"/>
      <c r="B136"/>
      <c r="C136"/>
      <c r="D136"/>
      <c r="E136"/>
      <c r="F136"/>
      <c r="G136"/>
      <c r="H136"/>
      <c r="I136"/>
      <c r="J136"/>
      <c r="K136"/>
      <c r="L136"/>
      <c r="M136"/>
      <c r="N136"/>
    </row>
    <row r="137" spans="1:14" x14ac:dyDescent="0.35">
      <c r="A137"/>
      <c r="B137"/>
      <c r="C137"/>
      <c r="D137"/>
      <c r="E137"/>
      <c r="F137"/>
      <c r="G137"/>
      <c r="H137"/>
      <c r="I137"/>
      <c r="J137"/>
      <c r="K137"/>
      <c r="L137"/>
      <c r="M137"/>
      <c r="N137"/>
    </row>
    <row r="138" spans="1:14" x14ac:dyDescent="0.35">
      <c r="A138"/>
      <c r="B138"/>
      <c r="C138"/>
      <c r="D138"/>
      <c r="E138"/>
      <c r="F138"/>
      <c r="G138"/>
      <c r="H138"/>
      <c r="I138"/>
      <c r="J138"/>
      <c r="K138"/>
      <c r="L138"/>
      <c r="M138"/>
      <c r="N138"/>
    </row>
    <row r="139" spans="1:14" x14ac:dyDescent="0.35">
      <c r="A139"/>
      <c r="B139"/>
      <c r="C139"/>
      <c r="D139"/>
      <c r="E139"/>
      <c r="F139"/>
      <c r="G139"/>
      <c r="H139"/>
      <c r="I139"/>
      <c r="J139"/>
      <c r="K139"/>
      <c r="L139"/>
      <c r="M139"/>
      <c r="N139"/>
    </row>
    <row r="140" spans="1:14" x14ac:dyDescent="0.35">
      <c r="A140"/>
      <c r="B140"/>
      <c r="C140"/>
      <c r="D140"/>
      <c r="E140"/>
      <c r="F140"/>
      <c r="G140"/>
      <c r="H140"/>
      <c r="I140"/>
      <c r="J140"/>
      <c r="K140"/>
      <c r="L140"/>
      <c r="M140"/>
      <c r="N140"/>
    </row>
    <row r="141" spans="1:14" x14ac:dyDescent="0.35">
      <c r="A141"/>
      <c r="B141"/>
      <c r="C141"/>
      <c r="D141"/>
      <c r="E141"/>
      <c r="F141"/>
      <c r="G141"/>
      <c r="H141"/>
      <c r="I141"/>
      <c r="J141"/>
      <c r="K141"/>
      <c r="L141"/>
      <c r="M141"/>
      <c r="N141"/>
    </row>
    <row r="142" spans="1:14" x14ac:dyDescent="0.35">
      <c r="A142"/>
      <c r="B142"/>
      <c r="C142"/>
      <c r="D142"/>
      <c r="E142"/>
      <c r="F142"/>
      <c r="G142"/>
      <c r="H142"/>
      <c r="I142"/>
      <c r="J142"/>
      <c r="K142"/>
      <c r="L142"/>
      <c r="M142"/>
      <c r="N142"/>
    </row>
    <row r="143" spans="1:14" x14ac:dyDescent="0.35">
      <c r="A143"/>
      <c r="B143"/>
      <c r="C143"/>
      <c r="D143"/>
      <c r="E143"/>
      <c r="F143"/>
      <c r="G143"/>
      <c r="H143"/>
      <c r="I143"/>
      <c r="J143"/>
      <c r="K143"/>
      <c r="L143"/>
      <c r="M143"/>
      <c r="N143"/>
    </row>
    <row r="144" spans="1:14" x14ac:dyDescent="0.35">
      <c r="A144"/>
      <c r="B144"/>
      <c r="C144"/>
      <c r="D144"/>
      <c r="E144"/>
      <c r="F144"/>
      <c r="G144"/>
      <c r="H144"/>
      <c r="I144"/>
      <c r="J144"/>
      <c r="K144"/>
      <c r="L144"/>
      <c r="M144"/>
      <c r="N144"/>
    </row>
    <row r="145" spans="1:14" x14ac:dyDescent="0.35">
      <c r="A145"/>
      <c r="B145"/>
      <c r="C145"/>
      <c r="D145"/>
      <c r="E145"/>
      <c r="F145"/>
      <c r="G145"/>
      <c r="H145"/>
      <c r="I145"/>
      <c r="J145"/>
      <c r="K145"/>
      <c r="L145"/>
      <c r="M145"/>
      <c r="N145"/>
    </row>
    <row r="146" spans="1:14" x14ac:dyDescent="0.35">
      <c r="A146"/>
      <c r="B146"/>
      <c r="C146"/>
      <c r="D146"/>
      <c r="E146"/>
      <c r="F146"/>
      <c r="G146"/>
      <c r="H146"/>
      <c r="I146"/>
      <c r="J146"/>
      <c r="K146"/>
      <c r="L146"/>
      <c r="M146"/>
      <c r="N146"/>
    </row>
    <row r="147" spans="1:14" x14ac:dyDescent="0.35">
      <c r="A147"/>
      <c r="B147"/>
      <c r="C147"/>
      <c r="D147"/>
      <c r="E147"/>
      <c r="F147"/>
      <c r="G147"/>
      <c r="H147"/>
      <c r="I147"/>
      <c r="J147"/>
      <c r="K147"/>
      <c r="L147"/>
      <c r="M147"/>
      <c r="N147"/>
    </row>
    <row r="148" spans="1:14" x14ac:dyDescent="0.35">
      <c r="A148"/>
      <c r="B148"/>
      <c r="C148"/>
      <c r="D148"/>
      <c r="E148"/>
      <c r="F148"/>
      <c r="G148"/>
      <c r="H148"/>
      <c r="I148"/>
      <c r="J148"/>
      <c r="K148"/>
      <c r="L148"/>
      <c r="M148"/>
      <c r="N148"/>
    </row>
    <row r="149" spans="1:14" x14ac:dyDescent="0.35">
      <c r="A149"/>
      <c r="B149"/>
      <c r="C149"/>
      <c r="D149"/>
      <c r="E149"/>
      <c r="F149"/>
      <c r="G149"/>
      <c r="H149"/>
      <c r="I149"/>
      <c r="J149"/>
      <c r="K149"/>
      <c r="L149"/>
      <c r="M149"/>
      <c r="N149"/>
    </row>
    <row r="150" spans="1:14" x14ac:dyDescent="0.35">
      <c r="A150"/>
      <c r="B150"/>
      <c r="C150"/>
      <c r="D150"/>
      <c r="E150"/>
      <c r="F150"/>
      <c r="G150"/>
      <c r="H150"/>
      <c r="I150"/>
      <c r="J150"/>
      <c r="K150"/>
      <c r="L150"/>
      <c r="M150"/>
      <c r="N150"/>
    </row>
    <row r="151" spans="1:14" x14ac:dyDescent="0.35">
      <c r="A151"/>
      <c r="B151"/>
      <c r="C151"/>
      <c r="D151"/>
      <c r="E151"/>
      <c r="F151"/>
      <c r="G151"/>
      <c r="H151"/>
      <c r="I151"/>
      <c r="J151"/>
      <c r="K151"/>
      <c r="L151"/>
      <c r="M151"/>
      <c r="N151"/>
    </row>
    <row r="152" spans="1:14" x14ac:dyDescent="0.35">
      <c r="A152"/>
      <c r="B152"/>
      <c r="C152"/>
      <c r="D152"/>
      <c r="E152"/>
      <c r="F152"/>
      <c r="G152"/>
      <c r="H152"/>
      <c r="I152"/>
      <c r="J152"/>
      <c r="K152"/>
      <c r="L152"/>
      <c r="M152"/>
      <c r="N152"/>
    </row>
    <row r="153" spans="1:14" x14ac:dyDescent="0.35">
      <c r="A153"/>
      <c r="B153"/>
      <c r="C153"/>
      <c r="D153"/>
      <c r="E153"/>
      <c r="F153"/>
      <c r="G153"/>
      <c r="H153"/>
      <c r="I153"/>
      <c r="J153"/>
      <c r="K153"/>
      <c r="L153"/>
      <c r="M153"/>
      <c r="N153"/>
    </row>
    <row r="154" spans="1:14" x14ac:dyDescent="0.35">
      <c r="A154"/>
      <c r="B154"/>
      <c r="C154"/>
      <c r="D154"/>
      <c r="E154"/>
      <c r="F154"/>
      <c r="G154"/>
      <c r="H154"/>
      <c r="I154"/>
      <c r="J154"/>
      <c r="K154"/>
      <c r="L154"/>
      <c r="M154"/>
      <c r="N154"/>
    </row>
    <row r="155" spans="1:14" x14ac:dyDescent="0.35">
      <c r="A155"/>
      <c r="B155"/>
      <c r="C155"/>
      <c r="D155"/>
      <c r="E155"/>
      <c r="F155"/>
      <c r="G155"/>
      <c r="H155"/>
      <c r="I155"/>
      <c r="J155"/>
      <c r="K155"/>
      <c r="L155"/>
      <c r="M155"/>
      <c r="N155"/>
    </row>
    <row r="156" spans="1:14" x14ac:dyDescent="0.35">
      <c r="A156"/>
      <c r="B156"/>
      <c r="C156"/>
      <c r="D156"/>
      <c r="E156"/>
      <c r="F156"/>
      <c r="G156"/>
      <c r="H156"/>
      <c r="I156"/>
      <c r="J156"/>
      <c r="K156"/>
      <c r="L156"/>
      <c r="M156"/>
      <c r="N156"/>
    </row>
    <row r="157" spans="1:14" x14ac:dyDescent="0.35">
      <c r="A157"/>
      <c r="B157"/>
      <c r="C157"/>
      <c r="D157"/>
      <c r="E157"/>
      <c r="F157"/>
      <c r="G157"/>
      <c r="H157"/>
      <c r="I157"/>
      <c r="J157"/>
      <c r="K157"/>
      <c r="L157"/>
      <c r="M157"/>
      <c r="N157"/>
    </row>
    <row r="158" spans="1:14" x14ac:dyDescent="0.35">
      <c r="A158"/>
      <c r="B158"/>
      <c r="C158"/>
      <c r="D158"/>
      <c r="E158"/>
      <c r="F158"/>
      <c r="G158"/>
      <c r="H158"/>
      <c r="I158"/>
      <c r="J158"/>
      <c r="K158"/>
      <c r="L158"/>
      <c r="M158"/>
      <c r="N158"/>
    </row>
    <row r="159" spans="1:14" x14ac:dyDescent="0.35">
      <c r="A159"/>
      <c r="B159"/>
      <c r="C159"/>
      <c r="D159"/>
      <c r="E159"/>
      <c r="F159"/>
      <c r="G159"/>
      <c r="H159"/>
      <c r="I159"/>
      <c r="J159"/>
      <c r="K159"/>
      <c r="L159"/>
      <c r="M159"/>
      <c r="N159"/>
    </row>
    <row r="160" spans="1:14" x14ac:dyDescent="0.35">
      <c r="A160"/>
      <c r="B160"/>
      <c r="C160"/>
      <c r="D160"/>
      <c r="E160"/>
      <c r="F160"/>
      <c r="G160"/>
      <c r="H160"/>
      <c r="I160"/>
      <c r="J160"/>
      <c r="K160"/>
      <c r="L160"/>
      <c r="M160"/>
      <c r="N160"/>
    </row>
    <row r="161" spans="1:14" x14ac:dyDescent="0.35">
      <c r="A161"/>
      <c r="B161"/>
      <c r="C161"/>
      <c r="D161"/>
      <c r="E161"/>
      <c r="F161"/>
      <c r="G161"/>
      <c r="H161"/>
      <c r="I161"/>
      <c r="J161"/>
      <c r="K161"/>
      <c r="L161"/>
      <c r="M161"/>
      <c r="N161"/>
    </row>
    <row r="162" spans="1:14" x14ac:dyDescent="0.35">
      <c r="A162"/>
      <c r="B162"/>
      <c r="C162"/>
      <c r="D162"/>
      <c r="E162"/>
      <c r="F162"/>
      <c r="G162"/>
      <c r="H162"/>
      <c r="I162"/>
      <c r="J162"/>
      <c r="K162"/>
      <c r="L162"/>
      <c r="M162"/>
      <c r="N162"/>
    </row>
    <row r="163" spans="1:14" x14ac:dyDescent="0.35">
      <c r="A163"/>
      <c r="B163"/>
      <c r="C163"/>
      <c r="D163"/>
      <c r="E163"/>
      <c r="F163"/>
      <c r="G163"/>
      <c r="H163"/>
      <c r="I163"/>
      <c r="J163"/>
      <c r="K163"/>
      <c r="L163"/>
      <c r="M163"/>
      <c r="N163"/>
    </row>
    <row r="164" spans="1:14" x14ac:dyDescent="0.35">
      <c r="A164"/>
      <c r="B164"/>
      <c r="C164"/>
      <c r="D164"/>
      <c r="E164"/>
      <c r="F164"/>
      <c r="G164"/>
      <c r="H164"/>
      <c r="I164"/>
      <c r="J164"/>
      <c r="K164"/>
      <c r="L164"/>
      <c r="M164"/>
      <c r="N164"/>
    </row>
    <row r="165" spans="1:14" x14ac:dyDescent="0.35">
      <c r="A165"/>
      <c r="B165"/>
      <c r="C165"/>
      <c r="D165"/>
      <c r="E165"/>
      <c r="F165"/>
      <c r="G165"/>
      <c r="H165"/>
      <c r="I165"/>
      <c r="J165"/>
      <c r="K165"/>
      <c r="L165"/>
      <c r="M165"/>
      <c r="N165"/>
    </row>
    <row r="166" spans="1:14" x14ac:dyDescent="0.35">
      <c r="A166"/>
      <c r="B166"/>
      <c r="C166"/>
      <c r="D166"/>
      <c r="E166"/>
      <c r="F166"/>
      <c r="G166"/>
      <c r="H166"/>
      <c r="I166"/>
      <c r="J166"/>
      <c r="K166"/>
      <c r="L166"/>
      <c r="M166"/>
      <c r="N166"/>
    </row>
    <row r="167" spans="1:14" x14ac:dyDescent="0.35">
      <c r="A167"/>
      <c r="B167"/>
      <c r="C167"/>
      <c r="D167"/>
      <c r="E167"/>
      <c r="F167"/>
      <c r="G167"/>
      <c r="H167"/>
      <c r="I167"/>
      <c r="J167"/>
      <c r="K167"/>
      <c r="L167"/>
      <c r="M167"/>
      <c r="N167"/>
    </row>
    <row r="168" spans="1:14" x14ac:dyDescent="0.35">
      <c r="A168"/>
      <c r="B168"/>
      <c r="C168"/>
      <c r="D168"/>
      <c r="E168"/>
      <c r="F168"/>
      <c r="G168"/>
      <c r="H168"/>
      <c r="I168"/>
      <c r="J168"/>
      <c r="K168"/>
      <c r="L168"/>
      <c r="M168"/>
      <c r="N168"/>
    </row>
    <row r="169" spans="1:14" x14ac:dyDescent="0.35">
      <c r="A169"/>
      <c r="B169"/>
      <c r="C169"/>
      <c r="D169"/>
      <c r="E169"/>
      <c r="F169"/>
      <c r="G169"/>
      <c r="H169"/>
      <c r="I169"/>
      <c r="J169"/>
      <c r="K169"/>
      <c r="L169"/>
      <c r="M169"/>
      <c r="N169"/>
    </row>
    <row r="170" spans="1:14" x14ac:dyDescent="0.35">
      <c r="A170"/>
      <c r="B170"/>
      <c r="C170"/>
      <c r="D170"/>
      <c r="E170"/>
      <c r="F170"/>
      <c r="G170"/>
      <c r="H170"/>
      <c r="I170"/>
      <c r="J170"/>
      <c r="K170"/>
      <c r="L170"/>
      <c r="M170"/>
      <c r="N170"/>
    </row>
    <row r="171" spans="1:14" x14ac:dyDescent="0.35">
      <c r="A171"/>
      <c r="B171"/>
      <c r="C171"/>
      <c r="D171"/>
      <c r="E171"/>
      <c r="F171"/>
      <c r="G171"/>
      <c r="H171"/>
      <c r="I171"/>
      <c r="J171"/>
      <c r="K171"/>
      <c r="L171"/>
      <c r="M171"/>
      <c r="N171"/>
    </row>
    <row r="172" spans="1:14" x14ac:dyDescent="0.35">
      <c r="A172"/>
      <c r="B172"/>
      <c r="C172"/>
      <c r="D172"/>
      <c r="E172"/>
      <c r="F172"/>
      <c r="G172"/>
      <c r="H172"/>
      <c r="I172"/>
      <c r="J172"/>
      <c r="K172"/>
      <c r="L172"/>
      <c r="M172"/>
      <c r="N172"/>
    </row>
    <row r="173" spans="1:14" x14ac:dyDescent="0.35">
      <c r="A173"/>
      <c r="B173"/>
      <c r="C173"/>
      <c r="D173"/>
      <c r="E173"/>
      <c r="F173"/>
      <c r="G173"/>
      <c r="H173"/>
      <c r="I173"/>
      <c r="J173"/>
      <c r="K173"/>
      <c r="L173"/>
      <c r="M173"/>
      <c r="N173"/>
    </row>
    <row r="174" spans="1:14" x14ac:dyDescent="0.35">
      <c r="A174"/>
      <c r="B174"/>
      <c r="C174"/>
      <c r="D174"/>
      <c r="E174"/>
      <c r="F174"/>
      <c r="G174"/>
      <c r="H174"/>
      <c r="I174"/>
      <c r="J174"/>
      <c r="K174"/>
      <c r="L174"/>
      <c r="M174"/>
      <c r="N174"/>
    </row>
    <row r="175" spans="1:14" x14ac:dyDescent="0.35">
      <c r="A175"/>
      <c r="B175"/>
      <c r="C175"/>
      <c r="D175"/>
      <c r="E175"/>
      <c r="F175"/>
      <c r="G175"/>
      <c r="H175"/>
      <c r="I175"/>
      <c r="J175"/>
      <c r="K175"/>
      <c r="L175"/>
      <c r="M175"/>
      <c r="N175"/>
    </row>
    <row r="176" spans="1:14" x14ac:dyDescent="0.35">
      <c r="A176"/>
      <c r="B176"/>
      <c r="C176"/>
      <c r="D176"/>
      <c r="E176"/>
      <c r="F176"/>
      <c r="G176"/>
      <c r="H176"/>
      <c r="I176"/>
      <c r="J176"/>
      <c r="K176"/>
      <c r="L176"/>
      <c r="M176"/>
      <c r="N176"/>
    </row>
    <row r="177" spans="1:14" x14ac:dyDescent="0.35">
      <c r="A177"/>
      <c r="B177"/>
      <c r="C177"/>
      <c r="D177"/>
      <c r="E177"/>
      <c r="F177"/>
      <c r="G177"/>
      <c r="H177"/>
      <c r="I177"/>
      <c r="J177"/>
      <c r="K177"/>
      <c r="L177"/>
      <c r="M177"/>
      <c r="N177"/>
    </row>
    <row r="178" spans="1:14" x14ac:dyDescent="0.35">
      <c r="A178"/>
      <c r="B178"/>
      <c r="C178"/>
      <c r="D178"/>
      <c r="E178"/>
      <c r="F178"/>
      <c r="G178"/>
      <c r="H178"/>
      <c r="I178"/>
      <c r="J178"/>
      <c r="K178"/>
      <c r="L178"/>
      <c r="M178"/>
      <c r="N178"/>
    </row>
    <row r="179" spans="1:14" x14ac:dyDescent="0.35">
      <c r="A179"/>
      <c r="B179"/>
      <c r="C179"/>
      <c r="D179"/>
      <c r="E179"/>
      <c r="F179"/>
      <c r="G179"/>
      <c r="H179"/>
      <c r="I179"/>
      <c r="J179"/>
      <c r="K179"/>
      <c r="L179"/>
      <c r="M179"/>
      <c r="N179"/>
    </row>
    <row r="180" spans="1:14" x14ac:dyDescent="0.35">
      <c r="A180"/>
      <c r="B180"/>
      <c r="C180"/>
      <c r="D180"/>
      <c r="E180"/>
      <c r="F180"/>
      <c r="G180"/>
      <c r="H180"/>
      <c r="I180"/>
      <c r="J180"/>
      <c r="K180"/>
      <c r="L180"/>
      <c r="M180"/>
      <c r="N180"/>
    </row>
    <row r="181" spans="1:14" x14ac:dyDescent="0.35">
      <c r="A181"/>
      <c r="B181"/>
      <c r="C181"/>
      <c r="D181"/>
      <c r="E181"/>
      <c r="F181"/>
      <c r="G181"/>
      <c r="H181"/>
      <c r="I181"/>
      <c r="J181"/>
      <c r="K181"/>
      <c r="L181"/>
      <c r="M181"/>
      <c r="N181"/>
    </row>
    <row r="182" spans="1:14" x14ac:dyDescent="0.35">
      <c r="A182"/>
      <c r="B182"/>
      <c r="C182"/>
      <c r="D182"/>
      <c r="E182"/>
      <c r="F182"/>
      <c r="G182"/>
      <c r="H182"/>
      <c r="I182"/>
      <c r="J182"/>
      <c r="K182"/>
      <c r="L182"/>
      <c r="M182"/>
      <c r="N182"/>
    </row>
    <row r="183" spans="1:14" x14ac:dyDescent="0.35">
      <c r="A183"/>
      <c r="B183"/>
      <c r="C183"/>
      <c r="D183"/>
      <c r="E183"/>
      <c r="F183"/>
      <c r="G183"/>
      <c r="H183"/>
      <c r="I183"/>
      <c r="J183"/>
      <c r="K183"/>
      <c r="L183"/>
      <c r="M183"/>
      <c r="N183"/>
    </row>
    <row r="184" spans="1:14" x14ac:dyDescent="0.35">
      <c r="A184"/>
      <c r="B184"/>
      <c r="C184"/>
      <c r="D184"/>
      <c r="E184"/>
      <c r="F184"/>
      <c r="G184"/>
      <c r="H184"/>
      <c r="I184"/>
      <c r="J184"/>
      <c r="K184"/>
      <c r="L184"/>
      <c r="M184"/>
      <c r="N184"/>
    </row>
    <row r="185" spans="1:14" x14ac:dyDescent="0.35">
      <c r="A185"/>
      <c r="B185"/>
      <c r="C185"/>
      <c r="D185"/>
      <c r="E185"/>
      <c r="F185"/>
      <c r="G185"/>
      <c r="H185"/>
      <c r="I185"/>
      <c r="J185"/>
      <c r="K185"/>
      <c r="L185"/>
      <c r="M185"/>
      <c r="N185"/>
    </row>
    <row r="186" spans="1:14" x14ac:dyDescent="0.35">
      <c r="A186"/>
      <c r="B186"/>
      <c r="C186"/>
      <c r="D186"/>
      <c r="E186"/>
      <c r="F186"/>
      <c r="G186"/>
      <c r="H186"/>
      <c r="I186"/>
      <c r="J186"/>
      <c r="K186"/>
      <c r="L186"/>
      <c r="M186"/>
      <c r="N186"/>
    </row>
    <row r="187" spans="1:14" x14ac:dyDescent="0.35">
      <c r="A187"/>
      <c r="B187"/>
      <c r="C187"/>
      <c r="D187"/>
      <c r="E187"/>
      <c r="F187"/>
      <c r="G187"/>
      <c r="H187"/>
      <c r="I187"/>
      <c r="J187"/>
      <c r="K187"/>
      <c r="L187"/>
      <c r="M187"/>
      <c r="N187"/>
    </row>
    <row r="188" spans="1:14" x14ac:dyDescent="0.35">
      <c r="A188"/>
      <c r="B188"/>
      <c r="C188"/>
      <c r="D188"/>
      <c r="E188"/>
      <c r="F188"/>
      <c r="G188"/>
      <c r="H188"/>
      <c r="I188"/>
      <c r="J188"/>
      <c r="K188"/>
      <c r="L188"/>
      <c r="M188"/>
      <c r="N188"/>
    </row>
    <row r="189" spans="1:14" x14ac:dyDescent="0.35">
      <c r="A189"/>
      <c r="B189"/>
      <c r="C189"/>
      <c r="D189"/>
      <c r="E189"/>
      <c r="F189"/>
      <c r="G189"/>
      <c r="H189"/>
      <c r="I189"/>
      <c r="J189"/>
      <c r="K189"/>
      <c r="L189"/>
      <c r="M189"/>
      <c r="N189"/>
    </row>
    <row r="190" spans="1:14" x14ac:dyDescent="0.35">
      <c r="A190"/>
      <c r="B190"/>
      <c r="C190"/>
      <c r="D190"/>
      <c r="E190"/>
      <c r="F190"/>
      <c r="G190"/>
      <c r="H190"/>
      <c r="I190"/>
      <c r="J190"/>
      <c r="K190"/>
      <c r="L190"/>
      <c r="M190"/>
      <c r="N190"/>
    </row>
    <row r="191" spans="1:14" x14ac:dyDescent="0.35">
      <c r="A191"/>
      <c r="B191"/>
      <c r="C191"/>
      <c r="D191"/>
      <c r="E191"/>
      <c r="F191"/>
      <c r="G191"/>
      <c r="H191"/>
      <c r="I191"/>
      <c r="J191"/>
      <c r="K191"/>
      <c r="L191"/>
      <c r="M191"/>
      <c r="N191"/>
    </row>
    <row r="192" spans="1:14" x14ac:dyDescent="0.35">
      <c r="A192"/>
      <c r="B192"/>
      <c r="C192"/>
      <c r="D192"/>
      <c r="E192"/>
      <c r="F192"/>
      <c r="G192"/>
      <c r="H192"/>
      <c r="I192"/>
      <c r="J192"/>
      <c r="K192"/>
      <c r="L192"/>
      <c r="M192"/>
      <c r="N192"/>
    </row>
    <row r="193" spans="1:14" x14ac:dyDescent="0.35">
      <c r="A193"/>
      <c r="B193"/>
      <c r="C193"/>
      <c r="D193"/>
      <c r="E193"/>
      <c r="F193"/>
      <c r="G193"/>
      <c r="H193"/>
      <c r="I193"/>
      <c r="J193"/>
      <c r="K193"/>
      <c r="L193"/>
      <c r="M193"/>
      <c r="N193"/>
    </row>
    <row r="194" spans="1:14" x14ac:dyDescent="0.35">
      <c r="A194"/>
      <c r="B194"/>
      <c r="C194"/>
      <c r="D194"/>
      <c r="E194"/>
      <c r="F194"/>
      <c r="G194"/>
      <c r="H194"/>
      <c r="I194"/>
      <c r="J194"/>
      <c r="K194"/>
      <c r="L194"/>
      <c r="M194"/>
      <c r="N194"/>
    </row>
    <row r="195" spans="1:14" x14ac:dyDescent="0.35">
      <c r="A195"/>
      <c r="B195"/>
      <c r="C195"/>
      <c r="D195"/>
      <c r="E195"/>
      <c r="F195"/>
      <c r="G195"/>
      <c r="H195"/>
      <c r="I195"/>
      <c r="J195"/>
      <c r="K195"/>
      <c r="L195"/>
      <c r="M195"/>
      <c r="N195"/>
    </row>
    <row r="196" spans="1:14" x14ac:dyDescent="0.35">
      <c r="A196"/>
      <c r="B196"/>
      <c r="C196"/>
      <c r="D196"/>
      <c r="E196"/>
      <c r="F196"/>
      <c r="G196"/>
      <c r="H196"/>
      <c r="I196"/>
      <c r="J196"/>
      <c r="K196"/>
      <c r="L196"/>
      <c r="M196"/>
      <c r="N196"/>
    </row>
    <row r="197" spans="1:14" x14ac:dyDescent="0.35">
      <c r="A197"/>
      <c r="B197"/>
      <c r="C197"/>
      <c r="D197"/>
      <c r="E197"/>
      <c r="F197"/>
      <c r="G197"/>
      <c r="H197"/>
      <c r="I197"/>
      <c r="J197"/>
      <c r="K197"/>
      <c r="L197"/>
      <c r="M197"/>
      <c r="N197"/>
    </row>
    <row r="198" spans="1:14" x14ac:dyDescent="0.35">
      <c r="A198"/>
      <c r="B198"/>
      <c r="C198"/>
      <c r="D198"/>
      <c r="E198"/>
      <c r="F198"/>
      <c r="G198"/>
      <c r="H198"/>
      <c r="I198"/>
      <c r="J198"/>
      <c r="K198"/>
      <c r="L198"/>
      <c r="M198"/>
      <c r="N198"/>
    </row>
    <row r="199" spans="1:14" x14ac:dyDescent="0.35">
      <c r="A199"/>
      <c r="B199"/>
      <c r="C199"/>
      <c r="D199"/>
      <c r="E199"/>
      <c r="F199"/>
      <c r="G199"/>
      <c r="H199"/>
      <c r="I199"/>
      <c r="J199"/>
      <c r="K199"/>
      <c r="L199"/>
      <c r="M199"/>
      <c r="N199"/>
    </row>
    <row r="200" spans="1:14" x14ac:dyDescent="0.35">
      <c r="A200"/>
      <c r="B200"/>
      <c r="C200"/>
      <c r="D200"/>
      <c r="E200"/>
      <c r="F200"/>
      <c r="G200"/>
      <c r="H200"/>
      <c r="I200"/>
      <c r="J200"/>
      <c r="K200"/>
      <c r="L200"/>
      <c r="M200"/>
      <c r="N200"/>
    </row>
    <row r="201" spans="1:14" x14ac:dyDescent="0.35">
      <c r="A201"/>
      <c r="B201"/>
      <c r="C201"/>
      <c r="D201"/>
      <c r="E201"/>
      <c r="F201"/>
      <c r="G201"/>
      <c r="H201"/>
      <c r="I201"/>
      <c r="J201"/>
      <c r="K201"/>
      <c r="L201"/>
      <c r="M201"/>
      <c r="N201"/>
    </row>
    <row r="202" spans="1:14" x14ac:dyDescent="0.35">
      <c r="A202"/>
      <c r="B202"/>
      <c r="C202"/>
      <c r="D202"/>
      <c r="E202"/>
      <c r="F202"/>
      <c r="G202"/>
      <c r="H202"/>
      <c r="I202"/>
      <c r="J202"/>
      <c r="K202"/>
      <c r="L202"/>
      <c r="M202"/>
      <c r="N202"/>
    </row>
    <row r="203" spans="1:14" x14ac:dyDescent="0.35">
      <c r="A203"/>
      <c r="B203"/>
      <c r="C203"/>
      <c r="D203"/>
      <c r="E203"/>
      <c r="F203"/>
      <c r="G203"/>
      <c r="H203"/>
      <c r="I203"/>
      <c r="J203"/>
      <c r="K203"/>
      <c r="L203"/>
      <c r="M203"/>
      <c r="N203"/>
    </row>
    <row r="204" spans="1:14" x14ac:dyDescent="0.35">
      <c r="A204"/>
      <c r="B204"/>
      <c r="C204"/>
      <c r="D204"/>
      <c r="E204"/>
      <c r="F204"/>
      <c r="G204"/>
      <c r="H204"/>
      <c r="I204"/>
      <c r="J204"/>
      <c r="K204"/>
      <c r="L204"/>
      <c r="M204"/>
      <c r="N204"/>
    </row>
    <row r="205" spans="1:14" x14ac:dyDescent="0.35">
      <c r="A205"/>
      <c r="B205"/>
      <c r="C205"/>
      <c r="D205"/>
      <c r="E205"/>
      <c r="F205"/>
      <c r="G205"/>
      <c r="H205"/>
      <c r="I205"/>
      <c r="J205"/>
      <c r="K205"/>
      <c r="L205"/>
      <c r="M205"/>
      <c r="N205"/>
    </row>
    <row r="206" spans="1:14" x14ac:dyDescent="0.35">
      <c r="A206"/>
      <c r="B206"/>
      <c r="C206"/>
      <c r="D206"/>
      <c r="E206"/>
      <c r="F206"/>
      <c r="G206"/>
      <c r="H206"/>
      <c r="I206"/>
      <c r="J206"/>
      <c r="K206"/>
      <c r="L206"/>
      <c r="M206"/>
      <c r="N206"/>
    </row>
    <row r="207" spans="1:14" x14ac:dyDescent="0.35">
      <c r="A207"/>
      <c r="B207"/>
      <c r="C207"/>
      <c r="D207"/>
      <c r="E207"/>
      <c r="F207"/>
      <c r="G207"/>
      <c r="H207"/>
      <c r="I207"/>
      <c r="J207"/>
      <c r="K207"/>
      <c r="L207"/>
      <c r="M207"/>
      <c r="N207"/>
    </row>
    <row r="208" spans="1:14" x14ac:dyDescent="0.35">
      <c r="A208"/>
      <c r="B208"/>
      <c r="C208"/>
      <c r="D208"/>
      <c r="E208"/>
      <c r="F208"/>
      <c r="G208"/>
      <c r="H208"/>
      <c r="I208"/>
      <c r="J208"/>
      <c r="K208"/>
      <c r="L208"/>
      <c r="M208"/>
      <c r="N208"/>
    </row>
    <row r="209" spans="1:34" x14ac:dyDescent="0.35">
      <c r="A209"/>
      <c r="B209"/>
      <c r="C209"/>
      <c r="D209"/>
      <c r="E209"/>
      <c r="F209"/>
      <c r="G209"/>
      <c r="H209"/>
      <c r="I209"/>
      <c r="J209"/>
      <c r="K209"/>
      <c r="L209"/>
      <c r="M209"/>
      <c r="N209"/>
    </row>
    <row r="210" spans="1:34" x14ac:dyDescent="0.35">
      <c r="A210"/>
      <c r="B210"/>
      <c r="C210"/>
      <c r="D210"/>
      <c r="E210"/>
      <c r="F210"/>
      <c r="G210"/>
      <c r="H210"/>
      <c r="I210"/>
      <c r="J210"/>
      <c r="K210"/>
      <c r="L210"/>
      <c r="M210"/>
      <c r="N210"/>
    </row>
    <row r="211" spans="1:34" x14ac:dyDescent="0.35">
      <c r="A211"/>
      <c r="B211"/>
      <c r="C211"/>
      <c r="D211"/>
      <c r="E211"/>
      <c r="F211"/>
      <c r="G211"/>
      <c r="H211"/>
      <c r="I211"/>
      <c r="J211"/>
      <c r="K211"/>
      <c r="L211"/>
      <c r="M211"/>
      <c r="N211"/>
    </row>
    <row r="212" spans="1:34" x14ac:dyDescent="0.35">
      <c r="A212"/>
      <c r="B212"/>
      <c r="C212"/>
      <c r="D212"/>
      <c r="E212"/>
      <c r="F212"/>
      <c r="G212"/>
      <c r="H212"/>
      <c r="I212"/>
      <c r="J212"/>
      <c r="K212"/>
      <c r="L212"/>
      <c r="M212"/>
      <c r="N212"/>
    </row>
    <row r="213" spans="1:3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3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3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3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3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3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3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3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3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3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3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3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5" sqref="D5"/>
    </sheetView>
  </sheetViews>
  <sheetFormatPr defaultRowHeight="14.5" x14ac:dyDescent="0.35"/>
  <cols>
    <col min="1" max="1" width="51.26953125" customWidth="1"/>
    <col min="2" max="2" width="61.54296875" customWidth="1"/>
    <col min="3" max="3" width="64" customWidth="1"/>
    <col min="4" max="4" width="42.81640625" customWidth="1"/>
    <col min="5" max="10" width="8.7265625" bestFit="1" customWidth="1"/>
  </cols>
  <sheetData>
    <row r="1" spans="1:9" ht="111" customHeight="1" x14ac:dyDescent="0.35">
      <c r="A1" s="538" t="s">
        <v>374</v>
      </c>
      <c r="B1" s="537" t="s">
        <v>375</v>
      </c>
      <c r="C1" s="537"/>
      <c r="D1" s="528" t="s">
        <v>376</v>
      </c>
    </row>
    <row r="2" spans="1:9" ht="123" customHeight="1" x14ac:dyDescent="0.35">
      <c r="A2" s="538"/>
      <c r="B2" s="537"/>
      <c r="C2" s="537"/>
      <c r="D2" s="28"/>
    </row>
    <row r="3" spans="1:9" ht="10.5" customHeight="1" x14ac:dyDescent="0.35">
      <c r="A3" s="162"/>
      <c r="B3" s="124"/>
      <c r="C3" s="124"/>
      <c r="D3" s="28"/>
    </row>
    <row r="4" spans="1:9" ht="29" customHeight="1" x14ac:dyDescent="0.35">
      <c r="A4" s="367" t="s">
        <v>76</v>
      </c>
      <c r="B4" s="984" t="s">
        <v>77</v>
      </c>
      <c r="C4" s="984"/>
      <c r="D4" s="28"/>
    </row>
    <row r="5" spans="1:9" ht="36.5" customHeight="1" x14ac:dyDescent="0.35">
      <c r="A5" s="367" t="s">
        <v>78</v>
      </c>
      <c r="B5" s="984" t="s">
        <v>79</v>
      </c>
      <c r="C5" s="984"/>
      <c r="D5" s="28"/>
    </row>
    <row r="6" spans="1:9" ht="36.5" customHeight="1" x14ac:dyDescent="0.35">
      <c r="A6" s="367" t="s">
        <v>132</v>
      </c>
      <c r="B6" s="982" t="s">
        <v>407</v>
      </c>
      <c r="C6" s="983"/>
      <c r="D6" s="28"/>
    </row>
    <row r="7" spans="1:9" ht="9" customHeight="1" x14ac:dyDescent="0.35">
      <c r="A7" s="28"/>
      <c r="B7" s="28"/>
      <c r="C7" s="28"/>
      <c r="D7" s="28"/>
    </row>
    <row r="8" spans="1:9" ht="23.5" x14ac:dyDescent="0.35">
      <c r="A8" s="539" t="s">
        <v>80</v>
      </c>
      <c r="B8" s="539"/>
      <c r="C8" s="539"/>
      <c r="D8" s="539"/>
    </row>
    <row r="9" spans="1:9" ht="19" thickBot="1" x14ac:dyDescent="0.4">
      <c r="A9" s="522" t="s">
        <v>81</v>
      </c>
      <c r="B9" s="523" t="s">
        <v>82</v>
      </c>
      <c r="C9" s="523" t="s">
        <v>83</v>
      </c>
      <c r="D9" s="523" t="s">
        <v>84</v>
      </c>
    </row>
    <row r="10" spans="1:9" ht="232.5" thickBot="1" x14ac:dyDescent="0.4">
      <c r="A10" s="104" t="s">
        <v>85</v>
      </c>
      <c r="B10" s="133" t="s">
        <v>86</v>
      </c>
      <c r="C10" s="116" t="s">
        <v>87</v>
      </c>
      <c r="D10" s="134" t="s">
        <v>88</v>
      </c>
    </row>
    <row r="11" spans="1:9" ht="15" thickBot="1" x14ac:dyDescent="0.4">
      <c r="A11" s="94"/>
      <c r="B11" s="32"/>
      <c r="C11" s="32"/>
      <c r="D11" s="32"/>
      <c r="G11" s="3"/>
      <c r="H11" s="102"/>
      <c r="I11" s="102"/>
    </row>
    <row r="12" spans="1:9" ht="87" customHeight="1" thickBot="1" x14ac:dyDescent="0.4">
      <c r="A12" s="104" t="s">
        <v>89</v>
      </c>
      <c r="B12" s="133" t="s">
        <v>90</v>
      </c>
      <c r="C12" s="116"/>
      <c r="D12" s="135"/>
    </row>
    <row r="13" spans="1:9" ht="15" thickBot="1" x14ac:dyDescent="0.4">
      <c r="A13" s="94"/>
      <c r="B13" s="32"/>
      <c r="C13" s="32"/>
      <c r="D13" s="32"/>
      <c r="G13" s="3"/>
      <c r="H13" s="102"/>
      <c r="I13" s="102"/>
    </row>
    <row r="14" spans="1:9" ht="87" customHeight="1" thickBot="1" x14ac:dyDescent="0.4">
      <c r="A14" s="104" t="s">
        <v>91</v>
      </c>
      <c r="B14" s="133" t="s">
        <v>92</v>
      </c>
      <c r="C14" s="116"/>
      <c r="D14" s="135"/>
    </row>
    <row r="15" spans="1:9" ht="15" thickBot="1" x14ac:dyDescent="0.4">
      <c r="A15" s="94"/>
      <c r="B15" s="32"/>
      <c r="C15" s="32"/>
      <c r="D15" s="32"/>
      <c r="G15" s="3"/>
      <c r="H15" s="102"/>
      <c r="I15" s="102"/>
    </row>
    <row r="16" spans="1:9" ht="87" customHeight="1" thickBot="1" x14ac:dyDescent="0.4">
      <c r="A16" s="104" t="s">
        <v>93</v>
      </c>
      <c r="B16" s="133" t="s">
        <v>94</v>
      </c>
      <c r="C16" s="365" t="s">
        <v>95</v>
      </c>
      <c r="D16" s="366" t="s">
        <v>96</v>
      </c>
      <c r="E16" s="364"/>
    </row>
    <row r="17" spans="1:9" ht="15" thickBot="1" x14ac:dyDescent="0.4">
      <c r="A17" s="94"/>
      <c r="B17" s="32"/>
      <c r="C17" s="32"/>
      <c r="D17" s="32"/>
      <c r="G17" s="3"/>
      <c r="H17" s="102"/>
      <c r="I17" s="102"/>
    </row>
    <row r="18" spans="1:9" ht="87" customHeight="1" thickBot="1" x14ac:dyDescent="0.4">
      <c r="A18" s="105" t="s">
        <v>97</v>
      </c>
      <c r="B18" s="133" t="s">
        <v>98</v>
      </c>
      <c r="C18" s="116"/>
      <c r="D18" s="134"/>
    </row>
    <row r="19" spans="1:9" ht="15" thickBot="1" x14ac:dyDescent="0.4">
      <c r="A19" s="94"/>
      <c r="B19" s="32"/>
      <c r="C19" s="32"/>
      <c r="D19" s="32"/>
      <c r="G19" s="3"/>
      <c r="H19" s="102"/>
      <c r="I19" s="102"/>
    </row>
    <row r="20" spans="1:9" ht="87.65" customHeight="1" thickBot="1" x14ac:dyDescent="0.4">
      <c r="A20" s="104" t="s">
        <v>99</v>
      </c>
      <c r="B20" s="133" t="s">
        <v>100</v>
      </c>
      <c r="C20" s="116" t="s">
        <v>101</v>
      </c>
      <c r="D20" s="134" t="s">
        <v>88</v>
      </c>
    </row>
    <row r="21" spans="1:9" ht="15" thickBot="1" x14ac:dyDescent="0.4">
      <c r="A21" s="94"/>
      <c r="B21" s="32"/>
      <c r="C21" s="32"/>
      <c r="D21" s="32"/>
      <c r="G21" s="3"/>
      <c r="H21" s="102"/>
      <c r="I21" s="102"/>
    </row>
    <row r="22" spans="1:9" ht="87.65" customHeight="1" thickBot="1" x14ac:dyDescent="0.4">
      <c r="A22" s="104" t="s">
        <v>102</v>
      </c>
      <c r="B22" s="133" t="s">
        <v>103</v>
      </c>
      <c r="C22" s="116" t="s">
        <v>104</v>
      </c>
      <c r="D22" s="134" t="s">
        <v>105</v>
      </c>
    </row>
    <row r="23" spans="1:9" ht="15" thickBot="1" x14ac:dyDescent="0.4">
      <c r="A23" s="94"/>
      <c r="B23" s="32"/>
      <c r="C23" s="32"/>
      <c r="D23" s="32"/>
      <c r="G23" s="3"/>
      <c r="H23" s="102"/>
      <c r="I23" s="102"/>
    </row>
    <row r="24" spans="1:9" ht="87.65" customHeight="1" thickBot="1" x14ac:dyDescent="0.4">
      <c r="A24" s="104" t="s">
        <v>106</v>
      </c>
      <c r="B24" s="133" t="s">
        <v>107</v>
      </c>
      <c r="C24" s="116" t="s">
        <v>108</v>
      </c>
      <c r="D24" s="136" t="s">
        <v>109</v>
      </c>
    </row>
    <row r="25" spans="1:9" ht="15" thickBot="1" x14ac:dyDescent="0.4">
      <c r="A25" s="94"/>
      <c r="B25" s="32"/>
      <c r="C25" s="32"/>
      <c r="D25" s="32"/>
      <c r="G25" s="3"/>
      <c r="H25" s="102"/>
      <c r="I25" s="102"/>
    </row>
    <row r="26" spans="1:9" ht="73" thickBot="1" x14ac:dyDescent="0.4">
      <c r="A26" s="104" t="s">
        <v>110</v>
      </c>
      <c r="B26" s="133" t="s">
        <v>111</v>
      </c>
      <c r="C26" s="116"/>
      <c r="D26" s="136"/>
    </row>
    <row r="27" spans="1:9" x14ac:dyDescent="0.3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56D40C7C-9091-464D-918C-8A2A0D88F8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J83" sqref="J83:J89"/>
    </sheetView>
  </sheetViews>
  <sheetFormatPr defaultRowHeight="14.5" outlineLevelRow="1" x14ac:dyDescent="0.35"/>
  <cols>
    <col min="1" max="1" width="3.1796875" style="87" customWidth="1"/>
    <col min="2" max="2" width="7.7265625" style="87" hidden="1" customWidth="1"/>
    <col min="3" max="3" width="48.54296875" style="13" bestFit="1" customWidth="1"/>
    <col min="4" max="4" width="31.1796875" style="2" bestFit="1" customWidth="1"/>
    <col min="5" max="5" width="36.453125" style="2" bestFit="1" customWidth="1"/>
    <col min="6" max="6" width="4.7265625" customWidth="1"/>
    <col min="7" max="7" width="23.54296875" customWidth="1"/>
    <col min="8" max="8" width="87.453125" style="3" customWidth="1"/>
    <col min="9" max="9" width="44" style="13" customWidth="1"/>
    <col min="10" max="10" width="28.453125" style="13" customWidth="1"/>
    <col min="11" max="11" width="28" customWidth="1"/>
  </cols>
  <sheetData>
    <row r="1" spans="1:12" ht="26" x14ac:dyDescent="0.6">
      <c r="C1" s="188" t="s">
        <v>85</v>
      </c>
    </row>
    <row r="2" spans="1:12" ht="3.75" customHeight="1" x14ac:dyDescent="0.45">
      <c r="A2" s="86"/>
      <c r="B2" s="86"/>
    </row>
    <row r="3" spans="1:12" ht="30" customHeight="1" x14ac:dyDescent="0.35">
      <c r="C3" s="189" t="s">
        <v>112</v>
      </c>
      <c r="D3" s="139" t="s">
        <v>113</v>
      </c>
      <c r="E3" s="139" t="s">
        <v>114</v>
      </c>
      <c r="F3" s="562" t="s">
        <v>115</v>
      </c>
      <c r="G3" s="562"/>
      <c r="H3" s="562"/>
      <c r="I3" s="189" t="s">
        <v>116</v>
      </c>
      <c r="J3" s="189" t="s">
        <v>117</v>
      </c>
      <c r="K3" s="139" t="s">
        <v>118</v>
      </c>
    </row>
    <row r="4" spans="1:12" ht="170.15" hidden="1" customHeight="1" outlineLevel="1" x14ac:dyDescent="0.35">
      <c r="A4" s="358" t="s">
        <v>119</v>
      </c>
      <c r="B4" s="141"/>
      <c r="C4" s="149" t="s">
        <v>120</v>
      </c>
      <c r="D4" s="149" t="s">
        <v>121</v>
      </c>
      <c r="E4" s="149" t="s">
        <v>122</v>
      </c>
      <c r="F4" s="563" t="s">
        <v>123</v>
      </c>
      <c r="G4" s="564"/>
      <c r="H4" s="565"/>
      <c r="I4" s="149" t="s">
        <v>124</v>
      </c>
      <c r="J4" s="149" t="s">
        <v>125</v>
      </c>
      <c r="K4" s="149" t="s">
        <v>126</v>
      </c>
    </row>
    <row r="5" spans="1:12" ht="15" hidden="1" customHeight="1" outlineLevel="1" x14ac:dyDescent="0.35">
      <c r="A5" s="540" t="s">
        <v>127</v>
      </c>
      <c r="B5" s="197"/>
      <c r="C5" s="166" t="s">
        <v>128</v>
      </c>
      <c r="D5" s="167"/>
      <c r="E5" s="167"/>
      <c r="F5" s="541" t="s">
        <v>129</v>
      </c>
      <c r="G5" s="542"/>
      <c r="H5" s="543"/>
      <c r="I5" s="167"/>
      <c r="J5" s="167"/>
      <c r="K5" s="166" t="s">
        <v>130</v>
      </c>
    </row>
    <row r="6" spans="1:12" ht="15" hidden="1" customHeight="1" outlineLevel="1" x14ac:dyDescent="0.35">
      <c r="A6" s="540"/>
      <c r="B6" s="197"/>
      <c r="C6" s="166" t="s">
        <v>131</v>
      </c>
      <c r="D6" s="167"/>
      <c r="E6" s="167"/>
      <c r="F6" s="544"/>
      <c r="G6" s="545"/>
      <c r="H6" s="546"/>
      <c r="I6" s="167"/>
      <c r="J6" s="167"/>
      <c r="K6" s="167"/>
    </row>
    <row r="7" spans="1:12" ht="15" hidden="1" customHeight="1" outlineLevel="1" x14ac:dyDescent="0.35">
      <c r="A7" s="540"/>
      <c r="B7" s="197"/>
      <c r="C7" s="166" t="s">
        <v>132</v>
      </c>
      <c r="D7" s="167"/>
      <c r="E7" s="167"/>
      <c r="F7" s="544"/>
      <c r="G7" s="545"/>
      <c r="H7" s="546"/>
      <c r="I7" s="167"/>
      <c r="J7" s="167"/>
      <c r="K7" s="167"/>
    </row>
    <row r="8" spans="1:12" ht="15" hidden="1" customHeight="1" outlineLevel="1" x14ac:dyDescent="0.35">
      <c r="A8" s="540"/>
      <c r="B8" s="197"/>
      <c r="C8" s="166" t="s">
        <v>133</v>
      </c>
      <c r="D8" s="167"/>
      <c r="E8" s="167"/>
      <c r="F8" s="544"/>
      <c r="G8" s="545"/>
      <c r="H8" s="546"/>
      <c r="I8" s="167"/>
      <c r="J8" s="167"/>
      <c r="K8" s="167"/>
    </row>
    <row r="9" spans="1:12" ht="4.5" hidden="1" customHeight="1" outlineLevel="1" x14ac:dyDescent="0.35">
      <c r="A9" s="540"/>
      <c r="B9" s="197"/>
      <c r="C9" s="167"/>
      <c r="D9" s="167"/>
      <c r="E9" s="167"/>
      <c r="F9" s="544"/>
      <c r="G9" s="545"/>
      <c r="H9" s="546"/>
      <c r="I9" s="167"/>
      <c r="J9" s="167"/>
      <c r="K9" s="167"/>
    </row>
    <row r="10" spans="1:12" s="2" customFormat="1" ht="15" collapsed="1" thickBot="1" x14ac:dyDescent="0.4">
      <c r="A10" s="88"/>
      <c r="B10" s="88"/>
      <c r="C10" s="190" t="s">
        <v>134</v>
      </c>
      <c r="D10" s="140" t="s">
        <v>135</v>
      </c>
      <c r="E10" s="140" t="s">
        <v>135</v>
      </c>
      <c r="F10" s="566" t="s">
        <v>136</v>
      </c>
      <c r="G10" s="567"/>
      <c r="H10" s="568"/>
      <c r="I10" s="190" t="s">
        <v>135</v>
      </c>
      <c r="J10" s="190" t="s">
        <v>135</v>
      </c>
      <c r="K10" s="140" t="s">
        <v>137</v>
      </c>
      <c r="L10" s="1"/>
    </row>
    <row r="11" spans="1:12" ht="15.75" customHeight="1" x14ac:dyDescent="0.35">
      <c r="A11" s="550">
        <v>1</v>
      </c>
      <c r="B11" s="193">
        <f>A11+10</f>
        <v>11</v>
      </c>
      <c r="C11" s="553" t="s">
        <v>45</v>
      </c>
      <c r="D11" s="556" t="s">
        <v>19</v>
      </c>
      <c r="E11" s="556" t="s">
        <v>19</v>
      </c>
      <c r="F11" s="504" t="b">
        <v>1</v>
      </c>
      <c r="G11" s="62" t="s">
        <v>138</v>
      </c>
      <c r="H11" s="75" t="s">
        <v>139</v>
      </c>
      <c r="I11" s="559" t="s">
        <v>384</v>
      </c>
      <c r="J11" s="559"/>
      <c r="K11" s="547" t="s">
        <v>67</v>
      </c>
    </row>
    <row r="12" spans="1:12" ht="3.75" customHeight="1" x14ac:dyDescent="0.35">
      <c r="A12" s="551"/>
      <c r="B12" s="194">
        <f t="shared" ref="B12:B17" si="0">B11+1</f>
        <v>12</v>
      </c>
      <c r="C12" s="554"/>
      <c r="D12" s="557"/>
      <c r="E12" s="557"/>
      <c r="I12" s="560"/>
      <c r="J12" s="560"/>
      <c r="K12" s="548"/>
    </row>
    <row r="13" spans="1:12" x14ac:dyDescent="0.35">
      <c r="A13" s="551"/>
      <c r="B13" s="194">
        <f t="shared" si="0"/>
        <v>13</v>
      </c>
      <c r="C13" s="554"/>
      <c r="D13" s="557"/>
      <c r="E13" s="557"/>
      <c r="F13" s="505" t="b">
        <v>1</v>
      </c>
      <c r="G13" t="s">
        <v>2</v>
      </c>
      <c r="H13" s="3" t="s">
        <v>140</v>
      </c>
      <c r="I13" s="560"/>
      <c r="J13" s="560"/>
      <c r="K13" s="548"/>
    </row>
    <row r="14" spans="1:12" ht="3.75" customHeight="1" x14ac:dyDescent="0.35">
      <c r="A14" s="551"/>
      <c r="B14" s="194">
        <f t="shared" si="0"/>
        <v>14</v>
      </c>
      <c r="C14" s="554"/>
      <c r="D14" s="557"/>
      <c r="E14" s="557"/>
      <c r="I14" s="560"/>
      <c r="J14" s="560"/>
      <c r="K14" s="548"/>
    </row>
    <row r="15" spans="1:12" x14ac:dyDescent="0.35">
      <c r="A15" s="551"/>
      <c r="B15" s="194">
        <f t="shared" si="0"/>
        <v>15</v>
      </c>
      <c r="C15" s="554"/>
      <c r="D15" s="557"/>
      <c r="E15" s="557"/>
      <c r="F15" s="525" t="b">
        <v>0</v>
      </c>
      <c r="G15" s="44" t="s">
        <v>141</v>
      </c>
      <c r="H15" s="9" t="s">
        <v>142</v>
      </c>
      <c r="I15" s="560"/>
      <c r="J15" s="560"/>
      <c r="K15" s="548"/>
    </row>
    <row r="16" spans="1:12" ht="3.75" customHeight="1" x14ac:dyDescent="0.35">
      <c r="A16" s="551"/>
      <c r="B16" s="194">
        <f t="shared" si="0"/>
        <v>16</v>
      </c>
      <c r="C16" s="554"/>
      <c r="D16" s="557"/>
      <c r="E16" s="557"/>
      <c r="I16" s="560"/>
      <c r="J16" s="560"/>
      <c r="K16" s="548"/>
    </row>
    <row r="17" spans="1:11" ht="29.5" thickBot="1" x14ac:dyDescent="0.4">
      <c r="A17" s="552"/>
      <c r="B17" s="194">
        <f t="shared" si="0"/>
        <v>17</v>
      </c>
      <c r="C17" s="555"/>
      <c r="D17" s="558"/>
      <c r="E17" s="558"/>
      <c r="F17" s="506" t="b">
        <v>0</v>
      </c>
      <c r="G17" s="99" t="s">
        <v>93</v>
      </c>
      <c r="H17" s="55" t="s">
        <v>143</v>
      </c>
      <c r="I17" s="561"/>
      <c r="J17" s="561"/>
      <c r="K17" s="549"/>
    </row>
    <row r="18" spans="1:11" ht="4.5" customHeight="1" thickBot="1" x14ac:dyDescent="0.4">
      <c r="C18" s="191"/>
      <c r="D18" s="132"/>
      <c r="E18" s="132"/>
      <c r="F18" s="30"/>
      <c r="G18" s="30"/>
      <c r="H18" s="33"/>
      <c r="I18" s="191"/>
      <c r="J18" s="191"/>
      <c r="K18" s="32"/>
    </row>
    <row r="19" spans="1:11" x14ac:dyDescent="0.35">
      <c r="A19" s="550">
        <v>2</v>
      </c>
      <c r="B19" s="193">
        <f>B11+10</f>
        <v>21</v>
      </c>
      <c r="C19" s="553" t="s">
        <v>45</v>
      </c>
      <c r="D19" s="556" t="s">
        <v>378</v>
      </c>
      <c r="E19" s="556" t="s">
        <v>378</v>
      </c>
      <c r="F19" s="504" t="b">
        <v>1</v>
      </c>
      <c r="G19" s="62" t="s">
        <v>138</v>
      </c>
      <c r="H19" s="75" t="s">
        <v>139</v>
      </c>
      <c r="I19" s="559" t="s">
        <v>385</v>
      </c>
      <c r="J19" s="559"/>
      <c r="K19" s="547" t="s">
        <v>68</v>
      </c>
    </row>
    <row r="20" spans="1:11" ht="3.75" customHeight="1" x14ac:dyDescent="0.35">
      <c r="A20" s="551"/>
      <c r="B20" s="194">
        <f t="shared" ref="B20:B25" si="1">B19+1</f>
        <v>22</v>
      </c>
      <c r="C20" s="554"/>
      <c r="D20" s="557"/>
      <c r="E20" s="557"/>
      <c r="I20" s="560"/>
      <c r="J20" s="560"/>
      <c r="K20" s="548"/>
    </row>
    <row r="21" spans="1:11" x14ac:dyDescent="0.35">
      <c r="A21" s="551"/>
      <c r="B21" s="194">
        <f t="shared" si="1"/>
        <v>23</v>
      </c>
      <c r="C21" s="554"/>
      <c r="D21" s="557"/>
      <c r="E21" s="557"/>
      <c r="F21" s="505" t="b">
        <v>1</v>
      </c>
      <c r="G21" t="s">
        <v>2</v>
      </c>
      <c r="H21" s="3" t="s">
        <v>140</v>
      </c>
      <c r="I21" s="560"/>
      <c r="J21" s="560"/>
      <c r="K21" s="548"/>
    </row>
    <row r="22" spans="1:11" ht="3.75" customHeight="1" x14ac:dyDescent="0.35">
      <c r="A22" s="551"/>
      <c r="B22" s="194">
        <f t="shared" si="1"/>
        <v>24</v>
      </c>
      <c r="C22" s="554"/>
      <c r="D22" s="557"/>
      <c r="E22" s="557"/>
      <c r="I22" s="560"/>
      <c r="J22" s="560"/>
      <c r="K22" s="548"/>
    </row>
    <row r="23" spans="1:11" x14ac:dyDescent="0.35">
      <c r="A23" s="551"/>
      <c r="B23" s="194">
        <f t="shared" si="1"/>
        <v>25</v>
      </c>
      <c r="C23" s="554"/>
      <c r="D23" s="557"/>
      <c r="E23" s="557"/>
      <c r="F23" s="525" t="b">
        <v>1</v>
      </c>
      <c r="G23" s="44" t="s">
        <v>141</v>
      </c>
      <c r="H23" s="9" t="s">
        <v>142</v>
      </c>
      <c r="I23" s="560"/>
      <c r="J23" s="560"/>
      <c r="K23" s="548"/>
    </row>
    <row r="24" spans="1:11" ht="3.75" customHeight="1" x14ac:dyDescent="0.35">
      <c r="A24" s="551"/>
      <c r="B24" s="194">
        <f t="shared" si="1"/>
        <v>26</v>
      </c>
      <c r="C24" s="554"/>
      <c r="D24" s="557"/>
      <c r="E24" s="557"/>
      <c r="I24" s="560"/>
      <c r="J24" s="560"/>
      <c r="K24" s="548"/>
    </row>
    <row r="25" spans="1:11" ht="29.5" thickBot="1" x14ac:dyDescent="0.4">
      <c r="A25" s="552"/>
      <c r="B25" s="194">
        <f t="shared" si="1"/>
        <v>27</v>
      </c>
      <c r="C25" s="555"/>
      <c r="D25" s="558"/>
      <c r="E25" s="558"/>
      <c r="F25" s="506" t="b">
        <v>1</v>
      </c>
      <c r="G25" s="99" t="s">
        <v>93</v>
      </c>
      <c r="H25" s="55" t="s">
        <v>143</v>
      </c>
      <c r="I25" s="561"/>
      <c r="J25" s="561"/>
      <c r="K25" s="549"/>
    </row>
    <row r="26" spans="1:11" ht="4.5" customHeight="1" thickBot="1" x14ac:dyDescent="0.4">
      <c r="C26" s="191"/>
      <c r="D26" s="132"/>
      <c r="E26" s="132"/>
      <c r="F26" s="30"/>
      <c r="G26" s="30"/>
      <c r="H26" s="33"/>
      <c r="I26" s="191"/>
      <c r="J26" s="191"/>
      <c r="K26" s="32"/>
    </row>
    <row r="27" spans="1:11" ht="15" customHeight="1" x14ac:dyDescent="0.35">
      <c r="A27" s="550">
        <v>3</v>
      </c>
      <c r="B27" s="193">
        <f>B19+10</f>
        <v>31</v>
      </c>
      <c r="C27" s="553" t="s">
        <v>7</v>
      </c>
      <c r="D27" s="556" t="s">
        <v>379</v>
      </c>
      <c r="E27" s="556" t="s">
        <v>379</v>
      </c>
      <c r="F27" s="504" t="b">
        <v>0</v>
      </c>
      <c r="G27" s="62" t="s">
        <v>138</v>
      </c>
      <c r="H27" s="75" t="s">
        <v>139</v>
      </c>
      <c r="I27" s="559"/>
      <c r="J27" s="559"/>
      <c r="K27" s="547" t="s">
        <v>70</v>
      </c>
    </row>
    <row r="28" spans="1:11" ht="3.75" customHeight="1" x14ac:dyDescent="0.35">
      <c r="A28" s="551"/>
      <c r="B28" s="194">
        <f t="shared" ref="B28:B33" si="2">B27+1</f>
        <v>32</v>
      </c>
      <c r="C28" s="554"/>
      <c r="D28" s="557"/>
      <c r="E28" s="557"/>
      <c r="I28" s="560"/>
      <c r="J28" s="560"/>
      <c r="K28" s="548"/>
    </row>
    <row r="29" spans="1:11" x14ac:dyDescent="0.35">
      <c r="A29" s="551"/>
      <c r="B29" s="194">
        <f t="shared" si="2"/>
        <v>33</v>
      </c>
      <c r="C29" s="554"/>
      <c r="D29" s="557"/>
      <c r="E29" s="557"/>
      <c r="F29" s="505" t="b">
        <v>0</v>
      </c>
      <c r="G29" t="s">
        <v>2</v>
      </c>
      <c r="H29" s="3" t="s">
        <v>140</v>
      </c>
      <c r="I29" s="560"/>
      <c r="J29" s="560"/>
      <c r="K29" s="548"/>
    </row>
    <row r="30" spans="1:11" ht="3.75" customHeight="1" x14ac:dyDescent="0.35">
      <c r="A30" s="551"/>
      <c r="B30" s="194">
        <f t="shared" si="2"/>
        <v>34</v>
      </c>
      <c r="C30" s="554"/>
      <c r="D30" s="557"/>
      <c r="E30" s="557"/>
      <c r="I30" s="560"/>
      <c r="J30" s="560"/>
      <c r="K30" s="548"/>
    </row>
    <row r="31" spans="1:11" x14ac:dyDescent="0.35">
      <c r="A31" s="551"/>
      <c r="B31" s="194">
        <f t="shared" si="2"/>
        <v>35</v>
      </c>
      <c r="C31" s="554"/>
      <c r="D31" s="557"/>
      <c r="E31" s="557"/>
      <c r="F31" s="525" t="b">
        <v>0</v>
      </c>
      <c r="G31" s="44" t="s">
        <v>141</v>
      </c>
      <c r="H31" s="9" t="s">
        <v>142</v>
      </c>
      <c r="I31" s="560"/>
      <c r="J31" s="560"/>
      <c r="K31" s="548"/>
    </row>
    <row r="32" spans="1:11" ht="3.75" customHeight="1" x14ac:dyDescent="0.35">
      <c r="A32" s="551"/>
      <c r="B32" s="194">
        <f t="shared" si="2"/>
        <v>36</v>
      </c>
      <c r="C32" s="554"/>
      <c r="D32" s="557"/>
      <c r="E32" s="557"/>
      <c r="I32" s="560"/>
      <c r="J32" s="560"/>
      <c r="K32" s="548"/>
    </row>
    <row r="33" spans="1:11" ht="29.5" thickBot="1" x14ac:dyDescent="0.4">
      <c r="A33" s="552"/>
      <c r="B33" s="194">
        <f t="shared" si="2"/>
        <v>37</v>
      </c>
      <c r="C33" s="555"/>
      <c r="D33" s="558"/>
      <c r="E33" s="558"/>
      <c r="F33" s="506" t="b">
        <v>0</v>
      </c>
      <c r="G33" s="99" t="s">
        <v>93</v>
      </c>
      <c r="H33" s="55" t="s">
        <v>143</v>
      </c>
      <c r="I33" s="561"/>
      <c r="J33" s="561"/>
      <c r="K33" s="549"/>
    </row>
    <row r="34" spans="1:11" ht="4.5" customHeight="1" thickBot="1" x14ac:dyDescent="0.4">
      <c r="C34" s="191"/>
      <c r="D34" s="132"/>
      <c r="E34" s="132"/>
      <c r="F34" s="30"/>
      <c r="G34" s="30"/>
      <c r="H34" s="33"/>
      <c r="I34" s="191"/>
      <c r="J34" s="191"/>
      <c r="K34" s="32"/>
    </row>
    <row r="35" spans="1:11" ht="15" customHeight="1" x14ac:dyDescent="0.35">
      <c r="A35" s="550">
        <v>4</v>
      </c>
      <c r="B35" s="193">
        <f>B27+10</f>
        <v>41</v>
      </c>
      <c r="C35" s="553" t="s">
        <v>54</v>
      </c>
      <c r="D35" s="556" t="s">
        <v>380</v>
      </c>
      <c r="E35" s="556" t="s">
        <v>380</v>
      </c>
      <c r="F35" s="504" t="b">
        <v>1</v>
      </c>
      <c r="G35" s="62" t="s">
        <v>138</v>
      </c>
      <c r="H35" s="75" t="s">
        <v>139</v>
      </c>
      <c r="I35" s="559" t="s">
        <v>386</v>
      </c>
      <c r="J35" s="559"/>
      <c r="K35" s="547" t="s">
        <v>70</v>
      </c>
    </row>
    <row r="36" spans="1:11" ht="3.75" customHeight="1" x14ac:dyDescent="0.35">
      <c r="A36" s="551"/>
      <c r="B36" s="194">
        <f t="shared" ref="B36:B41" si="3">B35+1</f>
        <v>42</v>
      </c>
      <c r="C36" s="554"/>
      <c r="D36" s="557"/>
      <c r="E36" s="557"/>
      <c r="I36" s="560"/>
      <c r="J36" s="560"/>
      <c r="K36" s="548"/>
    </row>
    <row r="37" spans="1:11" x14ac:dyDescent="0.35">
      <c r="A37" s="551"/>
      <c r="B37" s="194">
        <f t="shared" si="3"/>
        <v>43</v>
      </c>
      <c r="C37" s="554"/>
      <c r="D37" s="557"/>
      <c r="E37" s="557"/>
      <c r="F37" s="505" t="b">
        <v>1</v>
      </c>
      <c r="G37" t="s">
        <v>2</v>
      </c>
      <c r="H37" s="3" t="s">
        <v>140</v>
      </c>
      <c r="I37" s="560"/>
      <c r="J37" s="560"/>
      <c r="K37" s="548"/>
    </row>
    <row r="38" spans="1:11" ht="3.75" customHeight="1" x14ac:dyDescent="0.35">
      <c r="A38" s="551"/>
      <c r="B38" s="194">
        <f t="shared" si="3"/>
        <v>44</v>
      </c>
      <c r="C38" s="554"/>
      <c r="D38" s="557"/>
      <c r="E38" s="557"/>
      <c r="I38" s="560"/>
      <c r="J38" s="560"/>
      <c r="K38" s="548"/>
    </row>
    <row r="39" spans="1:11" x14ac:dyDescent="0.35">
      <c r="A39" s="551"/>
      <c r="B39" s="194">
        <f t="shared" si="3"/>
        <v>45</v>
      </c>
      <c r="C39" s="554"/>
      <c r="D39" s="557"/>
      <c r="E39" s="557"/>
      <c r="F39" s="525" t="b">
        <v>1</v>
      </c>
      <c r="G39" s="44" t="s">
        <v>141</v>
      </c>
      <c r="H39" s="9" t="s">
        <v>142</v>
      </c>
      <c r="I39" s="560"/>
      <c r="J39" s="560"/>
      <c r="K39" s="548"/>
    </row>
    <row r="40" spans="1:11" ht="3.75" customHeight="1" x14ac:dyDescent="0.35">
      <c r="A40" s="551"/>
      <c r="B40" s="194">
        <f t="shared" si="3"/>
        <v>46</v>
      </c>
      <c r="C40" s="554"/>
      <c r="D40" s="557"/>
      <c r="E40" s="557"/>
      <c r="I40" s="560"/>
      <c r="J40" s="560"/>
      <c r="K40" s="548"/>
    </row>
    <row r="41" spans="1:11" ht="29.5" thickBot="1" x14ac:dyDescent="0.4">
      <c r="A41" s="552"/>
      <c r="B41" s="194">
        <f t="shared" si="3"/>
        <v>47</v>
      </c>
      <c r="C41" s="555"/>
      <c r="D41" s="558"/>
      <c r="E41" s="558"/>
      <c r="F41" s="506" t="b">
        <v>1</v>
      </c>
      <c r="G41" s="99" t="s">
        <v>93</v>
      </c>
      <c r="H41" s="55" t="s">
        <v>143</v>
      </c>
      <c r="I41" s="561"/>
      <c r="J41" s="561"/>
      <c r="K41" s="549"/>
    </row>
    <row r="42" spans="1:11" ht="4.5" customHeight="1" thickBot="1" x14ac:dyDescent="0.4">
      <c r="C42" s="191"/>
      <c r="D42" s="132"/>
      <c r="E42" s="132"/>
      <c r="F42" s="30"/>
      <c r="G42" s="30"/>
      <c r="H42" s="33"/>
      <c r="I42" s="191"/>
      <c r="J42" s="191"/>
      <c r="K42" s="32"/>
    </row>
    <row r="43" spans="1:11" ht="15" customHeight="1" x14ac:dyDescent="0.35">
      <c r="A43" s="569">
        <v>5</v>
      </c>
      <c r="B43" s="193">
        <f>B35+10</f>
        <v>51</v>
      </c>
      <c r="C43" s="553" t="s">
        <v>54</v>
      </c>
      <c r="D43" s="556" t="s">
        <v>381</v>
      </c>
      <c r="E43" s="556" t="s">
        <v>381</v>
      </c>
      <c r="F43" s="504" t="b">
        <v>1</v>
      </c>
      <c r="G43" s="62" t="s">
        <v>138</v>
      </c>
      <c r="H43" s="75" t="s">
        <v>139</v>
      </c>
      <c r="I43" s="559" t="s">
        <v>387</v>
      </c>
      <c r="J43" s="559"/>
      <c r="K43" s="547" t="s">
        <v>70</v>
      </c>
    </row>
    <row r="44" spans="1:11" ht="3.75" customHeight="1" x14ac:dyDescent="0.35">
      <c r="A44" s="570"/>
      <c r="B44" s="194">
        <f t="shared" ref="B44:B49" si="4">B43+1</f>
        <v>52</v>
      </c>
      <c r="C44" s="554"/>
      <c r="D44" s="557"/>
      <c r="E44" s="557"/>
      <c r="I44" s="560"/>
      <c r="J44" s="560"/>
      <c r="K44" s="548"/>
    </row>
    <row r="45" spans="1:11" x14ac:dyDescent="0.35">
      <c r="A45" s="570"/>
      <c r="B45" s="194">
        <f t="shared" si="4"/>
        <v>53</v>
      </c>
      <c r="C45" s="554"/>
      <c r="D45" s="557"/>
      <c r="E45" s="557"/>
      <c r="F45" s="505" t="b">
        <v>1</v>
      </c>
      <c r="G45" t="s">
        <v>2</v>
      </c>
      <c r="H45" s="3" t="s">
        <v>140</v>
      </c>
      <c r="I45" s="560"/>
      <c r="J45" s="560"/>
      <c r="K45" s="548"/>
    </row>
    <row r="46" spans="1:11" ht="3.75" customHeight="1" x14ac:dyDescent="0.35">
      <c r="A46" s="570"/>
      <c r="B46" s="194">
        <f t="shared" si="4"/>
        <v>54</v>
      </c>
      <c r="C46" s="554"/>
      <c r="D46" s="557"/>
      <c r="E46" s="557"/>
      <c r="I46" s="560"/>
      <c r="J46" s="560"/>
      <c r="K46" s="548"/>
    </row>
    <row r="47" spans="1:11" x14ac:dyDescent="0.35">
      <c r="A47" s="570"/>
      <c r="B47" s="194">
        <f t="shared" si="4"/>
        <v>55</v>
      </c>
      <c r="C47" s="554"/>
      <c r="D47" s="557"/>
      <c r="E47" s="557"/>
      <c r="F47" s="525" t="b">
        <v>1</v>
      </c>
      <c r="G47" s="44" t="s">
        <v>141</v>
      </c>
      <c r="H47" s="9" t="s">
        <v>142</v>
      </c>
      <c r="I47" s="560"/>
      <c r="J47" s="560"/>
      <c r="K47" s="548"/>
    </row>
    <row r="48" spans="1:11" ht="3.75" customHeight="1" x14ac:dyDescent="0.35">
      <c r="A48" s="570"/>
      <c r="B48" s="194">
        <f t="shared" si="4"/>
        <v>56</v>
      </c>
      <c r="C48" s="554"/>
      <c r="D48" s="557"/>
      <c r="E48" s="557"/>
      <c r="I48" s="560"/>
      <c r="J48" s="560"/>
      <c r="K48" s="548"/>
    </row>
    <row r="49" spans="1:11" ht="29.5" thickBot="1" x14ac:dyDescent="0.4">
      <c r="A49" s="571"/>
      <c r="B49" s="194">
        <f t="shared" si="4"/>
        <v>57</v>
      </c>
      <c r="C49" s="555"/>
      <c r="D49" s="558"/>
      <c r="E49" s="558"/>
      <c r="F49" s="506" t="b">
        <v>1</v>
      </c>
      <c r="G49" s="99" t="s">
        <v>93</v>
      </c>
      <c r="H49" s="55" t="s">
        <v>143</v>
      </c>
      <c r="I49" s="561"/>
      <c r="J49" s="561"/>
      <c r="K49" s="549"/>
    </row>
    <row r="50" spans="1:11" ht="4.5" customHeight="1" thickBot="1" x14ac:dyDescent="0.4">
      <c r="C50" s="191"/>
      <c r="D50" s="132"/>
      <c r="E50" s="132"/>
      <c r="F50" s="30"/>
      <c r="G50" s="30"/>
      <c r="H50" s="33"/>
      <c r="I50" s="191"/>
      <c r="J50" s="191"/>
      <c r="K50" s="32"/>
    </row>
    <row r="51" spans="1:11" ht="15.75" customHeight="1" x14ac:dyDescent="0.35">
      <c r="A51" s="550">
        <v>6</v>
      </c>
      <c r="B51" s="193">
        <f>B43+10</f>
        <v>61</v>
      </c>
      <c r="C51" s="553" t="s">
        <v>54</v>
      </c>
      <c r="D51" s="556" t="s">
        <v>382</v>
      </c>
      <c r="E51" s="556" t="s">
        <v>382</v>
      </c>
      <c r="F51" s="504" t="b">
        <v>1</v>
      </c>
      <c r="G51" s="62" t="s">
        <v>138</v>
      </c>
      <c r="H51" s="75" t="s">
        <v>139</v>
      </c>
      <c r="I51" s="559" t="s">
        <v>388</v>
      </c>
      <c r="J51" s="559"/>
      <c r="K51" s="547" t="s">
        <v>70</v>
      </c>
    </row>
    <row r="52" spans="1:11" ht="3.75" customHeight="1" x14ac:dyDescent="0.35">
      <c r="A52" s="551"/>
      <c r="B52" s="194">
        <f t="shared" ref="B52:B57" si="5">B51+1</f>
        <v>62</v>
      </c>
      <c r="C52" s="554"/>
      <c r="D52" s="557"/>
      <c r="E52" s="557"/>
      <c r="I52" s="560"/>
      <c r="J52" s="560"/>
      <c r="K52" s="548"/>
    </row>
    <row r="53" spans="1:11" x14ac:dyDescent="0.35">
      <c r="A53" s="551"/>
      <c r="B53" s="194">
        <f t="shared" si="5"/>
        <v>63</v>
      </c>
      <c r="C53" s="554"/>
      <c r="D53" s="557"/>
      <c r="E53" s="557"/>
      <c r="F53" s="505" t="b">
        <v>1</v>
      </c>
      <c r="G53" t="s">
        <v>2</v>
      </c>
      <c r="H53" s="3" t="s">
        <v>140</v>
      </c>
      <c r="I53" s="560"/>
      <c r="J53" s="560"/>
      <c r="K53" s="548"/>
    </row>
    <row r="54" spans="1:11" ht="3.75" customHeight="1" x14ac:dyDescent="0.35">
      <c r="A54" s="551"/>
      <c r="B54" s="194">
        <f t="shared" si="5"/>
        <v>64</v>
      </c>
      <c r="C54" s="554"/>
      <c r="D54" s="557"/>
      <c r="E54" s="557"/>
      <c r="I54" s="560"/>
      <c r="J54" s="560"/>
      <c r="K54" s="548"/>
    </row>
    <row r="55" spans="1:11" x14ac:dyDescent="0.35">
      <c r="A55" s="551"/>
      <c r="B55" s="194">
        <f t="shared" si="5"/>
        <v>65</v>
      </c>
      <c r="C55" s="554"/>
      <c r="D55" s="557"/>
      <c r="E55" s="557"/>
      <c r="F55" s="525" t="b">
        <v>1</v>
      </c>
      <c r="G55" s="44" t="s">
        <v>141</v>
      </c>
      <c r="H55" s="9" t="s">
        <v>142</v>
      </c>
      <c r="I55" s="560"/>
      <c r="J55" s="560"/>
      <c r="K55" s="548"/>
    </row>
    <row r="56" spans="1:11" ht="3.75" customHeight="1" x14ac:dyDescent="0.35">
      <c r="A56" s="551"/>
      <c r="B56" s="194">
        <f t="shared" si="5"/>
        <v>66</v>
      </c>
      <c r="C56" s="554"/>
      <c r="D56" s="557"/>
      <c r="E56" s="557"/>
      <c r="I56" s="560"/>
      <c r="J56" s="560"/>
      <c r="K56" s="548"/>
    </row>
    <row r="57" spans="1:11" ht="29.5" thickBot="1" x14ac:dyDescent="0.4">
      <c r="A57" s="552"/>
      <c r="B57" s="194">
        <f t="shared" si="5"/>
        <v>67</v>
      </c>
      <c r="C57" s="555"/>
      <c r="D57" s="558"/>
      <c r="E57" s="558"/>
      <c r="F57" s="506" t="b">
        <v>1</v>
      </c>
      <c r="G57" s="99" t="s">
        <v>93</v>
      </c>
      <c r="H57" s="55" t="s">
        <v>143</v>
      </c>
      <c r="I57" s="561"/>
      <c r="J57" s="561"/>
      <c r="K57" s="549"/>
    </row>
    <row r="58" spans="1:11" ht="4.5" customHeight="1" thickBot="1" x14ac:dyDescent="0.4">
      <c r="C58" s="191"/>
      <c r="D58" s="132"/>
      <c r="E58" s="132"/>
      <c r="F58" s="30"/>
      <c r="G58" s="30"/>
      <c r="H58" s="33"/>
      <c r="I58" s="191"/>
      <c r="J58" s="191"/>
      <c r="K58" s="32"/>
    </row>
    <row r="59" spans="1:11" ht="15" customHeight="1" x14ac:dyDescent="0.35">
      <c r="A59" s="550">
        <v>7</v>
      </c>
      <c r="B59" s="193">
        <f>B51+10</f>
        <v>71</v>
      </c>
      <c r="C59" s="553" t="s">
        <v>7</v>
      </c>
      <c r="D59" s="556" t="s">
        <v>383</v>
      </c>
      <c r="E59" s="556" t="s">
        <v>383</v>
      </c>
      <c r="F59" s="504" t="b">
        <v>0</v>
      </c>
      <c r="G59" s="62" t="s">
        <v>138</v>
      </c>
      <c r="H59" s="75" t="s">
        <v>139</v>
      </c>
      <c r="I59" s="559"/>
      <c r="J59" s="559"/>
      <c r="K59" s="547" t="s">
        <v>69</v>
      </c>
    </row>
    <row r="60" spans="1:11" ht="3.75" customHeight="1" x14ac:dyDescent="0.35">
      <c r="A60" s="551"/>
      <c r="B60" s="194">
        <f t="shared" ref="B60:B65" si="6">B59+1</f>
        <v>72</v>
      </c>
      <c r="C60" s="554"/>
      <c r="D60" s="557"/>
      <c r="E60" s="557"/>
      <c r="I60" s="560"/>
      <c r="J60" s="560"/>
      <c r="K60" s="548"/>
    </row>
    <row r="61" spans="1:11" x14ac:dyDescent="0.35">
      <c r="A61" s="551"/>
      <c r="B61" s="194">
        <f t="shared" si="6"/>
        <v>73</v>
      </c>
      <c r="C61" s="554"/>
      <c r="D61" s="557"/>
      <c r="E61" s="557"/>
      <c r="F61" s="505" t="b">
        <v>0</v>
      </c>
      <c r="G61" t="s">
        <v>2</v>
      </c>
      <c r="H61" s="3" t="s">
        <v>140</v>
      </c>
      <c r="I61" s="560"/>
      <c r="J61" s="560"/>
      <c r="K61" s="548"/>
    </row>
    <row r="62" spans="1:11" ht="3.75" customHeight="1" x14ac:dyDescent="0.35">
      <c r="A62" s="551"/>
      <c r="B62" s="194">
        <f t="shared" si="6"/>
        <v>74</v>
      </c>
      <c r="C62" s="554"/>
      <c r="D62" s="557"/>
      <c r="E62" s="557"/>
      <c r="I62" s="560"/>
      <c r="J62" s="560"/>
      <c r="K62" s="548"/>
    </row>
    <row r="63" spans="1:11" x14ac:dyDescent="0.35">
      <c r="A63" s="551"/>
      <c r="B63" s="194">
        <f t="shared" si="6"/>
        <v>75</v>
      </c>
      <c r="C63" s="554"/>
      <c r="D63" s="557"/>
      <c r="E63" s="557"/>
      <c r="F63" s="525" t="b">
        <v>0</v>
      </c>
      <c r="G63" s="44" t="s">
        <v>141</v>
      </c>
      <c r="H63" s="9" t="s">
        <v>142</v>
      </c>
      <c r="I63" s="560"/>
      <c r="J63" s="560"/>
      <c r="K63" s="548"/>
    </row>
    <row r="64" spans="1:11" ht="3.75" customHeight="1" x14ac:dyDescent="0.35">
      <c r="A64" s="551"/>
      <c r="B64" s="194">
        <f t="shared" si="6"/>
        <v>76</v>
      </c>
      <c r="C64" s="554"/>
      <c r="D64" s="557"/>
      <c r="E64" s="557"/>
      <c r="I64" s="560"/>
      <c r="J64" s="560"/>
      <c r="K64" s="548"/>
    </row>
    <row r="65" spans="1:11" ht="29.5" thickBot="1" x14ac:dyDescent="0.4">
      <c r="A65" s="552"/>
      <c r="B65" s="194">
        <f t="shared" si="6"/>
        <v>77</v>
      </c>
      <c r="C65" s="555"/>
      <c r="D65" s="558"/>
      <c r="E65" s="558"/>
      <c r="F65" s="506" t="b">
        <v>0</v>
      </c>
      <c r="G65" s="99" t="s">
        <v>93</v>
      </c>
      <c r="H65" s="55" t="s">
        <v>143</v>
      </c>
      <c r="I65" s="561"/>
      <c r="J65" s="561"/>
      <c r="K65" s="549"/>
    </row>
    <row r="66" spans="1:11" ht="4.5" customHeight="1" thickBot="1" x14ac:dyDescent="0.4">
      <c r="C66" s="191"/>
      <c r="D66" s="132"/>
      <c r="E66" s="132"/>
      <c r="F66" s="30"/>
      <c r="G66" s="30"/>
      <c r="H66" s="33"/>
      <c r="I66" s="191"/>
      <c r="J66" s="191"/>
      <c r="K66" s="32"/>
    </row>
    <row r="67" spans="1:11" ht="15" customHeight="1" x14ac:dyDescent="0.35">
      <c r="A67" s="550">
        <v>8</v>
      </c>
      <c r="B67" s="193">
        <f>B59+10</f>
        <v>81</v>
      </c>
      <c r="C67" s="553" t="s">
        <v>54</v>
      </c>
      <c r="D67" s="556" t="s">
        <v>380</v>
      </c>
      <c r="E67" s="556" t="s">
        <v>380</v>
      </c>
      <c r="F67" s="504" t="b">
        <v>1</v>
      </c>
      <c r="G67" s="62" t="s">
        <v>138</v>
      </c>
      <c r="H67" s="75" t="s">
        <v>139</v>
      </c>
      <c r="I67" s="559" t="s">
        <v>389</v>
      </c>
      <c r="J67" s="559"/>
      <c r="K67" s="547" t="s">
        <v>69</v>
      </c>
    </row>
    <row r="68" spans="1:11" ht="3.75" customHeight="1" x14ac:dyDescent="0.35">
      <c r="A68" s="551"/>
      <c r="B68" s="194">
        <f t="shared" ref="B68:B73" si="7">B67+1</f>
        <v>82</v>
      </c>
      <c r="C68" s="554"/>
      <c r="D68" s="557"/>
      <c r="E68" s="557"/>
      <c r="I68" s="560"/>
      <c r="J68" s="560"/>
      <c r="K68" s="548"/>
    </row>
    <row r="69" spans="1:11" x14ac:dyDescent="0.35">
      <c r="A69" s="551"/>
      <c r="B69" s="194">
        <f t="shared" si="7"/>
        <v>83</v>
      </c>
      <c r="C69" s="554"/>
      <c r="D69" s="557"/>
      <c r="E69" s="557"/>
      <c r="F69" s="505" t="b">
        <v>1</v>
      </c>
      <c r="G69" t="s">
        <v>2</v>
      </c>
      <c r="H69" s="3" t="s">
        <v>140</v>
      </c>
      <c r="I69" s="560"/>
      <c r="J69" s="560"/>
      <c r="K69" s="548"/>
    </row>
    <row r="70" spans="1:11" ht="3.75" customHeight="1" x14ac:dyDescent="0.35">
      <c r="A70" s="551"/>
      <c r="B70" s="194">
        <f t="shared" si="7"/>
        <v>84</v>
      </c>
      <c r="C70" s="554"/>
      <c r="D70" s="557"/>
      <c r="E70" s="557"/>
      <c r="I70" s="560"/>
      <c r="J70" s="560"/>
      <c r="K70" s="548"/>
    </row>
    <row r="71" spans="1:11" x14ac:dyDescent="0.35">
      <c r="A71" s="551"/>
      <c r="B71" s="194">
        <f t="shared" si="7"/>
        <v>85</v>
      </c>
      <c r="C71" s="554"/>
      <c r="D71" s="557"/>
      <c r="E71" s="557"/>
      <c r="F71" s="525" t="b">
        <v>1</v>
      </c>
      <c r="G71" s="44" t="s">
        <v>141</v>
      </c>
      <c r="H71" s="9" t="s">
        <v>142</v>
      </c>
      <c r="I71" s="560"/>
      <c r="J71" s="560"/>
      <c r="K71" s="548"/>
    </row>
    <row r="72" spans="1:11" ht="3.75" customHeight="1" x14ac:dyDescent="0.35">
      <c r="A72" s="551"/>
      <c r="B72" s="194">
        <f t="shared" si="7"/>
        <v>86</v>
      </c>
      <c r="C72" s="554"/>
      <c r="D72" s="557"/>
      <c r="E72" s="557"/>
      <c r="I72" s="560"/>
      <c r="J72" s="560"/>
      <c r="K72" s="548"/>
    </row>
    <row r="73" spans="1:11" ht="29.5" thickBot="1" x14ac:dyDescent="0.4">
      <c r="A73" s="552"/>
      <c r="B73" s="194">
        <f t="shared" si="7"/>
        <v>87</v>
      </c>
      <c r="C73" s="555"/>
      <c r="D73" s="558"/>
      <c r="E73" s="558"/>
      <c r="F73" s="506" t="b">
        <v>1</v>
      </c>
      <c r="G73" s="99" t="s">
        <v>93</v>
      </c>
      <c r="H73" s="55" t="s">
        <v>143</v>
      </c>
      <c r="I73" s="561"/>
      <c r="J73" s="561"/>
      <c r="K73" s="549"/>
    </row>
    <row r="74" spans="1:11" ht="4.5" customHeight="1" thickBot="1" x14ac:dyDescent="0.4">
      <c r="C74" s="191"/>
      <c r="D74" s="132"/>
      <c r="E74" s="132"/>
      <c r="F74" s="30"/>
      <c r="G74" s="30"/>
      <c r="H74" s="33"/>
      <c r="I74" s="191"/>
      <c r="J74" s="191"/>
      <c r="K74" s="32"/>
    </row>
    <row r="75" spans="1:11" ht="15" customHeight="1" x14ac:dyDescent="0.35">
      <c r="A75" s="550">
        <f>A67+1</f>
        <v>9</v>
      </c>
      <c r="B75" s="193">
        <f>B67+10</f>
        <v>91</v>
      </c>
      <c r="C75" s="553" t="s">
        <v>54</v>
      </c>
      <c r="D75" s="556" t="s">
        <v>381</v>
      </c>
      <c r="E75" s="556" t="s">
        <v>381</v>
      </c>
      <c r="F75" s="504" t="b">
        <v>1</v>
      </c>
      <c r="G75" s="62" t="s">
        <v>138</v>
      </c>
      <c r="H75" s="75" t="s">
        <v>139</v>
      </c>
      <c r="I75" s="559" t="s">
        <v>390</v>
      </c>
      <c r="J75" s="559"/>
      <c r="K75" s="547" t="s">
        <v>69</v>
      </c>
    </row>
    <row r="76" spans="1:11" ht="3.75" customHeight="1" x14ac:dyDescent="0.35">
      <c r="A76" s="551"/>
      <c r="B76" s="194">
        <f t="shared" ref="B76:B81" si="8">B75+1</f>
        <v>92</v>
      </c>
      <c r="C76" s="554"/>
      <c r="D76" s="557"/>
      <c r="E76" s="557"/>
      <c r="I76" s="560"/>
      <c r="J76" s="560"/>
      <c r="K76" s="548"/>
    </row>
    <row r="77" spans="1:11" x14ac:dyDescent="0.35">
      <c r="A77" s="551"/>
      <c r="B77" s="194">
        <f t="shared" si="8"/>
        <v>93</v>
      </c>
      <c r="C77" s="554"/>
      <c r="D77" s="557"/>
      <c r="E77" s="557"/>
      <c r="F77" s="505" t="b">
        <v>1</v>
      </c>
      <c r="G77" t="s">
        <v>2</v>
      </c>
      <c r="H77" s="3" t="s">
        <v>140</v>
      </c>
      <c r="I77" s="560"/>
      <c r="J77" s="560"/>
      <c r="K77" s="548"/>
    </row>
    <row r="78" spans="1:11" ht="3.75" customHeight="1" x14ac:dyDescent="0.35">
      <c r="A78" s="551"/>
      <c r="B78" s="194">
        <f t="shared" si="8"/>
        <v>94</v>
      </c>
      <c r="C78" s="554"/>
      <c r="D78" s="557"/>
      <c r="E78" s="557"/>
      <c r="I78" s="560"/>
      <c r="J78" s="560"/>
      <c r="K78" s="548"/>
    </row>
    <row r="79" spans="1:11" x14ac:dyDescent="0.35">
      <c r="A79" s="551"/>
      <c r="B79" s="194">
        <f t="shared" si="8"/>
        <v>95</v>
      </c>
      <c r="C79" s="554"/>
      <c r="D79" s="557"/>
      <c r="E79" s="557"/>
      <c r="F79" s="525" t="b">
        <v>1</v>
      </c>
      <c r="G79" s="44" t="s">
        <v>141</v>
      </c>
      <c r="H79" s="9" t="s">
        <v>142</v>
      </c>
      <c r="I79" s="560"/>
      <c r="J79" s="560"/>
      <c r="K79" s="548"/>
    </row>
    <row r="80" spans="1:11" ht="3.75" customHeight="1" x14ac:dyDescent="0.35">
      <c r="A80" s="551"/>
      <c r="B80" s="194">
        <f t="shared" si="8"/>
        <v>96</v>
      </c>
      <c r="C80" s="554"/>
      <c r="D80" s="557"/>
      <c r="E80" s="557"/>
      <c r="I80" s="560"/>
      <c r="J80" s="560"/>
      <c r="K80" s="548"/>
    </row>
    <row r="81" spans="1:11" ht="29.5" thickBot="1" x14ac:dyDescent="0.4">
      <c r="A81" s="552"/>
      <c r="B81" s="194">
        <f t="shared" si="8"/>
        <v>97</v>
      </c>
      <c r="C81" s="555"/>
      <c r="D81" s="558"/>
      <c r="E81" s="558"/>
      <c r="F81" s="506" t="b">
        <v>1</v>
      </c>
      <c r="G81" s="99" t="s">
        <v>93</v>
      </c>
      <c r="H81" s="55" t="s">
        <v>143</v>
      </c>
      <c r="I81" s="561"/>
      <c r="J81" s="561"/>
      <c r="K81" s="549"/>
    </row>
    <row r="82" spans="1:11" ht="4.5" customHeight="1" thickBot="1" x14ac:dyDescent="0.4">
      <c r="C82" s="191"/>
      <c r="D82" s="132"/>
      <c r="E82" s="132"/>
      <c r="F82" s="30"/>
      <c r="G82" s="30"/>
      <c r="H82" s="33"/>
      <c r="I82" s="191"/>
      <c r="J82" s="191"/>
      <c r="K82" s="32"/>
    </row>
    <row r="83" spans="1:11" ht="15" customHeight="1" x14ac:dyDescent="0.35">
      <c r="A83" s="550">
        <f>A75+1</f>
        <v>10</v>
      </c>
      <c r="B83" s="193">
        <f>B75+10</f>
        <v>101</v>
      </c>
      <c r="C83" s="553" t="s">
        <v>54</v>
      </c>
      <c r="D83" s="556" t="s">
        <v>382</v>
      </c>
      <c r="E83" s="556" t="s">
        <v>382</v>
      </c>
      <c r="F83" s="504" t="b">
        <v>1</v>
      </c>
      <c r="G83" s="62" t="s">
        <v>138</v>
      </c>
      <c r="H83" s="75" t="s">
        <v>139</v>
      </c>
      <c r="I83" s="559" t="s">
        <v>391</v>
      </c>
      <c r="J83" s="559"/>
      <c r="K83" s="547" t="s">
        <v>69</v>
      </c>
    </row>
    <row r="84" spans="1:11" ht="3.75" customHeight="1" x14ac:dyDescent="0.35">
      <c r="A84" s="551"/>
      <c r="B84" s="194">
        <f t="shared" ref="B84:B89" si="9">B83+1</f>
        <v>102</v>
      </c>
      <c r="C84" s="554"/>
      <c r="D84" s="557"/>
      <c r="E84" s="557"/>
      <c r="I84" s="560"/>
      <c r="J84" s="560"/>
      <c r="K84" s="548"/>
    </row>
    <row r="85" spans="1:11" x14ac:dyDescent="0.35">
      <c r="A85" s="551"/>
      <c r="B85" s="194">
        <f t="shared" si="9"/>
        <v>103</v>
      </c>
      <c r="C85" s="554"/>
      <c r="D85" s="557"/>
      <c r="E85" s="557"/>
      <c r="F85" s="505" t="b">
        <v>1</v>
      </c>
      <c r="G85" t="s">
        <v>2</v>
      </c>
      <c r="H85" s="3" t="s">
        <v>140</v>
      </c>
      <c r="I85" s="560"/>
      <c r="J85" s="560"/>
      <c r="K85" s="548"/>
    </row>
    <row r="86" spans="1:11" ht="3.75" customHeight="1" x14ac:dyDescent="0.35">
      <c r="A86" s="551"/>
      <c r="B86" s="194">
        <f t="shared" si="9"/>
        <v>104</v>
      </c>
      <c r="C86" s="554"/>
      <c r="D86" s="557"/>
      <c r="E86" s="557"/>
      <c r="I86" s="560"/>
      <c r="J86" s="560"/>
      <c r="K86" s="548"/>
    </row>
    <row r="87" spans="1:11" x14ac:dyDescent="0.35">
      <c r="A87" s="551"/>
      <c r="B87" s="194">
        <f t="shared" si="9"/>
        <v>105</v>
      </c>
      <c r="C87" s="554"/>
      <c r="D87" s="557"/>
      <c r="E87" s="557"/>
      <c r="F87" s="525" t="b">
        <v>1</v>
      </c>
      <c r="G87" s="44" t="s">
        <v>141</v>
      </c>
      <c r="H87" s="9" t="s">
        <v>142</v>
      </c>
      <c r="I87" s="560"/>
      <c r="J87" s="560"/>
      <c r="K87" s="548"/>
    </row>
    <row r="88" spans="1:11" ht="3.75" customHeight="1" x14ac:dyDescent="0.35">
      <c r="A88" s="551"/>
      <c r="B88" s="194">
        <f t="shared" si="9"/>
        <v>106</v>
      </c>
      <c r="C88" s="554"/>
      <c r="D88" s="557"/>
      <c r="E88" s="557"/>
      <c r="I88" s="560"/>
      <c r="J88" s="560"/>
      <c r="K88" s="548"/>
    </row>
    <row r="89" spans="1:11" ht="29.5" thickBot="1" x14ac:dyDescent="0.4">
      <c r="A89" s="552"/>
      <c r="B89" s="194">
        <f t="shared" si="9"/>
        <v>107</v>
      </c>
      <c r="C89" s="555"/>
      <c r="D89" s="558"/>
      <c r="E89" s="558"/>
      <c r="F89" s="506" t="b">
        <v>1</v>
      </c>
      <c r="G89" s="99" t="s">
        <v>93</v>
      </c>
      <c r="H89" s="55" t="s">
        <v>143</v>
      </c>
      <c r="I89" s="561"/>
      <c r="J89" s="561"/>
      <c r="K89" s="549"/>
    </row>
    <row r="90" spans="1:11" ht="4.5" customHeight="1" thickBot="1" x14ac:dyDescent="0.4">
      <c r="C90" s="191"/>
      <c r="D90" s="132"/>
      <c r="E90" s="132"/>
      <c r="F90" s="30"/>
      <c r="G90" s="30"/>
      <c r="H90" s="33"/>
      <c r="I90" s="191"/>
      <c r="J90" s="191"/>
      <c r="K90" s="32"/>
    </row>
    <row r="91" spans="1:11" ht="15" customHeight="1" x14ac:dyDescent="0.35">
      <c r="A91" s="550">
        <f>A83+1</f>
        <v>11</v>
      </c>
      <c r="B91" s="193">
        <f>B83+10</f>
        <v>111</v>
      </c>
      <c r="C91" s="553"/>
      <c r="D91" s="556"/>
      <c r="E91" s="556"/>
      <c r="F91" s="504" t="b">
        <v>0</v>
      </c>
      <c r="G91" s="62" t="s">
        <v>138</v>
      </c>
      <c r="H91" s="75" t="s">
        <v>139</v>
      </c>
      <c r="I91" s="559"/>
      <c r="J91" s="559"/>
      <c r="K91" s="547"/>
    </row>
    <row r="92" spans="1:11" ht="3.75" customHeight="1" x14ac:dyDescent="0.35">
      <c r="A92" s="551"/>
      <c r="B92" s="194">
        <f t="shared" ref="B92:B97" si="10">B91+1</f>
        <v>112</v>
      </c>
      <c r="C92" s="554"/>
      <c r="D92" s="557"/>
      <c r="E92" s="557"/>
      <c r="I92" s="560"/>
      <c r="J92" s="560"/>
      <c r="K92" s="548"/>
    </row>
    <row r="93" spans="1:11" x14ac:dyDescent="0.35">
      <c r="A93" s="551"/>
      <c r="B93" s="194">
        <f t="shared" si="10"/>
        <v>113</v>
      </c>
      <c r="C93" s="554"/>
      <c r="D93" s="557"/>
      <c r="E93" s="557"/>
      <c r="F93" s="505" t="b">
        <v>0</v>
      </c>
      <c r="G93" t="s">
        <v>2</v>
      </c>
      <c r="H93" s="3" t="s">
        <v>140</v>
      </c>
      <c r="I93" s="560"/>
      <c r="J93" s="560"/>
      <c r="K93" s="548"/>
    </row>
    <row r="94" spans="1:11" ht="3.75" customHeight="1" x14ac:dyDescent="0.35">
      <c r="A94" s="551"/>
      <c r="B94" s="194">
        <f t="shared" si="10"/>
        <v>114</v>
      </c>
      <c r="C94" s="554"/>
      <c r="D94" s="557"/>
      <c r="E94" s="557"/>
      <c r="I94" s="560"/>
      <c r="J94" s="560"/>
      <c r="K94" s="548"/>
    </row>
    <row r="95" spans="1:11" x14ac:dyDescent="0.35">
      <c r="A95" s="551"/>
      <c r="B95" s="194">
        <f t="shared" si="10"/>
        <v>115</v>
      </c>
      <c r="C95" s="554"/>
      <c r="D95" s="557"/>
      <c r="E95" s="557"/>
      <c r="F95" s="525" t="b">
        <v>0</v>
      </c>
      <c r="G95" s="44" t="s">
        <v>141</v>
      </c>
      <c r="H95" s="9" t="s">
        <v>142</v>
      </c>
      <c r="I95" s="560"/>
      <c r="J95" s="560"/>
      <c r="K95" s="548"/>
    </row>
    <row r="96" spans="1:11" ht="3.75" customHeight="1" x14ac:dyDescent="0.35">
      <c r="A96" s="551"/>
      <c r="B96" s="194">
        <f t="shared" si="10"/>
        <v>116</v>
      </c>
      <c r="C96" s="554"/>
      <c r="D96" s="557"/>
      <c r="E96" s="557"/>
      <c r="I96" s="560"/>
      <c r="J96" s="560"/>
      <c r="K96" s="548"/>
    </row>
    <row r="97" spans="1:11" ht="29.5" thickBot="1" x14ac:dyDescent="0.4">
      <c r="A97" s="552"/>
      <c r="B97" s="194">
        <f t="shared" si="10"/>
        <v>117</v>
      </c>
      <c r="C97" s="555"/>
      <c r="D97" s="558"/>
      <c r="E97" s="558"/>
      <c r="F97" s="506" t="b">
        <v>0</v>
      </c>
      <c r="G97" s="99" t="s">
        <v>93</v>
      </c>
      <c r="H97" s="55" t="s">
        <v>143</v>
      </c>
      <c r="I97" s="561"/>
      <c r="J97" s="561"/>
      <c r="K97" s="549"/>
    </row>
    <row r="98" spans="1:11" ht="4.5" customHeight="1" thickBot="1" x14ac:dyDescent="0.4">
      <c r="C98" s="191"/>
      <c r="D98" s="132"/>
      <c r="E98" s="132"/>
      <c r="F98" s="30"/>
      <c r="G98" s="30"/>
      <c r="H98" s="33"/>
      <c r="I98" s="191"/>
      <c r="J98" s="191"/>
      <c r="K98" s="32"/>
    </row>
    <row r="99" spans="1:11" ht="15" customHeight="1" x14ac:dyDescent="0.35">
      <c r="A99" s="550">
        <f>A91+1</f>
        <v>12</v>
      </c>
      <c r="B99" s="193">
        <f>B91+10</f>
        <v>121</v>
      </c>
      <c r="C99" s="553"/>
      <c r="D99" s="556"/>
      <c r="E99" s="556"/>
      <c r="F99" s="504" t="b">
        <v>0</v>
      </c>
      <c r="G99" s="62" t="s">
        <v>138</v>
      </c>
      <c r="H99" s="75" t="s">
        <v>139</v>
      </c>
      <c r="I99" s="559"/>
      <c r="J99" s="559"/>
      <c r="K99" s="547"/>
    </row>
    <row r="100" spans="1:11" ht="3.75" customHeight="1" x14ac:dyDescent="0.35">
      <c r="A100" s="551"/>
      <c r="B100" s="194">
        <f t="shared" ref="B100:B105" si="11">B99+1</f>
        <v>122</v>
      </c>
      <c r="C100" s="554"/>
      <c r="D100" s="557"/>
      <c r="E100" s="557"/>
      <c r="I100" s="560"/>
      <c r="J100" s="560"/>
      <c r="K100" s="548"/>
    </row>
    <row r="101" spans="1:11" x14ac:dyDescent="0.35">
      <c r="A101" s="551"/>
      <c r="B101" s="194">
        <f t="shared" si="11"/>
        <v>123</v>
      </c>
      <c r="C101" s="554"/>
      <c r="D101" s="557"/>
      <c r="E101" s="557"/>
      <c r="F101" s="505" t="b">
        <v>0</v>
      </c>
      <c r="G101" t="s">
        <v>2</v>
      </c>
      <c r="H101" s="3" t="s">
        <v>140</v>
      </c>
      <c r="I101" s="560"/>
      <c r="J101" s="560"/>
      <c r="K101" s="548"/>
    </row>
    <row r="102" spans="1:11" ht="3.75" customHeight="1" x14ac:dyDescent="0.35">
      <c r="A102" s="551"/>
      <c r="B102" s="194">
        <f t="shared" si="11"/>
        <v>124</v>
      </c>
      <c r="C102" s="554"/>
      <c r="D102" s="557"/>
      <c r="E102" s="557"/>
      <c r="I102" s="560"/>
      <c r="J102" s="560"/>
      <c r="K102" s="548"/>
    </row>
    <row r="103" spans="1:11" x14ac:dyDescent="0.35">
      <c r="A103" s="551"/>
      <c r="B103" s="194">
        <f t="shared" si="11"/>
        <v>125</v>
      </c>
      <c r="C103" s="554"/>
      <c r="D103" s="557"/>
      <c r="E103" s="557"/>
      <c r="F103" s="525" t="b">
        <v>0</v>
      </c>
      <c r="G103" s="44" t="s">
        <v>141</v>
      </c>
      <c r="H103" s="9" t="s">
        <v>142</v>
      </c>
      <c r="I103" s="560"/>
      <c r="J103" s="560"/>
      <c r="K103" s="548"/>
    </row>
    <row r="104" spans="1:11" ht="3.75" customHeight="1" x14ac:dyDescent="0.35">
      <c r="A104" s="551"/>
      <c r="B104" s="194">
        <f t="shared" si="11"/>
        <v>126</v>
      </c>
      <c r="C104" s="554"/>
      <c r="D104" s="557"/>
      <c r="E104" s="557"/>
      <c r="I104" s="560"/>
      <c r="J104" s="560"/>
      <c r="K104" s="548"/>
    </row>
    <row r="105" spans="1:11" ht="29.5" thickBot="1" x14ac:dyDescent="0.4">
      <c r="A105" s="552"/>
      <c r="B105" s="194">
        <f t="shared" si="11"/>
        <v>127</v>
      </c>
      <c r="C105" s="555"/>
      <c r="D105" s="558"/>
      <c r="E105" s="558"/>
      <c r="F105" s="506" t="b">
        <v>0</v>
      </c>
      <c r="G105" s="99" t="s">
        <v>93</v>
      </c>
      <c r="H105" s="55" t="s">
        <v>143</v>
      </c>
      <c r="I105" s="561"/>
      <c r="J105" s="561"/>
      <c r="K105" s="549"/>
    </row>
    <row r="106" spans="1:11" ht="4.5" customHeight="1" thickBot="1" x14ac:dyDescent="0.4">
      <c r="C106" s="191"/>
      <c r="D106" s="132"/>
      <c r="E106" s="132"/>
      <c r="F106" s="30"/>
      <c r="G106" s="30"/>
      <c r="H106" s="33"/>
      <c r="I106" s="191"/>
      <c r="J106" s="191"/>
      <c r="K106" s="32"/>
    </row>
    <row r="107" spans="1:11" ht="15" customHeight="1" x14ac:dyDescent="0.35">
      <c r="A107" s="550">
        <f>A99+1</f>
        <v>13</v>
      </c>
      <c r="B107" s="193">
        <f>B99+10</f>
        <v>131</v>
      </c>
      <c r="C107" s="553"/>
      <c r="D107" s="556"/>
      <c r="E107" s="556"/>
      <c r="F107" s="504" t="b">
        <v>0</v>
      </c>
      <c r="G107" s="62" t="s">
        <v>138</v>
      </c>
      <c r="H107" s="75" t="s">
        <v>139</v>
      </c>
      <c r="I107" s="559"/>
      <c r="J107" s="559"/>
      <c r="K107" s="547"/>
    </row>
    <row r="108" spans="1:11" ht="3.75" customHeight="1" x14ac:dyDescent="0.35">
      <c r="A108" s="551"/>
      <c r="B108" s="194">
        <f t="shared" ref="B108:B113" si="12">B107+1</f>
        <v>132</v>
      </c>
      <c r="C108" s="554"/>
      <c r="D108" s="557"/>
      <c r="E108" s="557"/>
      <c r="I108" s="560"/>
      <c r="J108" s="560"/>
      <c r="K108" s="548"/>
    </row>
    <row r="109" spans="1:11" x14ac:dyDescent="0.35">
      <c r="A109" s="551"/>
      <c r="B109" s="194">
        <f t="shared" si="12"/>
        <v>133</v>
      </c>
      <c r="C109" s="554"/>
      <c r="D109" s="557"/>
      <c r="E109" s="557"/>
      <c r="F109" s="505" t="b">
        <v>0</v>
      </c>
      <c r="G109" t="s">
        <v>2</v>
      </c>
      <c r="H109" s="3" t="s">
        <v>140</v>
      </c>
      <c r="I109" s="560"/>
      <c r="J109" s="560"/>
      <c r="K109" s="548"/>
    </row>
    <row r="110" spans="1:11" ht="3.75" customHeight="1" x14ac:dyDescent="0.35">
      <c r="A110" s="551"/>
      <c r="B110" s="194">
        <f t="shared" si="12"/>
        <v>134</v>
      </c>
      <c r="C110" s="554"/>
      <c r="D110" s="557"/>
      <c r="E110" s="557"/>
      <c r="I110" s="560"/>
      <c r="J110" s="560"/>
      <c r="K110" s="548"/>
    </row>
    <row r="111" spans="1:11" x14ac:dyDescent="0.35">
      <c r="A111" s="551"/>
      <c r="B111" s="194">
        <f t="shared" si="12"/>
        <v>135</v>
      </c>
      <c r="C111" s="554"/>
      <c r="D111" s="557"/>
      <c r="E111" s="557"/>
      <c r="F111" s="525" t="b">
        <v>0</v>
      </c>
      <c r="G111" s="44" t="s">
        <v>141</v>
      </c>
      <c r="H111" s="9" t="s">
        <v>142</v>
      </c>
      <c r="I111" s="560"/>
      <c r="J111" s="560"/>
      <c r="K111" s="548"/>
    </row>
    <row r="112" spans="1:11" ht="3.75" customHeight="1" x14ac:dyDescent="0.35">
      <c r="A112" s="551"/>
      <c r="B112" s="194">
        <f t="shared" si="12"/>
        <v>136</v>
      </c>
      <c r="C112" s="554"/>
      <c r="D112" s="557"/>
      <c r="E112" s="557"/>
      <c r="I112" s="560"/>
      <c r="J112" s="560"/>
      <c r="K112" s="548"/>
    </row>
    <row r="113" spans="1:11" ht="29.5" thickBot="1" x14ac:dyDescent="0.4">
      <c r="A113" s="552"/>
      <c r="B113" s="194">
        <f t="shared" si="12"/>
        <v>137</v>
      </c>
      <c r="C113" s="555"/>
      <c r="D113" s="558"/>
      <c r="E113" s="558"/>
      <c r="F113" s="506" t="b">
        <v>0</v>
      </c>
      <c r="G113" s="99" t="s">
        <v>93</v>
      </c>
      <c r="H113" s="55" t="s">
        <v>143</v>
      </c>
      <c r="I113" s="561"/>
      <c r="J113" s="561"/>
      <c r="K113" s="549"/>
    </row>
    <row r="114" spans="1:11" ht="4.5" customHeight="1" thickBot="1" x14ac:dyDescent="0.4">
      <c r="C114" s="191"/>
      <c r="D114" s="132"/>
      <c r="E114" s="132"/>
      <c r="F114" s="30"/>
      <c r="G114" s="30"/>
      <c r="H114" s="33"/>
      <c r="I114" s="191"/>
      <c r="J114" s="191"/>
      <c r="K114" s="32"/>
    </row>
    <row r="115" spans="1:11" ht="15" customHeight="1" x14ac:dyDescent="0.35">
      <c r="A115" s="550">
        <f>A107+1</f>
        <v>14</v>
      </c>
      <c r="B115" s="193">
        <f>B107+10</f>
        <v>141</v>
      </c>
      <c r="C115" s="553"/>
      <c r="D115" s="556"/>
      <c r="E115" s="556"/>
      <c r="F115" s="504" t="b">
        <v>0</v>
      </c>
      <c r="G115" s="62" t="s">
        <v>138</v>
      </c>
      <c r="H115" s="75" t="s">
        <v>139</v>
      </c>
      <c r="I115" s="559"/>
      <c r="J115" s="559"/>
      <c r="K115" s="547"/>
    </row>
    <row r="116" spans="1:11" ht="3.75" customHeight="1" x14ac:dyDescent="0.35">
      <c r="A116" s="551"/>
      <c r="B116" s="194">
        <f t="shared" ref="B116:B121" si="13">B115+1</f>
        <v>142</v>
      </c>
      <c r="C116" s="554"/>
      <c r="D116" s="557"/>
      <c r="E116" s="557"/>
      <c r="I116" s="560"/>
      <c r="J116" s="560"/>
      <c r="K116" s="548"/>
    </row>
    <row r="117" spans="1:11" x14ac:dyDescent="0.35">
      <c r="A117" s="551"/>
      <c r="B117" s="194">
        <f t="shared" si="13"/>
        <v>143</v>
      </c>
      <c r="C117" s="554"/>
      <c r="D117" s="557"/>
      <c r="E117" s="557"/>
      <c r="F117" s="505" t="b">
        <v>0</v>
      </c>
      <c r="G117" t="s">
        <v>2</v>
      </c>
      <c r="H117" s="3" t="s">
        <v>140</v>
      </c>
      <c r="I117" s="560"/>
      <c r="J117" s="560"/>
      <c r="K117" s="548"/>
    </row>
    <row r="118" spans="1:11" ht="3.75" customHeight="1" x14ac:dyDescent="0.35">
      <c r="A118" s="551"/>
      <c r="B118" s="194">
        <f t="shared" si="13"/>
        <v>144</v>
      </c>
      <c r="C118" s="554"/>
      <c r="D118" s="557"/>
      <c r="E118" s="557"/>
      <c r="I118" s="560"/>
      <c r="J118" s="560"/>
      <c r="K118" s="548"/>
    </row>
    <row r="119" spans="1:11" x14ac:dyDescent="0.35">
      <c r="A119" s="551"/>
      <c r="B119" s="194">
        <f t="shared" si="13"/>
        <v>145</v>
      </c>
      <c r="C119" s="554"/>
      <c r="D119" s="557"/>
      <c r="E119" s="557"/>
      <c r="F119" s="525" t="b">
        <v>0</v>
      </c>
      <c r="G119" s="44" t="s">
        <v>141</v>
      </c>
      <c r="H119" s="9" t="s">
        <v>142</v>
      </c>
      <c r="I119" s="560"/>
      <c r="J119" s="560"/>
      <c r="K119" s="548"/>
    </row>
    <row r="120" spans="1:11" ht="3.75" customHeight="1" x14ac:dyDescent="0.35">
      <c r="A120" s="551"/>
      <c r="B120" s="194">
        <f t="shared" si="13"/>
        <v>146</v>
      </c>
      <c r="C120" s="554"/>
      <c r="D120" s="557"/>
      <c r="E120" s="557"/>
      <c r="I120" s="560"/>
      <c r="J120" s="560"/>
      <c r="K120" s="548"/>
    </row>
    <row r="121" spans="1:11" ht="29.5" thickBot="1" x14ac:dyDescent="0.4">
      <c r="A121" s="552"/>
      <c r="B121" s="194">
        <f t="shared" si="13"/>
        <v>147</v>
      </c>
      <c r="C121" s="555"/>
      <c r="D121" s="558"/>
      <c r="E121" s="558"/>
      <c r="F121" s="506" t="b">
        <v>0</v>
      </c>
      <c r="G121" s="99" t="s">
        <v>93</v>
      </c>
      <c r="H121" s="55" t="s">
        <v>143</v>
      </c>
      <c r="I121" s="561"/>
      <c r="J121" s="561"/>
      <c r="K121" s="549"/>
    </row>
    <row r="122" spans="1:11" ht="4.5" customHeight="1" thickBot="1" x14ac:dyDescent="0.4">
      <c r="C122" s="191"/>
      <c r="D122" s="132"/>
      <c r="E122" s="132"/>
      <c r="F122" s="30"/>
      <c r="G122" s="30"/>
      <c r="H122" s="33"/>
      <c r="I122" s="191"/>
      <c r="J122" s="191"/>
      <c r="K122" s="32"/>
    </row>
    <row r="123" spans="1:11" ht="15" customHeight="1" x14ac:dyDescent="0.35">
      <c r="A123" s="550">
        <f>A115+1</f>
        <v>15</v>
      </c>
      <c r="B123" s="193">
        <f>B115+10</f>
        <v>151</v>
      </c>
      <c r="C123" s="553"/>
      <c r="D123" s="556"/>
      <c r="E123" s="556"/>
      <c r="F123" s="504" t="b">
        <v>0</v>
      </c>
      <c r="G123" s="62" t="s">
        <v>138</v>
      </c>
      <c r="H123" s="75" t="s">
        <v>139</v>
      </c>
      <c r="I123" s="559"/>
      <c r="J123" s="559"/>
      <c r="K123" s="547"/>
    </row>
    <row r="124" spans="1:11" ht="3.75" customHeight="1" x14ac:dyDescent="0.35">
      <c r="A124" s="551"/>
      <c r="B124" s="194">
        <f t="shared" ref="B124:B129" si="14">B123+1</f>
        <v>152</v>
      </c>
      <c r="C124" s="554"/>
      <c r="D124" s="557"/>
      <c r="E124" s="557"/>
      <c r="I124" s="560"/>
      <c r="J124" s="560"/>
      <c r="K124" s="548"/>
    </row>
    <row r="125" spans="1:11" x14ac:dyDescent="0.35">
      <c r="A125" s="551"/>
      <c r="B125" s="194">
        <f t="shared" si="14"/>
        <v>153</v>
      </c>
      <c r="C125" s="554"/>
      <c r="D125" s="557"/>
      <c r="E125" s="557"/>
      <c r="F125" s="505" t="b">
        <v>0</v>
      </c>
      <c r="G125" t="s">
        <v>2</v>
      </c>
      <c r="H125" s="3" t="s">
        <v>140</v>
      </c>
      <c r="I125" s="560"/>
      <c r="J125" s="560"/>
      <c r="K125" s="548"/>
    </row>
    <row r="126" spans="1:11" ht="3.75" customHeight="1" x14ac:dyDescent="0.35">
      <c r="A126" s="551"/>
      <c r="B126" s="194">
        <f t="shared" si="14"/>
        <v>154</v>
      </c>
      <c r="C126" s="554"/>
      <c r="D126" s="557"/>
      <c r="E126" s="557"/>
      <c r="I126" s="560"/>
      <c r="J126" s="560"/>
      <c r="K126" s="548"/>
    </row>
    <row r="127" spans="1:11" x14ac:dyDescent="0.35">
      <c r="A127" s="551"/>
      <c r="B127" s="194">
        <f t="shared" si="14"/>
        <v>155</v>
      </c>
      <c r="C127" s="554"/>
      <c r="D127" s="557"/>
      <c r="E127" s="557"/>
      <c r="F127" s="525" t="b">
        <v>0</v>
      </c>
      <c r="G127" s="44" t="s">
        <v>141</v>
      </c>
      <c r="H127" s="9" t="s">
        <v>142</v>
      </c>
      <c r="I127" s="560"/>
      <c r="J127" s="560"/>
      <c r="K127" s="548"/>
    </row>
    <row r="128" spans="1:11" ht="3.75" customHeight="1" x14ac:dyDescent="0.35">
      <c r="A128" s="551"/>
      <c r="B128" s="194">
        <f t="shared" si="14"/>
        <v>156</v>
      </c>
      <c r="C128" s="554"/>
      <c r="D128" s="557"/>
      <c r="E128" s="557"/>
      <c r="I128" s="560"/>
      <c r="J128" s="560"/>
      <c r="K128" s="548"/>
    </row>
    <row r="129" spans="1:11" ht="29.5" thickBot="1" x14ac:dyDescent="0.4">
      <c r="A129" s="552"/>
      <c r="B129" s="194">
        <f t="shared" si="14"/>
        <v>157</v>
      </c>
      <c r="C129" s="555"/>
      <c r="D129" s="558"/>
      <c r="E129" s="558"/>
      <c r="F129" s="506" t="b">
        <v>0</v>
      </c>
      <c r="G129" s="99" t="s">
        <v>93</v>
      </c>
      <c r="H129" s="55" t="s">
        <v>143</v>
      </c>
      <c r="I129" s="561"/>
      <c r="J129" s="561"/>
      <c r="K129" s="549"/>
    </row>
    <row r="130" spans="1:11" ht="4.5" customHeight="1" thickBot="1" x14ac:dyDescent="0.4">
      <c r="C130" s="191"/>
      <c r="D130" s="132"/>
      <c r="E130" s="132"/>
      <c r="F130" s="30"/>
      <c r="G130" s="30"/>
      <c r="H130" s="33"/>
      <c r="I130" s="191"/>
      <c r="J130" s="191"/>
      <c r="K130" s="32"/>
    </row>
    <row r="131" spans="1:11" ht="15" customHeight="1" x14ac:dyDescent="0.35">
      <c r="A131" s="550">
        <f>A123+1</f>
        <v>16</v>
      </c>
      <c r="B131" s="193">
        <f>B123+10</f>
        <v>161</v>
      </c>
      <c r="C131" s="553"/>
      <c r="D131" s="556"/>
      <c r="E131" s="556"/>
      <c r="F131" s="504" t="b">
        <v>0</v>
      </c>
      <c r="G131" s="62" t="s">
        <v>138</v>
      </c>
      <c r="H131" s="75" t="s">
        <v>139</v>
      </c>
      <c r="I131" s="559"/>
      <c r="J131" s="559"/>
      <c r="K131" s="547"/>
    </row>
    <row r="132" spans="1:11" ht="3.75" customHeight="1" x14ac:dyDescent="0.35">
      <c r="A132" s="551"/>
      <c r="B132" s="194">
        <f t="shared" ref="B132:B137" si="15">B131+1</f>
        <v>162</v>
      </c>
      <c r="C132" s="554"/>
      <c r="D132" s="557"/>
      <c r="E132" s="557"/>
      <c r="I132" s="560"/>
      <c r="J132" s="560"/>
      <c r="K132" s="548"/>
    </row>
    <row r="133" spans="1:11" x14ac:dyDescent="0.35">
      <c r="A133" s="551"/>
      <c r="B133" s="194">
        <f t="shared" si="15"/>
        <v>163</v>
      </c>
      <c r="C133" s="554"/>
      <c r="D133" s="557"/>
      <c r="E133" s="557"/>
      <c r="F133" s="505" t="b">
        <v>0</v>
      </c>
      <c r="G133" t="s">
        <v>2</v>
      </c>
      <c r="H133" s="3" t="s">
        <v>140</v>
      </c>
      <c r="I133" s="560"/>
      <c r="J133" s="560"/>
      <c r="K133" s="548"/>
    </row>
    <row r="134" spans="1:11" ht="3.75" customHeight="1" x14ac:dyDescent="0.35">
      <c r="A134" s="551"/>
      <c r="B134" s="194">
        <f t="shared" si="15"/>
        <v>164</v>
      </c>
      <c r="C134" s="554"/>
      <c r="D134" s="557"/>
      <c r="E134" s="557"/>
      <c r="I134" s="560"/>
      <c r="J134" s="560"/>
      <c r="K134" s="548"/>
    </row>
    <row r="135" spans="1:11" x14ac:dyDescent="0.35">
      <c r="A135" s="551"/>
      <c r="B135" s="194">
        <f t="shared" si="15"/>
        <v>165</v>
      </c>
      <c r="C135" s="554"/>
      <c r="D135" s="557"/>
      <c r="E135" s="557"/>
      <c r="F135" s="525" t="b">
        <v>0</v>
      </c>
      <c r="G135" s="44" t="s">
        <v>141</v>
      </c>
      <c r="H135" s="9" t="s">
        <v>142</v>
      </c>
      <c r="I135" s="560"/>
      <c r="J135" s="560"/>
      <c r="K135" s="548"/>
    </row>
    <row r="136" spans="1:11" ht="3.75" customHeight="1" x14ac:dyDescent="0.35">
      <c r="A136" s="551"/>
      <c r="B136" s="194">
        <f t="shared" si="15"/>
        <v>166</v>
      </c>
      <c r="C136" s="554"/>
      <c r="D136" s="557"/>
      <c r="E136" s="557"/>
      <c r="I136" s="560"/>
      <c r="J136" s="560"/>
      <c r="K136" s="548"/>
    </row>
    <row r="137" spans="1:11" ht="29.5" thickBot="1" x14ac:dyDescent="0.4">
      <c r="A137" s="552"/>
      <c r="B137" s="194">
        <f t="shared" si="15"/>
        <v>167</v>
      </c>
      <c r="C137" s="555"/>
      <c r="D137" s="558"/>
      <c r="E137" s="558"/>
      <c r="F137" s="506" t="b">
        <v>0</v>
      </c>
      <c r="G137" s="99" t="s">
        <v>93</v>
      </c>
      <c r="H137" s="55" t="s">
        <v>143</v>
      </c>
      <c r="I137" s="561"/>
      <c r="J137" s="561"/>
      <c r="K137" s="549"/>
    </row>
    <row r="138" spans="1:11" ht="4.5" customHeight="1" thickBot="1" x14ac:dyDescent="0.4">
      <c r="C138" s="191"/>
      <c r="D138" s="132"/>
      <c r="E138" s="132"/>
      <c r="F138" s="30"/>
      <c r="G138" s="30"/>
      <c r="H138" s="33"/>
      <c r="I138" s="191"/>
      <c r="J138" s="191"/>
      <c r="K138" s="32"/>
    </row>
    <row r="139" spans="1:11" ht="15" customHeight="1" x14ac:dyDescent="0.35">
      <c r="A139" s="550">
        <f>A131+1</f>
        <v>17</v>
      </c>
      <c r="B139" s="193">
        <f>B131+10</f>
        <v>171</v>
      </c>
      <c r="C139" s="553"/>
      <c r="D139" s="556"/>
      <c r="E139" s="556"/>
      <c r="F139" s="504" t="b">
        <v>0</v>
      </c>
      <c r="G139" s="62" t="s">
        <v>138</v>
      </c>
      <c r="H139" s="75" t="s">
        <v>139</v>
      </c>
      <c r="I139" s="559"/>
      <c r="J139" s="559"/>
      <c r="K139" s="547"/>
    </row>
    <row r="140" spans="1:11" ht="3.75" customHeight="1" x14ac:dyDescent="0.35">
      <c r="A140" s="551"/>
      <c r="B140" s="194">
        <f t="shared" ref="B140:B145" si="16">B139+1</f>
        <v>172</v>
      </c>
      <c r="C140" s="554"/>
      <c r="D140" s="557"/>
      <c r="E140" s="557"/>
      <c r="I140" s="560"/>
      <c r="J140" s="560"/>
      <c r="K140" s="548"/>
    </row>
    <row r="141" spans="1:11" x14ac:dyDescent="0.35">
      <c r="A141" s="551"/>
      <c r="B141" s="194">
        <f t="shared" si="16"/>
        <v>173</v>
      </c>
      <c r="C141" s="554"/>
      <c r="D141" s="557"/>
      <c r="E141" s="557"/>
      <c r="F141" s="505" t="b">
        <v>0</v>
      </c>
      <c r="G141" t="s">
        <v>2</v>
      </c>
      <c r="H141" s="3" t="s">
        <v>140</v>
      </c>
      <c r="I141" s="560"/>
      <c r="J141" s="560"/>
      <c r="K141" s="548"/>
    </row>
    <row r="142" spans="1:11" ht="3.75" customHeight="1" x14ac:dyDescent="0.35">
      <c r="A142" s="551"/>
      <c r="B142" s="194">
        <f t="shared" si="16"/>
        <v>174</v>
      </c>
      <c r="C142" s="554"/>
      <c r="D142" s="557"/>
      <c r="E142" s="557"/>
      <c r="I142" s="560"/>
      <c r="J142" s="560"/>
      <c r="K142" s="548"/>
    </row>
    <row r="143" spans="1:11" x14ac:dyDescent="0.35">
      <c r="A143" s="551"/>
      <c r="B143" s="194">
        <f t="shared" si="16"/>
        <v>175</v>
      </c>
      <c r="C143" s="554"/>
      <c r="D143" s="557"/>
      <c r="E143" s="557"/>
      <c r="F143" s="525" t="b">
        <v>0</v>
      </c>
      <c r="G143" s="44" t="s">
        <v>141</v>
      </c>
      <c r="H143" s="9" t="s">
        <v>142</v>
      </c>
      <c r="I143" s="560"/>
      <c r="J143" s="560"/>
      <c r="K143" s="548"/>
    </row>
    <row r="144" spans="1:11" ht="3.75" customHeight="1" x14ac:dyDescent="0.35">
      <c r="A144" s="551"/>
      <c r="B144" s="194">
        <f t="shared" si="16"/>
        <v>176</v>
      </c>
      <c r="C144" s="554"/>
      <c r="D144" s="557"/>
      <c r="E144" s="557"/>
      <c r="I144" s="560"/>
      <c r="J144" s="560"/>
      <c r="K144" s="548"/>
    </row>
    <row r="145" spans="1:11" ht="29.5" thickBot="1" x14ac:dyDescent="0.4">
      <c r="A145" s="552"/>
      <c r="B145" s="194">
        <f t="shared" si="16"/>
        <v>177</v>
      </c>
      <c r="C145" s="555"/>
      <c r="D145" s="558"/>
      <c r="E145" s="558"/>
      <c r="F145" s="506" t="b">
        <v>0</v>
      </c>
      <c r="G145" s="99" t="s">
        <v>93</v>
      </c>
      <c r="H145" s="55" t="s">
        <v>143</v>
      </c>
      <c r="I145" s="561"/>
      <c r="J145" s="561"/>
      <c r="K145" s="549"/>
    </row>
    <row r="146" spans="1:11" ht="4.5" customHeight="1" thickBot="1" x14ac:dyDescent="0.4">
      <c r="C146" s="191"/>
      <c r="D146" s="132"/>
      <c r="E146" s="132"/>
      <c r="F146" s="30"/>
      <c r="G146" s="30"/>
      <c r="H146" s="33"/>
      <c r="I146" s="191"/>
      <c r="J146" s="191"/>
      <c r="K146" s="32"/>
    </row>
    <row r="147" spans="1:11" ht="15" customHeight="1" x14ac:dyDescent="0.35">
      <c r="A147" s="550">
        <f>A139+1</f>
        <v>18</v>
      </c>
      <c r="B147" s="193">
        <f>B139+10</f>
        <v>181</v>
      </c>
      <c r="C147" s="553"/>
      <c r="D147" s="556"/>
      <c r="E147" s="556"/>
      <c r="F147" s="504" t="b">
        <v>0</v>
      </c>
      <c r="G147" s="62" t="s">
        <v>138</v>
      </c>
      <c r="H147" s="75" t="s">
        <v>139</v>
      </c>
      <c r="I147" s="559"/>
      <c r="J147" s="559"/>
      <c r="K147" s="547"/>
    </row>
    <row r="148" spans="1:11" ht="3.75" customHeight="1" x14ac:dyDescent="0.35">
      <c r="A148" s="551"/>
      <c r="B148" s="194">
        <f t="shared" ref="B148:B153" si="17">B147+1</f>
        <v>182</v>
      </c>
      <c r="C148" s="554"/>
      <c r="D148" s="557"/>
      <c r="E148" s="557"/>
      <c r="I148" s="560"/>
      <c r="J148" s="560"/>
      <c r="K148" s="548"/>
    </row>
    <row r="149" spans="1:11" x14ac:dyDescent="0.35">
      <c r="A149" s="551"/>
      <c r="B149" s="194">
        <f t="shared" si="17"/>
        <v>183</v>
      </c>
      <c r="C149" s="554"/>
      <c r="D149" s="557"/>
      <c r="E149" s="557"/>
      <c r="F149" s="505" t="b">
        <v>0</v>
      </c>
      <c r="G149" t="s">
        <v>2</v>
      </c>
      <c r="H149" s="3" t="s">
        <v>140</v>
      </c>
      <c r="I149" s="560"/>
      <c r="J149" s="560"/>
      <c r="K149" s="548"/>
    </row>
    <row r="150" spans="1:11" ht="3.75" customHeight="1" x14ac:dyDescent="0.35">
      <c r="A150" s="551"/>
      <c r="B150" s="194">
        <f t="shared" si="17"/>
        <v>184</v>
      </c>
      <c r="C150" s="554"/>
      <c r="D150" s="557"/>
      <c r="E150" s="557"/>
      <c r="I150" s="560"/>
      <c r="J150" s="560"/>
      <c r="K150" s="548"/>
    </row>
    <row r="151" spans="1:11" x14ac:dyDescent="0.35">
      <c r="A151" s="551"/>
      <c r="B151" s="194">
        <f t="shared" si="17"/>
        <v>185</v>
      </c>
      <c r="C151" s="554"/>
      <c r="D151" s="557"/>
      <c r="E151" s="557"/>
      <c r="F151" s="525" t="b">
        <v>0</v>
      </c>
      <c r="G151" s="44" t="s">
        <v>141</v>
      </c>
      <c r="H151" s="9" t="s">
        <v>142</v>
      </c>
      <c r="I151" s="560"/>
      <c r="J151" s="560"/>
      <c r="K151" s="548"/>
    </row>
    <row r="152" spans="1:11" ht="3.75" customHeight="1" x14ac:dyDescent="0.35">
      <c r="A152" s="551"/>
      <c r="B152" s="194">
        <f t="shared" si="17"/>
        <v>186</v>
      </c>
      <c r="C152" s="554"/>
      <c r="D152" s="557"/>
      <c r="E152" s="557"/>
      <c r="I152" s="560"/>
      <c r="J152" s="560"/>
      <c r="K152" s="548"/>
    </row>
    <row r="153" spans="1:11" ht="29.5" thickBot="1" x14ac:dyDescent="0.4">
      <c r="A153" s="552"/>
      <c r="B153" s="194">
        <f t="shared" si="17"/>
        <v>187</v>
      </c>
      <c r="C153" s="555"/>
      <c r="D153" s="558"/>
      <c r="E153" s="558"/>
      <c r="F153" s="506" t="b">
        <v>0</v>
      </c>
      <c r="G153" s="99" t="s">
        <v>93</v>
      </c>
      <c r="H153" s="55" t="s">
        <v>143</v>
      </c>
      <c r="I153" s="561"/>
      <c r="J153" s="561"/>
      <c r="K153" s="549"/>
    </row>
    <row r="154" spans="1:11" ht="4.5" customHeight="1" thickBot="1" x14ac:dyDescent="0.4">
      <c r="C154" s="191"/>
      <c r="D154" s="132"/>
      <c r="E154" s="132"/>
      <c r="F154" s="30"/>
      <c r="G154" s="30"/>
      <c r="H154" s="33"/>
      <c r="I154" s="191"/>
      <c r="J154" s="191"/>
      <c r="K154" s="32"/>
    </row>
    <row r="155" spans="1:11" ht="15" customHeight="1" x14ac:dyDescent="0.35">
      <c r="A155" s="550">
        <f>A147+1</f>
        <v>19</v>
      </c>
      <c r="B155" s="193">
        <f>B147+10</f>
        <v>191</v>
      </c>
      <c r="C155" s="553"/>
      <c r="D155" s="556"/>
      <c r="E155" s="556"/>
      <c r="F155" s="504" t="b">
        <v>0</v>
      </c>
      <c r="G155" s="62" t="s">
        <v>138</v>
      </c>
      <c r="H155" s="75" t="s">
        <v>139</v>
      </c>
      <c r="I155" s="559"/>
      <c r="J155" s="559"/>
      <c r="K155" s="547"/>
    </row>
    <row r="156" spans="1:11" ht="3.75" customHeight="1" x14ac:dyDescent="0.35">
      <c r="A156" s="551"/>
      <c r="B156" s="194">
        <f t="shared" ref="B156:B161" si="18">B155+1</f>
        <v>192</v>
      </c>
      <c r="C156" s="554"/>
      <c r="D156" s="557"/>
      <c r="E156" s="557"/>
      <c r="I156" s="560"/>
      <c r="J156" s="560"/>
      <c r="K156" s="548"/>
    </row>
    <row r="157" spans="1:11" x14ac:dyDescent="0.35">
      <c r="A157" s="551"/>
      <c r="B157" s="194">
        <f t="shared" si="18"/>
        <v>193</v>
      </c>
      <c r="C157" s="554"/>
      <c r="D157" s="557"/>
      <c r="E157" s="557"/>
      <c r="F157" s="505" t="b">
        <v>0</v>
      </c>
      <c r="G157" t="s">
        <v>2</v>
      </c>
      <c r="H157" s="3" t="s">
        <v>140</v>
      </c>
      <c r="I157" s="560"/>
      <c r="J157" s="560"/>
      <c r="K157" s="548"/>
    </row>
    <row r="158" spans="1:11" ht="3.75" customHeight="1" x14ac:dyDescent="0.35">
      <c r="A158" s="551"/>
      <c r="B158" s="194">
        <f t="shared" si="18"/>
        <v>194</v>
      </c>
      <c r="C158" s="554"/>
      <c r="D158" s="557"/>
      <c r="E158" s="557"/>
      <c r="I158" s="560"/>
      <c r="J158" s="560"/>
      <c r="K158" s="548"/>
    </row>
    <row r="159" spans="1:11" x14ac:dyDescent="0.35">
      <c r="A159" s="551"/>
      <c r="B159" s="194">
        <f t="shared" si="18"/>
        <v>195</v>
      </c>
      <c r="C159" s="554"/>
      <c r="D159" s="557"/>
      <c r="E159" s="557"/>
      <c r="F159" s="525" t="b">
        <v>0</v>
      </c>
      <c r="G159" s="44" t="s">
        <v>141</v>
      </c>
      <c r="H159" s="9" t="s">
        <v>142</v>
      </c>
      <c r="I159" s="560"/>
      <c r="J159" s="560"/>
      <c r="K159" s="548"/>
    </row>
    <row r="160" spans="1:11" ht="3.75" customHeight="1" x14ac:dyDescent="0.35">
      <c r="A160" s="551"/>
      <c r="B160" s="194">
        <f t="shared" si="18"/>
        <v>196</v>
      </c>
      <c r="C160" s="554"/>
      <c r="D160" s="557"/>
      <c r="E160" s="557"/>
      <c r="I160" s="560"/>
      <c r="J160" s="560"/>
      <c r="K160" s="548"/>
    </row>
    <row r="161" spans="1:11" ht="29.5" thickBot="1" x14ac:dyDescent="0.4">
      <c r="A161" s="552"/>
      <c r="B161" s="194">
        <f t="shared" si="18"/>
        <v>197</v>
      </c>
      <c r="C161" s="555"/>
      <c r="D161" s="558"/>
      <c r="E161" s="558"/>
      <c r="F161" s="506" t="b">
        <v>0</v>
      </c>
      <c r="G161" s="99" t="s">
        <v>93</v>
      </c>
      <c r="H161" s="55" t="s">
        <v>143</v>
      </c>
      <c r="I161" s="561"/>
      <c r="J161" s="561"/>
      <c r="K161" s="549"/>
    </row>
    <row r="162" spans="1:11" ht="4.5" customHeight="1" thickBot="1" x14ac:dyDescent="0.4">
      <c r="C162" s="191"/>
      <c r="D162" s="132"/>
      <c r="E162" s="132"/>
      <c r="F162" s="30"/>
      <c r="G162" s="30"/>
      <c r="H162" s="33"/>
      <c r="I162" s="191"/>
      <c r="J162" s="191"/>
      <c r="K162" s="32"/>
    </row>
    <row r="163" spans="1:11" ht="15" customHeight="1" x14ac:dyDescent="0.35">
      <c r="A163" s="550">
        <f>A155+1</f>
        <v>20</v>
      </c>
      <c r="B163" s="193">
        <f>B155+10</f>
        <v>201</v>
      </c>
      <c r="C163" s="553"/>
      <c r="D163" s="556"/>
      <c r="E163" s="556"/>
      <c r="F163" s="504" t="b">
        <v>0</v>
      </c>
      <c r="G163" s="62" t="s">
        <v>138</v>
      </c>
      <c r="H163" s="75" t="s">
        <v>139</v>
      </c>
      <c r="I163" s="559"/>
      <c r="J163" s="559"/>
      <c r="K163" s="547"/>
    </row>
    <row r="164" spans="1:11" ht="3.75" customHeight="1" x14ac:dyDescent="0.35">
      <c r="A164" s="551"/>
      <c r="B164" s="194">
        <f t="shared" ref="B164:B169" si="19">B163+1</f>
        <v>202</v>
      </c>
      <c r="C164" s="554"/>
      <c r="D164" s="557"/>
      <c r="E164" s="557"/>
      <c r="I164" s="560"/>
      <c r="J164" s="560"/>
      <c r="K164" s="548"/>
    </row>
    <row r="165" spans="1:11" x14ac:dyDescent="0.35">
      <c r="A165" s="551"/>
      <c r="B165" s="194">
        <f t="shared" si="19"/>
        <v>203</v>
      </c>
      <c r="C165" s="554"/>
      <c r="D165" s="557"/>
      <c r="E165" s="557"/>
      <c r="F165" s="505" t="b">
        <v>0</v>
      </c>
      <c r="G165" t="s">
        <v>2</v>
      </c>
      <c r="H165" s="3" t="s">
        <v>140</v>
      </c>
      <c r="I165" s="560"/>
      <c r="J165" s="560"/>
      <c r="K165" s="548"/>
    </row>
    <row r="166" spans="1:11" ht="3.75" customHeight="1" x14ac:dyDescent="0.35">
      <c r="A166" s="551"/>
      <c r="B166" s="194">
        <f t="shared" si="19"/>
        <v>204</v>
      </c>
      <c r="C166" s="554"/>
      <c r="D166" s="557"/>
      <c r="E166" s="557"/>
      <c r="I166" s="560"/>
      <c r="J166" s="560"/>
      <c r="K166" s="548"/>
    </row>
    <row r="167" spans="1:11" x14ac:dyDescent="0.35">
      <c r="A167" s="551"/>
      <c r="B167" s="194">
        <f t="shared" si="19"/>
        <v>205</v>
      </c>
      <c r="C167" s="554"/>
      <c r="D167" s="557"/>
      <c r="E167" s="557"/>
      <c r="F167" s="525" t="b">
        <v>0</v>
      </c>
      <c r="G167" s="44" t="s">
        <v>141</v>
      </c>
      <c r="H167" s="9" t="s">
        <v>142</v>
      </c>
      <c r="I167" s="560"/>
      <c r="J167" s="560"/>
      <c r="K167" s="548"/>
    </row>
    <row r="168" spans="1:11" ht="3.75" customHeight="1" x14ac:dyDescent="0.35">
      <c r="A168" s="551"/>
      <c r="B168" s="194">
        <f t="shared" si="19"/>
        <v>206</v>
      </c>
      <c r="C168" s="554"/>
      <c r="D168" s="557"/>
      <c r="E168" s="557"/>
      <c r="I168" s="560"/>
      <c r="J168" s="560"/>
      <c r="K168" s="548"/>
    </row>
    <row r="169" spans="1:11" ht="29.5" thickBot="1" x14ac:dyDescent="0.4">
      <c r="A169" s="552"/>
      <c r="B169" s="194">
        <f t="shared" si="19"/>
        <v>207</v>
      </c>
      <c r="C169" s="555"/>
      <c r="D169" s="558"/>
      <c r="E169" s="558"/>
      <c r="F169" s="506" t="b">
        <v>0</v>
      </c>
      <c r="G169" s="99" t="s">
        <v>93</v>
      </c>
      <c r="H169" s="55" t="s">
        <v>143</v>
      </c>
      <c r="I169" s="561"/>
      <c r="J169" s="561"/>
      <c r="K169" s="549"/>
    </row>
    <row r="170" spans="1:11" ht="7.5" customHeight="1" x14ac:dyDescent="0.35">
      <c r="C170" s="192"/>
      <c r="D170" s="32"/>
      <c r="E170" s="32"/>
      <c r="F170" s="30"/>
      <c r="G170" s="30"/>
      <c r="H170" s="33"/>
      <c r="I170" s="192"/>
      <c r="J170" s="192"/>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8"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2" priority="208">
      <formula>AND($F61=TRUE,F59=TRUE)</formula>
    </cfRule>
  </conditionalFormatting>
  <conditionalFormatting sqref="H71">
    <cfRule type="expression" dxfId="3268" priority="193">
      <formula>AND($F69=TRUE,F67=TRUE)</formula>
    </cfRule>
  </conditionalFormatting>
  <conditionalFormatting sqref="H79">
    <cfRule type="expression" dxfId="3264" priority="178">
      <formula>AND($F77=TRUE,F75=TRUE)</formula>
    </cfRule>
  </conditionalFormatting>
  <conditionalFormatting sqref="H87">
    <cfRule type="expression" dxfId="3260" priority="163">
      <formula>AND($F85=TRUE,F83=TRUE)</formula>
    </cfRule>
  </conditionalFormatting>
  <conditionalFormatting sqref="H95">
    <cfRule type="expression" dxfId="3256" priority="148">
      <formula>AND($F93=TRUE,F91=TRUE)</formula>
    </cfRule>
  </conditionalFormatting>
  <conditionalFormatting sqref="H103">
    <cfRule type="expression" dxfId="3252" priority="133">
      <formula>AND($F101=TRUE,F99=TRUE)</formula>
    </cfRule>
  </conditionalFormatting>
  <conditionalFormatting sqref="H111">
    <cfRule type="expression" dxfId="3248" priority="118">
      <formula>AND($F109=TRUE,F107=TRUE)</formula>
    </cfRule>
  </conditionalFormatting>
  <conditionalFormatting sqref="H119">
    <cfRule type="expression" dxfId="3244" priority="103">
      <formula>AND($F117=TRUE,F115=TRUE)</formula>
    </cfRule>
  </conditionalFormatting>
  <conditionalFormatting sqref="H127">
    <cfRule type="expression" dxfId="3240" priority="88">
      <formula>AND($F125=TRUE,F123=TRUE)</formula>
    </cfRule>
  </conditionalFormatting>
  <conditionalFormatting sqref="H135">
    <cfRule type="expression" dxfId="3236" priority="73">
      <formula>AND($F133=TRUE,F131=TRUE)</formula>
    </cfRule>
  </conditionalFormatting>
  <conditionalFormatting sqref="H143">
    <cfRule type="expression" dxfId="3232" priority="58">
      <formula>AND($F141=TRUE,F139=TRUE)</formula>
    </cfRule>
  </conditionalFormatting>
  <conditionalFormatting sqref="H151">
    <cfRule type="expression" dxfId="3228" priority="43">
      <formula>AND($F149=TRUE,F147=TRUE)</formula>
    </cfRule>
  </conditionalFormatting>
  <conditionalFormatting sqref="H159">
    <cfRule type="expression" dxfId="3224" priority="28">
      <formula>AND($F157=TRUE,F155=TRUE)</formula>
    </cfRule>
  </conditionalFormatting>
  <conditionalFormatting sqref="H167">
    <cfRule type="expression" dxfId="3220" priority="13">
      <formula>AND($F165=TRUE,F163=TRUE)</formula>
    </cfRule>
  </conditionalFormatting>
  <conditionalFormatting sqref="K11:K17">
    <cfRule type="cellIs" dxfId="3218" priority="607" operator="equal">
      <formula>"Brown"</formula>
    </cfRule>
    <cfRule type="cellIs" dxfId="3217" priority="608" operator="equal">
      <formula>"Amber"</formula>
    </cfRule>
    <cfRule type="cellIs" dxfId="3216" priority="609" operator="equal">
      <formula>"orange"</formula>
    </cfRule>
    <cfRule type="cellIs" dxfId="3215" priority="610" operator="equal">
      <formula>"Green"</formula>
    </cfRule>
    <cfRule type="cellIs" dxfId="3214" priority="611" operator="equal">
      <formula>"Blue"</formula>
    </cfRule>
    <cfRule type="cellIs" dxfId="3213" priority="612" operator="equal">
      <formula>"Purple"</formula>
    </cfRule>
    <cfRule type="cellIs" dxfId="3212" priority="613" operator="equal">
      <formula>"Dark Gray"</formula>
    </cfRule>
    <cfRule type="cellIs" dxfId="3211" priority="614" operator="equal">
      <formula>"Magenta"</formula>
    </cfRule>
    <cfRule type="cellIs" dxfId="3210" priority="615" operator="equal">
      <formula>"Gray"</formula>
    </cfRule>
    <cfRule type="cellIs" dxfId="3209" priority="616" operator="equal">
      <formula>"Black"</formula>
    </cfRule>
  </conditionalFormatting>
  <conditionalFormatting sqref="K19:K25">
    <cfRule type="cellIs" dxfId="3208" priority="567" operator="equal">
      <formula>"Brown"</formula>
    </cfRule>
    <cfRule type="cellIs" dxfId="3207" priority="568" operator="equal">
      <formula>"Amber"</formula>
    </cfRule>
    <cfRule type="cellIs" dxfId="3206" priority="569" operator="equal">
      <formula>"orange"</formula>
    </cfRule>
    <cfRule type="cellIs" dxfId="3205" priority="570" operator="equal">
      <formula>"Green"</formula>
    </cfRule>
    <cfRule type="cellIs" dxfId="3204" priority="571" operator="equal">
      <formula>"Blue"</formula>
    </cfRule>
    <cfRule type="cellIs" dxfId="3203" priority="572" operator="equal">
      <formula>"Purple"</formula>
    </cfRule>
    <cfRule type="cellIs" dxfId="3202" priority="573" operator="equal">
      <formula>"Dark Gray"</formula>
    </cfRule>
    <cfRule type="cellIs" dxfId="3201" priority="574" operator="equal">
      <formula>"Magenta"</formula>
    </cfRule>
    <cfRule type="cellIs" dxfId="3200" priority="575" operator="equal">
      <formula>"Gray"</formula>
    </cfRule>
    <cfRule type="cellIs" dxfId="3199" priority="576" operator="equal">
      <formula>"Black"</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7" operator="equal">
      <formula>"Brown"</formula>
    </cfRule>
    <cfRule type="cellIs" dxfId="3187" priority="548" operator="equal">
      <formula>"Amber"</formula>
    </cfRule>
    <cfRule type="cellIs" dxfId="3186" priority="549" operator="equal">
      <formula>"orange"</formula>
    </cfRule>
    <cfRule type="cellIs" dxfId="3185" priority="550" operator="equal">
      <formula>"Green"</formula>
    </cfRule>
    <cfRule type="cellIs" dxfId="3184" priority="551" operator="equal">
      <formula>"Blue"</formula>
    </cfRule>
    <cfRule type="cellIs" dxfId="3183" priority="552" operator="equal">
      <formula>"Purple"</formula>
    </cfRule>
    <cfRule type="cellIs" dxfId="3182" priority="553" operator="equal">
      <formula>"Dark Gray"</formula>
    </cfRule>
    <cfRule type="cellIs" dxfId="3181" priority="554" operator="equal">
      <formula>"Magenta"</formula>
    </cfRule>
    <cfRule type="cellIs" dxfId="3180" priority="555" operator="equal">
      <formula>"Gray"</formula>
    </cfRule>
    <cfRule type="cellIs" dxfId="3179" priority="556" operator="equal">
      <formula>"Black"</formula>
    </cfRule>
  </conditionalFormatting>
  <conditionalFormatting sqref="K43:K49">
    <cfRule type="cellIs" dxfId="3178" priority="537" operator="equal">
      <formula>"Brown"</formula>
    </cfRule>
    <cfRule type="cellIs" dxfId="3177" priority="538" operator="equal">
      <formula>"Amber"</formula>
    </cfRule>
    <cfRule type="cellIs" dxfId="3176" priority="539" operator="equal">
      <formula>"orange"</formula>
    </cfRule>
    <cfRule type="cellIs" dxfId="3175" priority="540" operator="equal">
      <formula>"Green"</formula>
    </cfRule>
    <cfRule type="cellIs" dxfId="3174" priority="541" operator="equal">
      <formula>"Blue"</formula>
    </cfRule>
    <cfRule type="cellIs" dxfId="3173" priority="542" operator="equal">
      <formula>"Purple"</formula>
    </cfRule>
    <cfRule type="cellIs" dxfId="3172" priority="543" operator="equal">
      <formula>"Dark Gray"</formula>
    </cfRule>
    <cfRule type="cellIs" dxfId="3171" priority="544" operator="equal">
      <formula>"Magenta"</formula>
    </cfRule>
    <cfRule type="cellIs" dxfId="3170" priority="545" operator="equal">
      <formula>"Gray"</formula>
    </cfRule>
    <cfRule type="cellIs" dxfId="3169" priority="546" operator="equal">
      <formula>"Black"</formula>
    </cfRule>
  </conditionalFormatting>
  <conditionalFormatting sqref="K51:K57">
    <cfRule type="cellIs" dxfId="3168" priority="527" operator="equal">
      <formula>"Brown"</formula>
    </cfRule>
    <cfRule type="cellIs" dxfId="3167" priority="528" operator="equal">
      <formula>"Amber"</formula>
    </cfRule>
    <cfRule type="cellIs" dxfId="3166" priority="529" operator="equal">
      <formula>"orange"</formula>
    </cfRule>
    <cfRule type="cellIs" dxfId="3165" priority="530" operator="equal">
      <formula>"Green"</formula>
    </cfRule>
    <cfRule type="cellIs" dxfId="3164" priority="531" operator="equal">
      <formula>"Blue"</formula>
    </cfRule>
    <cfRule type="cellIs" dxfId="3163" priority="532" operator="equal">
      <formula>"Purple"</formula>
    </cfRule>
    <cfRule type="cellIs" dxfId="3162" priority="533" operator="equal">
      <formula>"Dark Gray"</formula>
    </cfRule>
    <cfRule type="cellIs" dxfId="3161" priority="534" operator="equal">
      <formula>"Magenta"</formula>
    </cfRule>
    <cfRule type="cellIs" dxfId="3160" priority="535" operator="equal">
      <formula>"Gray"</formula>
    </cfRule>
    <cfRule type="cellIs" dxfId="3159" priority="536" operator="equal">
      <formula>"Black"</formula>
    </cfRule>
  </conditionalFormatting>
  <conditionalFormatting sqref="K59:K65">
    <cfRule type="cellIs" dxfId="3158" priority="517" operator="equal">
      <formula>"Brown"</formula>
    </cfRule>
    <cfRule type="cellIs" dxfId="3157" priority="518" operator="equal">
      <formula>"Amber"</formula>
    </cfRule>
    <cfRule type="cellIs" dxfId="3156" priority="519" operator="equal">
      <formula>"orange"</formula>
    </cfRule>
    <cfRule type="cellIs" dxfId="3155" priority="520" operator="equal">
      <formula>"Green"</formula>
    </cfRule>
    <cfRule type="cellIs" dxfId="3154" priority="521" operator="equal">
      <formula>"Blue"</formula>
    </cfRule>
    <cfRule type="cellIs" dxfId="3153" priority="522" operator="equal">
      <formula>"Purple"</formula>
    </cfRule>
    <cfRule type="cellIs" dxfId="3152" priority="523" operator="equal">
      <formula>"Dark Gray"</formula>
    </cfRule>
    <cfRule type="cellIs" dxfId="3151" priority="524" operator="equal">
      <formula>"Magenta"</formula>
    </cfRule>
    <cfRule type="cellIs" dxfId="3150" priority="525" operator="equal">
      <formula>"Gray"</formula>
    </cfRule>
    <cfRule type="cellIs" dxfId="3149" priority="526" operator="equal">
      <formula>"Black"</formula>
    </cfRule>
  </conditionalFormatting>
  <conditionalFormatting sqref="K67:K73">
    <cfRule type="cellIs" dxfId="3148" priority="507" operator="equal">
      <formula>"Brown"</formula>
    </cfRule>
    <cfRule type="cellIs" dxfId="3147" priority="508" operator="equal">
      <formula>"Amber"</formula>
    </cfRule>
    <cfRule type="cellIs" dxfId="3146" priority="509" operator="equal">
      <formula>"orange"</formula>
    </cfRule>
    <cfRule type="cellIs" dxfId="3145" priority="510" operator="equal">
      <formula>"Green"</formula>
    </cfRule>
    <cfRule type="cellIs" dxfId="3144" priority="511" operator="equal">
      <formula>"Blue"</formula>
    </cfRule>
    <cfRule type="cellIs" dxfId="3143" priority="512" operator="equal">
      <formula>"Purple"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497" operator="equal">
      <formula>"Brown"</formula>
    </cfRule>
    <cfRule type="cellIs" dxfId="3137" priority="498" operator="equal">
      <formula>"Amber"</formula>
    </cfRule>
    <cfRule type="cellIs" dxfId="3136" priority="499" operator="equal">
      <formula>"orange"</formula>
    </cfRule>
    <cfRule type="cellIs" dxfId="3135" priority="500" operator="equal">
      <formula>"Green"</formula>
    </cfRule>
    <cfRule type="cellIs" dxfId="3134" priority="501" operator="equal">
      <formula>"Blue"</formula>
    </cfRule>
    <cfRule type="cellIs" dxfId="3133" priority="502" operator="equal">
      <formula>"Purple"</formula>
    </cfRule>
    <cfRule type="cellIs" dxfId="3132" priority="503" operator="equal">
      <formula>"Dark Gray"</formula>
    </cfRule>
    <cfRule type="cellIs" dxfId="3131" priority="504" operator="equal">
      <formula>"Magenta"</formula>
    </cfRule>
    <cfRule type="cellIs" dxfId="3130" priority="505" operator="equal">
      <formula>"Gray"</formula>
    </cfRule>
    <cfRule type="cellIs" dxfId="3129" priority="506" operator="equal">
      <formula>"Black"</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2" operator="equal">
      <formula>"Purple"</formula>
    </cfRule>
    <cfRule type="cellIs" dxfId="3122" priority="493" operator="equal">
      <formula>"Dark Gray"</formula>
    </cfRule>
    <cfRule type="cellIs" dxfId="3121" priority="494" operator="equal">
      <formula>"Magenta"</formula>
    </cfRule>
    <cfRule type="cellIs" dxfId="3120" priority="495" operator="equal">
      <formula>"Gray"</formula>
    </cfRule>
    <cfRule type="cellIs" dxfId="3119" priority="496" operator="equal">
      <formula>"Black"</formula>
    </cfRule>
  </conditionalFormatting>
  <conditionalFormatting sqref="K91:K97">
    <cfRule type="cellIs" dxfId="3118" priority="477" operator="equal">
      <formula>"Brown"</formula>
    </cfRule>
    <cfRule type="cellIs" dxfId="3117" priority="478" operator="equal">
      <formula>"Amber"</formula>
    </cfRule>
    <cfRule type="cellIs" dxfId="3116" priority="479" operator="equal">
      <formula>"orange"</formula>
    </cfRule>
    <cfRule type="cellIs" dxfId="3115" priority="480" operator="equal">
      <formula>"Green"</formula>
    </cfRule>
    <cfRule type="cellIs" dxfId="3114" priority="481" operator="equal">
      <formula>"Blue"</formula>
    </cfRule>
    <cfRule type="cellIs" dxfId="3113" priority="482" operator="equal">
      <formula>"Purple"</formula>
    </cfRule>
    <cfRule type="cellIs" dxfId="3112" priority="483" operator="equal">
      <formula>"Dark Gray"</formula>
    </cfRule>
    <cfRule type="cellIs" dxfId="3111" priority="484" operator="equal">
      <formula>"Magenta"</formula>
    </cfRule>
    <cfRule type="cellIs" dxfId="3110" priority="485" operator="equal">
      <formula>"Gray"</formula>
    </cfRule>
    <cfRule type="cellIs" dxfId="3109" priority="486" operator="equal">
      <formula>"Black"</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0" operator="equal">
      <formula>"Green"</formula>
    </cfRule>
    <cfRule type="cellIs" dxfId="3104" priority="471" operator="equal">
      <formula>"Blue"</formula>
    </cfRule>
    <cfRule type="cellIs" dxfId="3103" priority="472" operator="equal">
      <formula>"Purple"</formula>
    </cfRule>
    <cfRule type="cellIs" dxfId="3102" priority="473" operator="equal">
      <formula>"Dark Gray"</formula>
    </cfRule>
    <cfRule type="cellIs" dxfId="3101" priority="474" operator="equal">
      <formula>"Magenta"</formula>
    </cfRule>
    <cfRule type="cellIs" dxfId="3100" priority="475" operator="equal">
      <formula>"Gray"</formula>
    </cfRule>
    <cfRule type="cellIs" dxfId="3099" priority="476" operator="equal">
      <formula>"Black"</formula>
    </cfRule>
  </conditionalFormatting>
  <conditionalFormatting sqref="K107:K113">
    <cfRule type="cellIs" dxfId="3098" priority="457" operator="equal">
      <formula>"Brown"</formula>
    </cfRule>
    <cfRule type="cellIs" dxfId="3097" priority="458" operator="equal">
      <formula>"Amber"</formula>
    </cfRule>
    <cfRule type="cellIs" dxfId="3096" priority="459" operator="equal">
      <formula>"orange"</formula>
    </cfRule>
    <cfRule type="cellIs" dxfId="3095" priority="460" operator="equal">
      <formula>"Green"</formula>
    </cfRule>
    <cfRule type="cellIs" dxfId="3094" priority="461" operator="equal">
      <formula>"Blue"</formula>
    </cfRule>
    <cfRule type="cellIs" dxfId="3093" priority="462" operator="equal">
      <formula>"Purple"</formula>
    </cfRule>
    <cfRule type="cellIs" dxfId="3092" priority="463" operator="equal">
      <formula>"Dark Gray"</formula>
    </cfRule>
    <cfRule type="cellIs" dxfId="3091" priority="464" operator="equal">
      <formula>"Magenta"</formula>
    </cfRule>
    <cfRule type="cellIs" dxfId="3090" priority="465" operator="equal">
      <formula>"Gray"</formula>
    </cfRule>
    <cfRule type="cellIs" dxfId="3089" priority="466" operator="equal">
      <formula>"Black"</formula>
    </cfRule>
  </conditionalFormatting>
  <conditionalFormatting sqref="K115:K121">
    <cfRule type="cellIs" dxfId="3088" priority="447" operator="equal">
      <formula>"Brown"</formula>
    </cfRule>
    <cfRule type="cellIs" dxfId="3087" priority="448" operator="equal">
      <formula>"Amber"</formula>
    </cfRule>
    <cfRule type="cellIs" dxfId="3086" priority="449" operator="equal">
      <formula>"orange"</formula>
    </cfRule>
    <cfRule type="cellIs" dxfId="3085" priority="450" operator="equal">
      <formula>"Green"</formula>
    </cfRule>
    <cfRule type="cellIs" dxfId="3084" priority="451" operator="equal">
      <formula>"Blue"</formula>
    </cfRule>
    <cfRule type="cellIs" dxfId="3083" priority="452" operator="equal">
      <formula>"Purple"</formula>
    </cfRule>
    <cfRule type="cellIs" dxfId="3082" priority="453" operator="equal">
      <formula>"Dark Gray"</formula>
    </cfRule>
    <cfRule type="cellIs" dxfId="3081" priority="454" operator="equal">
      <formula>"Magenta"</formula>
    </cfRule>
    <cfRule type="cellIs" dxfId="3080" priority="455" operator="equal">
      <formula>"Gray"</formula>
    </cfRule>
    <cfRule type="cellIs" dxfId="3079" priority="456" operator="equal">
      <formula>"Black"</formula>
    </cfRule>
  </conditionalFormatting>
  <conditionalFormatting sqref="K123:K129">
    <cfRule type="cellIs" dxfId="3078" priority="437" operator="equal">
      <formula>"Brown"</formula>
    </cfRule>
    <cfRule type="cellIs" dxfId="3077" priority="438" operator="equal">
      <formula>"Amber"</formula>
    </cfRule>
    <cfRule type="cellIs" dxfId="3076" priority="439" operator="equal">
      <formula>"orange"</formula>
    </cfRule>
    <cfRule type="cellIs" dxfId="3075" priority="440" operator="equal">
      <formula>"Green"</formula>
    </cfRule>
    <cfRule type="cellIs" dxfId="3074" priority="441" operator="equal">
      <formula>"Blue"</formula>
    </cfRule>
    <cfRule type="cellIs" dxfId="3073" priority="442" operator="equal">
      <formula>"Purple"</formula>
    </cfRule>
    <cfRule type="cellIs" dxfId="3072" priority="443" operator="equal">
      <formula>"Dark Gray"</formula>
    </cfRule>
    <cfRule type="cellIs" dxfId="3071" priority="444" operator="equal">
      <formula>"Magenta"</formula>
    </cfRule>
    <cfRule type="cellIs" dxfId="3070" priority="445" operator="equal">
      <formula>"Gray"</formula>
    </cfRule>
    <cfRule type="cellIs" dxfId="3069" priority="446" operator="equal">
      <formula>"Black"</formula>
    </cfRule>
  </conditionalFormatting>
  <conditionalFormatting sqref="K131:K137">
    <cfRule type="cellIs" dxfId="3068" priority="427" operator="equal">
      <formula>"Brown"</formula>
    </cfRule>
    <cfRule type="cellIs" dxfId="3067" priority="428" operator="equal">
      <formula>"Amber"</formula>
    </cfRule>
    <cfRule type="cellIs" dxfId="3066" priority="429" operator="equal">
      <formula>"orange"</formula>
    </cfRule>
    <cfRule type="cellIs" dxfId="3065" priority="430" operator="equal">
      <formula>"Green"</formula>
    </cfRule>
    <cfRule type="cellIs" dxfId="3064" priority="431" operator="equal">
      <formula>"Blue"</formula>
    </cfRule>
    <cfRule type="cellIs" dxfId="3063" priority="432" operator="equal">
      <formula>"Purple"</formula>
    </cfRule>
    <cfRule type="cellIs" dxfId="3062" priority="433" operator="equal">
      <formula>"Dark Gray"</formula>
    </cfRule>
    <cfRule type="cellIs" dxfId="3061" priority="434" operator="equal">
      <formula>"Magenta"</formula>
    </cfRule>
    <cfRule type="cellIs" dxfId="3060" priority="435" operator="equal">
      <formula>"Gray"</formula>
    </cfRule>
    <cfRule type="cellIs" dxfId="3059" priority="436" operator="equal">
      <formula>"Black"</formula>
    </cfRule>
  </conditionalFormatting>
  <conditionalFormatting sqref="K139:K145">
    <cfRule type="cellIs" dxfId="3058" priority="417" operator="equal">
      <formula>"Brown"</formula>
    </cfRule>
    <cfRule type="cellIs" dxfId="3057" priority="418" operator="equal">
      <formula>"Amber"</formula>
    </cfRule>
    <cfRule type="cellIs" dxfId="3056" priority="419" operator="equal">
      <formula>"orange"</formula>
    </cfRule>
    <cfRule type="cellIs" dxfId="3055" priority="420" operator="equal">
      <formula>"Green"</formula>
    </cfRule>
    <cfRule type="cellIs" dxfId="3054" priority="421" operator="equal">
      <formula>"Blue"</formula>
    </cfRule>
    <cfRule type="cellIs" dxfId="3053" priority="422" operator="equal">
      <formula>"Purple"</formula>
    </cfRule>
    <cfRule type="cellIs" dxfId="3052" priority="423" operator="equal">
      <formula>"Dark Gray"</formula>
    </cfRule>
    <cfRule type="cellIs" dxfId="3051" priority="424" operator="equal">
      <formula>"Magenta"</formula>
    </cfRule>
    <cfRule type="cellIs" dxfId="3050" priority="425" operator="equal">
      <formula>"Gray"</formula>
    </cfRule>
    <cfRule type="cellIs" dxfId="3049" priority="426" operator="equal">
      <formula>"Black"</formula>
    </cfRule>
  </conditionalFormatting>
  <conditionalFormatting sqref="K147:K153">
    <cfRule type="cellIs" dxfId="3048" priority="407" operator="equal">
      <formula>"Brown"</formula>
    </cfRule>
    <cfRule type="cellIs" dxfId="3047" priority="408" operator="equal">
      <formula>"Amber"</formula>
    </cfRule>
    <cfRule type="cellIs" dxfId="3046" priority="409" operator="equal">
      <formula>"orange"</formula>
    </cfRule>
    <cfRule type="cellIs" dxfId="3045" priority="410" operator="equal">
      <formula>"Green"</formula>
    </cfRule>
    <cfRule type="cellIs" dxfId="3044" priority="411" operator="equal">
      <formula>"Blue"</formula>
    </cfRule>
    <cfRule type="cellIs" dxfId="3043" priority="412" operator="equal">
      <formula>"Purple"</formula>
    </cfRule>
    <cfRule type="cellIs" dxfId="3042" priority="413" operator="equal">
      <formula>"Dark Gray"</formula>
    </cfRule>
    <cfRule type="cellIs" dxfId="3041" priority="414" operator="equal">
      <formula>"Magenta"</formula>
    </cfRule>
    <cfRule type="cellIs" dxfId="3040" priority="415" operator="equal">
      <formula>"Gray"</formula>
    </cfRule>
    <cfRule type="cellIs" dxfId="3039" priority="416" operator="equal">
      <formula>"Black"</formula>
    </cfRule>
  </conditionalFormatting>
  <conditionalFormatting sqref="K155:K161">
    <cfRule type="cellIs" dxfId="3038" priority="397" operator="equal">
      <formula>"Brown"</formula>
    </cfRule>
    <cfRule type="cellIs" dxfId="3037" priority="398" operator="equal">
      <formula>"Amber"</formula>
    </cfRule>
    <cfRule type="cellIs" dxfId="3036" priority="399" operator="equal">
      <formula>"orange"</formula>
    </cfRule>
    <cfRule type="cellIs" dxfId="3035" priority="400" operator="equal">
      <formula>"Green"</formula>
    </cfRule>
    <cfRule type="cellIs" dxfId="3034" priority="401" operator="equal">
      <formula>"Blue"</formula>
    </cfRule>
    <cfRule type="cellIs" dxfId="3033" priority="402" operator="equal">
      <formula>"Purple"</formula>
    </cfRule>
    <cfRule type="cellIs" dxfId="3032" priority="403" operator="equal">
      <formula>"Dark Gray"</formula>
    </cfRule>
    <cfRule type="cellIs" dxfId="3031" priority="404" operator="equal">
      <formula>"Magenta"</formula>
    </cfRule>
    <cfRule type="cellIs" dxfId="3030" priority="405" operator="equal">
      <formula>"Gray"</formula>
    </cfRule>
    <cfRule type="cellIs" dxfId="3029" priority="406" operator="equal">
      <formula>"Black"</formula>
    </cfRule>
  </conditionalFormatting>
  <conditionalFormatting sqref="K163:K169">
    <cfRule type="cellIs" dxfId="3028" priority="387" operator="equal">
      <formula>"Brown"</formula>
    </cfRule>
    <cfRule type="cellIs" dxfId="3027" priority="388" operator="equal">
      <formula>"Amber"</formula>
    </cfRule>
    <cfRule type="cellIs" dxfId="3026" priority="389" operator="equal">
      <formula>"orange"</formula>
    </cfRule>
    <cfRule type="cellIs" dxfId="3025" priority="390" operator="equal">
      <formula>"Green"</formula>
    </cfRule>
    <cfRule type="cellIs" dxfId="3024" priority="391" operator="equal">
      <formula>"Blue"</formula>
    </cfRule>
    <cfRule type="cellIs" dxfId="3023" priority="392" operator="equal">
      <formula>"Purple"</formula>
    </cfRule>
    <cfRule type="cellIs" dxfId="3022" priority="393" operator="equal">
      <formula>"Dark Gray"</formula>
    </cfRule>
    <cfRule type="cellIs" dxfId="3021" priority="394" operator="equal">
      <formula>"Magenta"</formula>
    </cfRule>
    <cfRule type="cellIs" dxfId="3020" priority="395" operator="equal">
      <formula>"Gray"</formula>
    </cfRule>
    <cfRule type="cellIs" dxfId="3019" priority="396" operator="equal">
      <formula>"Black"</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Z124" sqref="Z124"/>
    </sheetView>
  </sheetViews>
  <sheetFormatPr defaultColWidth="9.1796875" defaultRowHeight="14.5" outlineLevelRow="1" x14ac:dyDescent="0.35"/>
  <cols>
    <col min="1" max="1" width="5.81640625" style="89" customWidth="1"/>
    <col min="2" max="2" width="20.08984375" style="286" hidden="1" customWidth="1"/>
    <col min="3" max="3" width="29.1796875" style="183" customWidth="1"/>
    <col min="4" max="4" width="0.81640625" style="3" customWidth="1"/>
    <col min="5" max="5" width="4.1796875" style="3" customWidth="1"/>
    <col min="6" max="6" width="54.54296875" style="3" bestFit="1" customWidth="1"/>
    <col min="7" max="7" width="0.81640625" style="3" customWidth="1"/>
    <col min="8" max="8" width="4" style="3" customWidth="1"/>
    <col min="9" max="9" width="30.26953125" style="3" customWidth="1"/>
    <col min="10" max="10" width="4" style="28" customWidth="1"/>
    <col min="11" max="11" width="28" style="3" customWidth="1"/>
    <col min="12" max="12" width="4" style="3" customWidth="1"/>
    <col min="13" max="13" width="25.54296875" style="3" customWidth="1"/>
    <col min="14" max="14" width="10.1796875" style="3" bestFit="1" customWidth="1"/>
    <col min="15" max="15" width="4.1796875" style="3" customWidth="1"/>
    <col min="16" max="16" width="25.81640625" style="3" customWidth="1"/>
    <col min="17" max="17" width="8.7265625" style="3" customWidth="1"/>
    <col min="18" max="18" width="3.453125" style="3" customWidth="1"/>
    <col min="19" max="19" width="26.7265625" style="3" customWidth="1"/>
    <col min="20" max="20" width="17.453125" style="3" customWidth="1"/>
    <col min="21" max="21" width="4.1796875" style="28" customWidth="1"/>
    <col min="22" max="22" width="41.81640625" style="3" customWidth="1"/>
    <col min="23" max="23" width="0.81640625" style="3" customWidth="1"/>
    <col min="24" max="24" width="4.26953125" style="389" customWidth="1"/>
    <col min="25" max="25" width="14.81640625" style="3" customWidth="1"/>
    <col min="26" max="26" width="26.7265625" style="183" customWidth="1"/>
    <col min="27" max="27" width="0.7265625" style="3" customWidth="1"/>
    <col min="28" max="28" width="3.81640625" style="3" customWidth="1"/>
    <col min="29" max="29" width="35.26953125" style="3" bestFit="1" customWidth="1"/>
    <col min="30" max="30" width="2.54296875" style="3" customWidth="1"/>
    <col min="31" max="31" width="53.453125" style="3" customWidth="1"/>
    <col min="32" max="32" width="1.26953125" style="3" customWidth="1"/>
    <col min="33" max="33" width="9.1796875" style="3"/>
  </cols>
  <sheetData>
    <row r="1" spans="1:33" s="3" customFormat="1" ht="26.25" customHeight="1" thickBot="1" x14ac:dyDescent="0.4">
      <c r="A1" s="89"/>
      <c r="B1" s="286"/>
      <c r="C1" s="608" t="s">
        <v>89</v>
      </c>
      <c r="D1" s="608"/>
      <c r="E1" s="608"/>
      <c r="F1" s="608"/>
      <c r="G1" s="608"/>
      <c r="H1" s="608"/>
      <c r="I1" s="608"/>
      <c r="J1" s="11"/>
      <c r="K1" s="11"/>
      <c r="L1" s="11"/>
      <c r="M1" s="11"/>
      <c r="N1" s="11"/>
      <c r="R1" s="11"/>
      <c r="U1" s="28"/>
      <c r="X1" s="389"/>
      <c r="Z1" s="183"/>
    </row>
    <row r="2" spans="1:33" s="3" customFormat="1" ht="18.75" customHeight="1" thickBot="1" x14ac:dyDescent="0.5">
      <c r="A2" s="89"/>
      <c r="B2" s="286"/>
      <c r="C2" s="183"/>
      <c r="H2" s="612" t="s">
        <v>144</v>
      </c>
      <c r="I2" s="613"/>
      <c r="J2" s="613"/>
      <c r="K2" s="613"/>
      <c r="L2" s="613"/>
      <c r="M2" s="613"/>
      <c r="N2" s="613"/>
      <c r="O2" s="613"/>
      <c r="P2" s="613"/>
      <c r="Q2" s="613"/>
      <c r="R2" s="613"/>
      <c r="S2" s="614"/>
      <c r="T2" s="613"/>
      <c r="U2" s="614"/>
      <c r="V2" s="615"/>
      <c r="W2" s="19"/>
      <c r="X2" s="389"/>
      <c r="Z2" s="183"/>
    </row>
    <row r="3" spans="1:33" s="13" customFormat="1" ht="37.5" customHeight="1" thickBot="1" x14ac:dyDescent="0.5">
      <c r="A3" s="90"/>
      <c r="B3" s="286"/>
      <c r="C3" s="97" t="s">
        <v>145</v>
      </c>
      <c r="D3" s="14"/>
      <c r="E3" s="616" t="s">
        <v>146</v>
      </c>
      <c r="F3" s="617"/>
      <c r="G3" s="14"/>
      <c r="H3" s="630" t="s">
        <v>147</v>
      </c>
      <c r="I3" s="631"/>
      <c r="J3" s="596" t="s">
        <v>148</v>
      </c>
      <c r="K3" s="598"/>
      <c r="L3" s="596" t="s">
        <v>149</v>
      </c>
      <c r="M3" s="597"/>
      <c r="N3" s="598"/>
      <c r="O3" s="596" t="s">
        <v>150</v>
      </c>
      <c r="P3" s="597"/>
      <c r="Q3" s="597"/>
      <c r="R3" s="596" t="s">
        <v>151</v>
      </c>
      <c r="S3" s="597"/>
      <c r="T3" s="598"/>
      <c r="U3" s="596" t="s">
        <v>152</v>
      </c>
      <c r="V3" s="599"/>
      <c r="W3" s="21"/>
      <c r="X3" s="596" t="s">
        <v>153</v>
      </c>
      <c r="Y3" s="597"/>
      <c r="Z3" s="598"/>
      <c r="AB3" s="582" t="s">
        <v>154</v>
      </c>
      <c r="AC3" s="583"/>
      <c r="AD3" s="583"/>
      <c r="AE3" s="583"/>
      <c r="AF3" s="584"/>
    </row>
    <row r="4" spans="1:33" ht="284.5" hidden="1" customHeight="1" outlineLevel="1" x14ac:dyDescent="0.35">
      <c r="A4" s="358" t="s">
        <v>119</v>
      </c>
      <c r="B4" s="232"/>
      <c r="C4" s="184" t="s">
        <v>155</v>
      </c>
      <c r="D4" s="150"/>
      <c r="E4" s="618" t="s">
        <v>156</v>
      </c>
      <c r="F4" s="619"/>
      <c r="G4" s="150"/>
      <c r="H4" s="623" t="s">
        <v>157</v>
      </c>
      <c r="I4" s="624"/>
      <c r="J4" s="620" t="s">
        <v>158</v>
      </c>
      <c r="K4" s="621"/>
      <c r="L4" s="601" t="s">
        <v>159</v>
      </c>
      <c r="M4" s="622"/>
      <c r="N4" s="602"/>
      <c r="O4" s="600" t="s">
        <v>160</v>
      </c>
      <c r="P4" s="600"/>
      <c r="Q4" s="600"/>
      <c r="R4" s="626" t="s">
        <v>161</v>
      </c>
      <c r="S4" s="627"/>
      <c r="T4" s="173"/>
      <c r="U4" s="601" t="s">
        <v>162</v>
      </c>
      <c r="V4" s="602"/>
      <c r="W4" s="154"/>
      <c r="X4" s="600" t="s">
        <v>163</v>
      </c>
      <c r="Y4" s="600"/>
      <c r="Z4" s="600"/>
      <c r="AA4" s="177"/>
      <c r="AB4" s="585" t="s">
        <v>164</v>
      </c>
      <c r="AC4" s="586"/>
      <c r="AD4" s="586"/>
      <c r="AE4" s="586"/>
      <c r="AF4" s="587"/>
      <c r="AG4"/>
    </row>
    <row r="5" spans="1:33" ht="40.5" hidden="1" customHeight="1" outlineLevel="1" x14ac:dyDescent="0.35">
      <c r="A5" s="638" t="s">
        <v>127</v>
      </c>
      <c r="B5" s="232"/>
      <c r="C5" s="185"/>
      <c r="D5" s="162"/>
      <c r="E5" s="589" t="s">
        <v>165</v>
      </c>
      <c r="F5" s="589"/>
      <c r="G5" s="162"/>
      <c r="H5" s="643" t="s">
        <v>166</v>
      </c>
      <c r="I5" s="643"/>
      <c r="J5" s="637" t="s">
        <v>167</v>
      </c>
      <c r="K5" s="637"/>
      <c r="L5" s="589" t="s">
        <v>168</v>
      </c>
      <c r="M5" s="589"/>
      <c r="N5" s="589"/>
      <c r="O5" s="589" t="s">
        <v>168</v>
      </c>
      <c r="P5" s="589"/>
      <c r="Q5" s="541"/>
      <c r="R5" s="628" t="s">
        <v>169</v>
      </c>
      <c r="S5" s="629"/>
      <c r="T5" s="124"/>
      <c r="U5" s="589" t="s">
        <v>170</v>
      </c>
      <c r="V5" s="589"/>
      <c r="W5" s="124"/>
      <c r="X5" s="589" t="s">
        <v>171</v>
      </c>
      <c r="Y5" s="589"/>
      <c r="Z5" s="589"/>
      <c r="AA5" s="124"/>
      <c r="AB5" s="588" t="s">
        <v>172</v>
      </c>
      <c r="AC5" s="589"/>
      <c r="AD5" s="589"/>
      <c r="AE5" s="589"/>
      <c r="AF5" s="590"/>
      <c r="AG5"/>
    </row>
    <row r="6" spans="1:33" ht="60.65" hidden="1" customHeight="1" outlineLevel="1" x14ac:dyDescent="0.35">
      <c r="A6" s="638"/>
      <c r="B6" s="232"/>
      <c r="C6" s="185"/>
      <c r="D6" s="162"/>
      <c r="E6" s="625"/>
      <c r="F6" s="625"/>
      <c r="G6" s="162"/>
      <c r="H6" s="589" t="s">
        <v>173</v>
      </c>
      <c r="I6" s="589"/>
      <c r="J6" s="589" t="s">
        <v>174</v>
      </c>
      <c r="K6" s="589"/>
      <c r="L6" s="591"/>
      <c r="M6" s="591"/>
      <c r="N6" s="591"/>
      <c r="O6" s="589" t="s">
        <v>175</v>
      </c>
      <c r="P6" s="589"/>
      <c r="Q6" s="541"/>
      <c r="R6" s="591"/>
      <c r="S6" s="591"/>
      <c r="T6" s="124"/>
      <c r="U6" s="591"/>
      <c r="V6" s="591"/>
      <c r="W6" s="124"/>
      <c r="X6" s="591"/>
      <c r="Y6" s="591"/>
      <c r="Z6" s="591"/>
      <c r="AA6" s="124"/>
      <c r="AB6" s="588" t="s">
        <v>176</v>
      </c>
      <c r="AC6" s="589"/>
      <c r="AD6" s="589"/>
      <c r="AE6" s="589"/>
      <c r="AF6" s="590"/>
      <c r="AG6"/>
    </row>
    <row r="7" spans="1:33" ht="44.5" hidden="1" customHeight="1" outlineLevel="1" x14ac:dyDescent="0.35">
      <c r="A7" s="638"/>
      <c r="B7" s="232"/>
      <c r="C7" s="185"/>
      <c r="D7" s="162"/>
      <c r="E7" s="625"/>
      <c r="F7" s="625"/>
      <c r="G7" s="162"/>
      <c r="H7" s="625"/>
      <c r="I7" s="625"/>
      <c r="J7" s="625"/>
      <c r="K7" s="625"/>
      <c r="L7" s="591"/>
      <c r="M7" s="591"/>
      <c r="N7" s="591"/>
      <c r="O7" s="591"/>
      <c r="P7" s="591"/>
      <c r="Q7" s="632"/>
      <c r="R7" s="591"/>
      <c r="S7" s="591"/>
      <c r="T7" s="124"/>
      <c r="U7" s="591"/>
      <c r="V7" s="591"/>
      <c r="W7" s="124"/>
      <c r="X7" s="591"/>
      <c r="Y7" s="591"/>
      <c r="Z7" s="591"/>
      <c r="AA7" s="124"/>
      <c r="AB7" s="588" t="s">
        <v>177</v>
      </c>
      <c r="AC7" s="591"/>
      <c r="AD7" s="591"/>
      <c r="AE7" s="591"/>
      <c r="AF7" s="592"/>
      <c r="AG7"/>
    </row>
    <row r="8" spans="1:33" ht="19" hidden="1" customHeight="1" outlineLevel="1" x14ac:dyDescent="0.35">
      <c r="A8" s="638"/>
      <c r="B8" s="232"/>
      <c r="C8" s="186"/>
      <c r="D8" s="165"/>
      <c r="E8" s="640"/>
      <c r="F8" s="641"/>
      <c r="G8" s="165"/>
      <c r="H8" s="625"/>
      <c r="I8" s="625"/>
      <c r="J8" s="625"/>
      <c r="K8" s="625"/>
      <c r="L8" s="591"/>
      <c r="M8" s="591"/>
      <c r="N8" s="591"/>
      <c r="O8" s="591"/>
      <c r="P8" s="591"/>
      <c r="Q8" s="632"/>
      <c r="R8" s="591"/>
      <c r="S8" s="591"/>
      <c r="T8" s="378"/>
      <c r="U8" s="591"/>
      <c r="V8" s="591"/>
      <c r="W8" s="148"/>
      <c r="X8" s="578"/>
      <c r="Y8" s="579"/>
      <c r="Z8" s="580"/>
      <c r="AA8" s="198"/>
      <c r="AB8" s="593"/>
      <c r="AC8" s="591"/>
      <c r="AD8" s="591"/>
      <c r="AE8" s="591"/>
      <c r="AF8" s="592"/>
      <c r="AG8"/>
    </row>
    <row r="9" spans="1:33" ht="19" hidden="1" customHeight="1" outlineLevel="1" thickBot="1" x14ac:dyDescent="0.4">
      <c r="A9" s="639"/>
      <c r="B9" s="232"/>
      <c r="C9" s="214"/>
      <c r="D9" s="165"/>
      <c r="E9" s="642"/>
      <c r="F9" s="642"/>
      <c r="G9" s="165"/>
      <c r="H9" s="636"/>
      <c r="I9" s="636"/>
      <c r="J9" s="636"/>
      <c r="K9" s="636"/>
      <c r="L9" s="579"/>
      <c r="M9" s="579"/>
      <c r="N9" s="579"/>
      <c r="O9" s="579"/>
      <c r="P9" s="579"/>
      <c r="Q9" s="580"/>
      <c r="R9" s="579"/>
      <c r="S9" s="579"/>
      <c r="T9" s="378"/>
      <c r="U9" s="579"/>
      <c r="V9" s="579"/>
      <c r="W9" s="148"/>
      <c r="X9" s="579"/>
      <c r="Y9" s="579"/>
      <c r="Z9" s="579"/>
      <c r="AA9" s="198"/>
      <c r="AB9" s="594"/>
      <c r="AC9" s="579"/>
      <c r="AD9" s="579"/>
      <c r="AE9" s="579"/>
      <c r="AF9" s="595"/>
      <c r="AG9"/>
    </row>
    <row r="10" spans="1:33" s="13" customFormat="1" ht="29.5" customHeight="1" collapsed="1" x14ac:dyDescent="0.35">
      <c r="A10" s="572">
        <v>1</v>
      </c>
      <c r="B10" s="286">
        <f>A10+10</f>
        <v>11</v>
      </c>
      <c r="C10" s="633" t="str">
        <f>VLOOKUP(A10,INputs!$G$3:$O$22,7,FALSE)</f>
        <v>Label-Public</v>
      </c>
      <c r="D10" s="47"/>
      <c r="E10" s="47"/>
      <c r="F10" s="48" t="s">
        <v>136</v>
      </c>
      <c r="G10" s="199"/>
      <c r="H10" s="603" t="s">
        <v>136</v>
      </c>
      <c r="I10" s="603"/>
      <c r="J10" s="605" t="s">
        <v>178</v>
      </c>
      <c r="K10" s="605"/>
      <c r="L10" s="605" t="s">
        <v>136</v>
      </c>
      <c r="M10" s="605"/>
      <c r="N10" s="605"/>
      <c r="O10" s="605" t="s">
        <v>136</v>
      </c>
      <c r="P10" s="605"/>
      <c r="Q10" s="605"/>
      <c r="R10" s="607" t="s">
        <v>179</v>
      </c>
      <c r="S10" s="607"/>
      <c r="T10" s="397" t="s">
        <v>135</v>
      </c>
      <c r="U10" s="575" t="s">
        <v>180</v>
      </c>
      <c r="V10" s="575"/>
      <c r="W10" s="50"/>
      <c r="X10" s="391"/>
      <c r="Y10" s="581" t="s">
        <v>136</v>
      </c>
      <c r="Z10" s="581"/>
      <c r="AA10" s="51"/>
      <c r="AB10" s="603"/>
      <c r="AC10" s="603"/>
      <c r="AD10" s="605" t="s">
        <v>181</v>
      </c>
      <c r="AE10" s="605"/>
      <c r="AF10" s="52"/>
      <c r="AG10" s="20"/>
    </row>
    <row r="11" spans="1:33" s="13" customFormat="1" ht="12" customHeight="1" x14ac:dyDescent="0.35">
      <c r="A11" s="573"/>
      <c r="B11" s="286">
        <f>B10+1</f>
        <v>12</v>
      </c>
      <c r="C11" s="634"/>
      <c r="D11" s="8"/>
      <c r="E11" s="8"/>
      <c r="F11" s="208"/>
      <c r="G11" s="209"/>
      <c r="H11" s="208"/>
      <c r="I11" s="208"/>
      <c r="J11" s="376"/>
      <c r="K11" s="376"/>
      <c r="L11" s="376"/>
      <c r="M11" s="376"/>
      <c r="N11" s="376"/>
      <c r="O11" s="376"/>
      <c r="P11" s="376"/>
      <c r="Q11" s="376"/>
      <c r="R11" s="576"/>
      <c r="S11" s="576"/>
      <c r="T11" s="576"/>
      <c r="U11" s="396"/>
      <c r="V11" s="390"/>
      <c r="W11" s="216"/>
      <c r="X11" s="393"/>
      <c r="Y11" s="395"/>
      <c r="Z11" s="395"/>
      <c r="AA11" s="20"/>
      <c r="AB11" s="208"/>
      <c r="AC11" s="530" t="s">
        <v>136</v>
      </c>
      <c r="AD11" s="208"/>
      <c r="AE11" s="611"/>
      <c r="AF11" s="54"/>
      <c r="AG11" s="20"/>
    </row>
    <row r="12" spans="1:33" s="3" customFormat="1" ht="30.5" x14ac:dyDescent="0.35">
      <c r="A12" s="573"/>
      <c r="B12" s="286">
        <f t="shared" ref="B12:B18" si="0">B11+1</f>
        <v>13</v>
      </c>
      <c r="C12" s="634"/>
      <c r="E12" s="200" t="b">
        <v>0</v>
      </c>
      <c r="F12" s="3" t="s">
        <v>182</v>
      </c>
      <c r="H12" s="200" t="b">
        <v>0</v>
      </c>
      <c r="I12" s="210" t="s">
        <v>183</v>
      </c>
      <c r="J12" s="201" t="b">
        <v>0</v>
      </c>
      <c r="K12" s="202" t="s">
        <v>184</v>
      </c>
      <c r="L12" s="203" t="b">
        <v>0</v>
      </c>
      <c r="M12" s="9" t="s">
        <v>185</v>
      </c>
      <c r="N12" s="213"/>
      <c r="O12" s="203" t="b">
        <v>0</v>
      </c>
      <c r="P12" s="9" t="s">
        <v>186</v>
      </c>
      <c r="Q12" s="9"/>
      <c r="R12" s="576"/>
      <c r="S12" s="576"/>
      <c r="T12" s="576"/>
      <c r="U12" s="576"/>
      <c r="V12" s="576"/>
      <c r="W12" s="216"/>
      <c r="X12" s="204" t="b">
        <v>0</v>
      </c>
      <c r="Y12" s="205" t="s">
        <v>187</v>
      </c>
      <c r="Z12" s="371"/>
      <c r="AA12" s="15"/>
      <c r="AB12" s="529" t="b">
        <v>0</v>
      </c>
      <c r="AC12" s="389" t="s">
        <v>188</v>
      </c>
      <c r="AD12" s="15"/>
      <c r="AE12" s="611"/>
      <c r="AF12" s="53"/>
      <c r="AG12" s="15"/>
    </row>
    <row r="13" spans="1:33" s="3" customFormat="1" ht="32.15" customHeight="1" x14ac:dyDescent="0.35">
      <c r="A13" s="573"/>
      <c r="B13" s="286">
        <f t="shared" si="0"/>
        <v>14</v>
      </c>
      <c r="C13" s="634"/>
      <c r="E13" s="200" t="b">
        <v>0</v>
      </c>
      <c r="F13" s="196" t="s">
        <v>189</v>
      </c>
      <c r="H13" s="15"/>
      <c r="I13" s="210"/>
      <c r="J13" s="204" t="b">
        <v>0</v>
      </c>
      <c r="K13" s="606"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5" customHeight="1" x14ac:dyDescent="0.35">
      <c r="A14" s="573"/>
      <c r="B14" s="286">
        <f t="shared" si="0"/>
        <v>15</v>
      </c>
      <c r="C14" s="634"/>
      <c r="E14" s="200" t="b">
        <v>0</v>
      </c>
      <c r="F14" s="609" t="s">
        <v>196</v>
      </c>
      <c r="H14" s="200" t="b">
        <v>0</v>
      </c>
      <c r="I14" s="210" t="s">
        <v>197</v>
      </c>
      <c r="J14" s="205"/>
      <c r="K14" s="606"/>
      <c r="L14" s="203" t="b">
        <v>0</v>
      </c>
      <c r="M14" s="44" t="s">
        <v>198</v>
      </c>
      <c r="N14" s="211">
        <v>78</v>
      </c>
      <c r="O14" s="203" t="b">
        <v>0</v>
      </c>
      <c r="P14" s="9" t="s">
        <v>198</v>
      </c>
      <c r="Q14" s="211">
        <v>76</v>
      </c>
      <c r="R14" s="576"/>
      <c r="S14" s="576"/>
      <c r="T14" s="576"/>
      <c r="U14" s="577" t="s">
        <v>136</v>
      </c>
      <c r="V14" s="577"/>
      <c r="W14" s="577"/>
      <c r="X14" s="204" t="b">
        <v>0</v>
      </c>
      <c r="Y14" s="9" t="s">
        <v>199</v>
      </c>
      <c r="Z14" s="647"/>
      <c r="AA14" s="15"/>
      <c r="AB14" s="217"/>
      <c r="AC14" s="22"/>
      <c r="AD14" s="15"/>
      <c r="AE14" s="646"/>
      <c r="AF14" s="53"/>
      <c r="AG14" s="15"/>
    </row>
    <row r="15" spans="1:33" s="3" customFormat="1" ht="29.15" customHeight="1" x14ac:dyDescent="0.35">
      <c r="A15" s="573"/>
      <c r="B15" s="286">
        <f t="shared" si="0"/>
        <v>16</v>
      </c>
      <c r="C15" s="634"/>
      <c r="F15" s="609"/>
      <c r="H15" s="15"/>
      <c r="I15" s="15"/>
      <c r="J15" s="205"/>
      <c r="K15" s="9"/>
      <c r="L15" s="15"/>
      <c r="M15" s="15"/>
      <c r="N15" s="218"/>
      <c r="O15" s="9"/>
      <c r="P15" s="9"/>
      <c r="Q15" s="9"/>
      <c r="R15" s="576"/>
      <c r="S15" s="576"/>
      <c r="T15" s="576"/>
      <c r="U15" s="204" t="b">
        <v>0</v>
      </c>
      <c r="V15" s="205" t="s">
        <v>200</v>
      </c>
      <c r="W15" s="216"/>
      <c r="X15" s="389"/>
      <c r="Y15" s="15"/>
      <c r="Z15" s="647"/>
      <c r="AA15" s="15"/>
      <c r="AB15" s="15"/>
      <c r="AC15" s="15"/>
      <c r="AD15" s="15"/>
      <c r="AE15" s="646"/>
      <c r="AF15" s="53"/>
      <c r="AG15" s="15"/>
    </row>
    <row r="16" spans="1:33" s="3" customFormat="1" ht="30" customHeight="1" x14ac:dyDescent="0.35">
      <c r="A16" s="573"/>
      <c r="B16" s="286">
        <f t="shared" si="0"/>
        <v>17</v>
      </c>
      <c r="C16" s="634"/>
      <c r="E16"/>
      <c r="H16" s="15"/>
      <c r="I16" s="15"/>
      <c r="J16" s="373"/>
      <c r="K16" s="213"/>
      <c r="L16" s="213"/>
      <c r="M16" s="213"/>
      <c r="N16" s="213"/>
      <c r="O16" s="9"/>
      <c r="P16" s="9"/>
      <c r="Q16" s="9"/>
      <c r="R16" s="203" t="b">
        <v>0</v>
      </c>
      <c r="S16" s="9" t="s">
        <v>201</v>
      </c>
      <c r="T16" s="9" t="s">
        <v>135</v>
      </c>
      <c r="U16" s="576"/>
      <c r="V16" s="576"/>
      <c r="X16" s="389"/>
      <c r="Y16" s="15"/>
      <c r="Z16" s="368"/>
      <c r="AA16" s="15"/>
      <c r="AB16" s="15"/>
      <c r="AC16" s="15"/>
      <c r="AD16" s="15"/>
      <c r="AE16" s="15"/>
      <c r="AF16" s="53"/>
      <c r="AG16" s="15"/>
    </row>
    <row r="17" spans="1:33" s="3" customFormat="1" x14ac:dyDescent="0.35">
      <c r="A17" s="573"/>
      <c r="B17" s="286">
        <f t="shared" si="0"/>
        <v>18</v>
      </c>
      <c r="C17" s="634"/>
      <c r="E17"/>
      <c r="H17" s="212"/>
      <c r="I17" s="15"/>
      <c r="J17" s="373"/>
      <c r="K17" s="213"/>
      <c r="L17" s="213"/>
      <c r="M17" s="213"/>
      <c r="N17" s="213"/>
      <c r="O17" s="9"/>
      <c r="P17" s="9"/>
      <c r="Q17" s="9"/>
      <c r="R17" s="576"/>
      <c r="S17" s="576"/>
      <c r="T17" s="576"/>
      <c r="U17" s="204" t="b">
        <v>0</v>
      </c>
      <c r="V17" s="9" t="s">
        <v>202</v>
      </c>
      <c r="W17" s="9"/>
      <c r="X17" s="389"/>
      <c r="Y17" s="15"/>
      <c r="Z17" s="368"/>
      <c r="AA17" s="15"/>
      <c r="AB17" s="15"/>
      <c r="AC17" s="15"/>
      <c r="AD17" s="15"/>
      <c r="AE17" s="15"/>
      <c r="AF17" s="53"/>
      <c r="AG17" s="15"/>
    </row>
    <row r="18" spans="1:33" s="3" customFormat="1" ht="30" customHeight="1" thickBot="1" x14ac:dyDescent="0.4">
      <c r="A18" s="574"/>
      <c r="B18" s="286">
        <f t="shared" si="0"/>
        <v>19</v>
      </c>
      <c r="C18" s="635"/>
      <c r="D18" s="55"/>
      <c r="E18" s="55"/>
      <c r="F18" s="55"/>
      <c r="G18" s="55"/>
      <c r="H18" s="56"/>
      <c r="I18" s="56"/>
      <c r="J18" s="374"/>
      <c r="K18" s="57"/>
      <c r="L18" s="57"/>
      <c r="M18" s="57"/>
      <c r="N18" s="57"/>
      <c r="O18" s="58"/>
      <c r="P18" s="58"/>
      <c r="Q18" s="58"/>
      <c r="R18" s="576"/>
      <c r="S18" s="576"/>
      <c r="T18" s="576"/>
      <c r="U18" s="576"/>
      <c r="V18" s="576"/>
      <c r="W18" s="58"/>
      <c r="X18" s="392"/>
      <c r="Y18" s="56"/>
      <c r="Z18" s="369"/>
      <c r="AA18" s="56"/>
      <c r="AB18" s="56"/>
      <c r="AC18" s="56"/>
      <c r="AD18" s="56"/>
      <c r="AE18" s="56"/>
      <c r="AF18" s="59"/>
      <c r="AG18" s="15"/>
    </row>
    <row r="19" spans="1:33" ht="15" hidden="1" customHeight="1" thickBot="1" x14ac:dyDescent="0.4">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15" customHeight="1" thickBot="1" x14ac:dyDescent="0.4">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4">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 customHeight="1" x14ac:dyDescent="0.35">
      <c r="A22" s="572">
        <f>A10+1</f>
        <v>2</v>
      </c>
      <c r="B22" s="286">
        <f>B10+10</f>
        <v>21</v>
      </c>
      <c r="C22" s="644" t="str">
        <f>VLOOKUP(A22,INputs!$G$3:$O$22,7,FALSE)</f>
        <v>Label-General</v>
      </c>
      <c r="D22" s="8"/>
      <c r="E22" s="8"/>
      <c r="F22" s="610" t="s">
        <v>136</v>
      </c>
      <c r="G22" s="610"/>
      <c r="H22" s="610" t="s">
        <v>136</v>
      </c>
      <c r="I22" s="610"/>
      <c r="J22" s="611" t="str">
        <f>J$10</f>
        <v>Select a check box</v>
      </c>
      <c r="K22" s="611"/>
      <c r="L22" s="611" t="s">
        <v>136</v>
      </c>
      <c r="M22" s="611"/>
      <c r="N22" s="611"/>
      <c r="O22" s="611" t="s">
        <v>136</v>
      </c>
      <c r="P22" s="611"/>
      <c r="Q22" s="611"/>
      <c r="R22" s="607" t="s">
        <v>179</v>
      </c>
      <c r="S22" s="607"/>
      <c r="T22" s="397" t="s">
        <v>135</v>
      </c>
      <c r="U22" s="575" t="s">
        <v>180</v>
      </c>
      <c r="V22" s="575"/>
      <c r="W22" s="50"/>
      <c r="X22" s="393"/>
      <c r="Y22" s="604" t="s">
        <v>136</v>
      </c>
      <c r="Z22" s="604"/>
      <c r="AA22" s="20"/>
      <c r="AB22" s="610"/>
      <c r="AC22" s="610"/>
      <c r="AD22" s="605" t="s">
        <v>181</v>
      </c>
      <c r="AE22" s="605"/>
      <c r="AF22" s="54"/>
      <c r="AG22" s="20"/>
    </row>
    <row r="23" spans="1:33" s="13" customFormat="1" x14ac:dyDescent="0.35">
      <c r="A23" s="573"/>
      <c r="B23" s="286">
        <f>B22+1</f>
        <v>22</v>
      </c>
      <c r="C23" s="634"/>
      <c r="D23" s="8"/>
      <c r="E23" s="8"/>
      <c r="F23" s="208"/>
      <c r="G23" s="208"/>
      <c r="H23" s="208"/>
      <c r="I23" s="208"/>
      <c r="J23" s="376"/>
      <c r="K23" s="376"/>
      <c r="L23" s="376"/>
      <c r="M23" s="376"/>
      <c r="N23" s="376"/>
      <c r="O23" s="376"/>
      <c r="P23" s="376"/>
      <c r="Q23" s="376"/>
      <c r="R23" s="576"/>
      <c r="S23" s="576"/>
      <c r="T23" s="576"/>
      <c r="U23" s="396"/>
      <c r="V23" s="390" t="s">
        <v>137</v>
      </c>
      <c r="W23" s="216"/>
      <c r="X23" s="393"/>
      <c r="Y23" s="395"/>
      <c r="Z23" s="395"/>
      <c r="AA23" s="20"/>
      <c r="AB23" s="208"/>
      <c r="AC23" s="530" t="s">
        <v>136</v>
      </c>
      <c r="AD23" s="208"/>
      <c r="AE23" s="611"/>
      <c r="AF23" s="54"/>
      <c r="AG23" s="20"/>
    </row>
    <row r="24" spans="1:33" s="3" customFormat="1" ht="30.65" customHeight="1" x14ac:dyDescent="0.35">
      <c r="A24" s="573"/>
      <c r="B24" s="286">
        <f t="shared" ref="B24:B30" si="1">B23+1</f>
        <v>23</v>
      </c>
      <c r="C24" s="634"/>
      <c r="E24" s="200" t="b">
        <v>0</v>
      </c>
      <c r="F24" s="3" t="s">
        <v>182</v>
      </c>
      <c r="H24" s="200" t="b">
        <v>0</v>
      </c>
      <c r="I24" s="210" t="s">
        <v>183</v>
      </c>
      <c r="J24" s="201" t="b">
        <v>0</v>
      </c>
      <c r="K24" s="202" t="s">
        <v>184</v>
      </c>
      <c r="L24" s="203" t="b">
        <v>0</v>
      </c>
      <c r="M24" s="9" t="s">
        <v>185</v>
      </c>
      <c r="N24" s="213"/>
      <c r="O24" s="203" t="b">
        <v>0</v>
      </c>
      <c r="P24" s="9" t="s">
        <v>186</v>
      </c>
      <c r="Q24" s="9"/>
      <c r="R24" s="576"/>
      <c r="S24" s="576"/>
      <c r="T24" s="576"/>
      <c r="U24" s="576"/>
      <c r="V24" s="576"/>
      <c r="W24" s="216"/>
      <c r="X24" s="204" t="b">
        <v>0</v>
      </c>
      <c r="Y24" s="205" t="s">
        <v>187</v>
      </c>
      <c r="Z24" s="371"/>
      <c r="AA24" s="210"/>
      <c r="AB24" s="529" t="b">
        <v>0</v>
      </c>
      <c r="AC24" s="389" t="s">
        <v>188</v>
      </c>
      <c r="AD24" s="15"/>
      <c r="AE24" s="611"/>
      <c r="AF24" s="53"/>
      <c r="AG24" s="15"/>
    </row>
    <row r="25" spans="1:33" s="3" customFormat="1" ht="32.15" customHeight="1" x14ac:dyDescent="0.35">
      <c r="A25" s="573"/>
      <c r="B25" s="286">
        <f t="shared" si="1"/>
        <v>24</v>
      </c>
      <c r="C25" s="634"/>
      <c r="E25" s="200" t="b">
        <v>0</v>
      </c>
      <c r="F25" s="196" t="s">
        <v>189</v>
      </c>
      <c r="H25" s="15"/>
      <c r="I25" s="210"/>
      <c r="J25" s="204" t="b">
        <v>0</v>
      </c>
      <c r="K25" s="606"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5" customHeight="1" x14ac:dyDescent="0.35">
      <c r="A26" s="573"/>
      <c r="B26" s="286">
        <f t="shared" si="1"/>
        <v>25</v>
      </c>
      <c r="C26" s="634"/>
      <c r="E26" s="200" t="b">
        <v>0</v>
      </c>
      <c r="F26" s="609" t="s">
        <v>196</v>
      </c>
      <c r="H26" s="200" t="b">
        <v>0</v>
      </c>
      <c r="I26" s="210" t="s">
        <v>197</v>
      </c>
      <c r="J26" s="205"/>
      <c r="K26" s="606"/>
      <c r="L26" s="203" t="b">
        <v>0</v>
      </c>
      <c r="M26" s="44" t="s">
        <v>198</v>
      </c>
      <c r="N26" s="211">
        <v>6</v>
      </c>
      <c r="O26" s="203" t="b">
        <v>0</v>
      </c>
      <c r="P26" s="9" t="s">
        <v>198</v>
      </c>
      <c r="Q26" s="211">
        <v>7</v>
      </c>
      <c r="R26" s="576"/>
      <c r="S26" s="576"/>
      <c r="T26" s="576"/>
      <c r="U26" s="577" t="s">
        <v>136</v>
      </c>
      <c r="V26" s="577"/>
      <c r="W26" s="577"/>
      <c r="X26" s="204" t="b">
        <v>0</v>
      </c>
      <c r="Y26" s="9" t="s">
        <v>199</v>
      </c>
      <c r="Z26" s="576"/>
      <c r="AA26" s="15"/>
      <c r="AB26" s="217"/>
      <c r="AC26" s="22"/>
      <c r="AD26" s="15"/>
      <c r="AE26" s="646"/>
      <c r="AF26" s="53"/>
      <c r="AG26" s="15"/>
    </row>
    <row r="27" spans="1:33" s="3" customFormat="1" ht="34" customHeight="1" x14ac:dyDescent="0.35">
      <c r="A27" s="573"/>
      <c r="B27" s="286">
        <f t="shared" si="1"/>
        <v>26</v>
      </c>
      <c r="C27" s="634"/>
      <c r="F27" s="609"/>
      <c r="H27" s="15"/>
      <c r="I27" s="15"/>
      <c r="J27" s="205"/>
      <c r="K27" s="9"/>
      <c r="L27" s="15"/>
      <c r="M27" s="15"/>
      <c r="N27" s="218"/>
      <c r="O27" s="9"/>
      <c r="P27" s="9"/>
      <c r="Q27" s="9"/>
      <c r="R27" s="576"/>
      <c r="S27" s="576"/>
      <c r="T27" s="576"/>
      <c r="U27" s="204" t="b">
        <v>0</v>
      </c>
      <c r="V27" s="205" t="s">
        <v>200</v>
      </c>
      <c r="W27" s="216"/>
      <c r="X27" s="389"/>
      <c r="Y27" s="15"/>
      <c r="Z27" s="576"/>
      <c r="AA27" s="15"/>
      <c r="AB27" s="15"/>
      <c r="AC27" s="15"/>
      <c r="AD27" s="15"/>
      <c r="AE27" s="646"/>
      <c r="AF27" s="53"/>
      <c r="AG27" s="15"/>
    </row>
    <row r="28" spans="1:33" s="3" customFormat="1" ht="30" customHeight="1" x14ac:dyDescent="0.35">
      <c r="A28" s="573"/>
      <c r="B28" s="286">
        <f t="shared" si="1"/>
        <v>27</v>
      </c>
      <c r="C28" s="634"/>
      <c r="E28"/>
      <c r="H28" s="15"/>
      <c r="I28" s="15"/>
      <c r="J28" s="373"/>
      <c r="K28" s="213"/>
      <c r="L28" s="213"/>
      <c r="M28" s="213"/>
      <c r="N28" s="213"/>
      <c r="O28" s="9"/>
      <c r="P28" s="9"/>
      <c r="Q28" s="9"/>
      <c r="R28" s="203" t="b">
        <v>0</v>
      </c>
      <c r="S28" s="9" t="s">
        <v>201</v>
      </c>
      <c r="T28" s="9" t="s">
        <v>135</v>
      </c>
      <c r="U28" s="536"/>
      <c r="V28" s="536"/>
      <c r="X28" s="389"/>
      <c r="Y28" s="15"/>
      <c r="Z28" s="368"/>
      <c r="AA28" s="15"/>
      <c r="AB28" s="15"/>
      <c r="AC28" s="15"/>
      <c r="AD28" s="15"/>
      <c r="AE28" s="15"/>
      <c r="AF28" s="53"/>
      <c r="AG28" s="15"/>
    </row>
    <row r="29" spans="1:33" s="3" customFormat="1" x14ac:dyDescent="0.35">
      <c r="A29" s="573"/>
      <c r="B29" s="286">
        <f t="shared" si="1"/>
        <v>28</v>
      </c>
      <c r="C29" s="634"/>
      <c r="E29"/>
      <c r="H29" s="212"/>
      <c r="I29" s="15"/>
      <c r="J29" s="373"/>
      <c r="K29" s="213"/>
      <c r="L29" s="213"/>
      <c r="M29" s="213"/>
      <c r="N29" s="213"/>
      <c r="O29" s="9"/>
      <c r="P29" s="9"/>
      <c r="Q29" s="9"/>
      <c r="R29" s="576"/>
      <c r="S29" s="576"/>
      <c r="T29" s="576"/>
      <c r="U29" s="204" t="b">
        <v>0</v>
      </c>
      <c r="V29" s="9" t="s">
        <v>202</v>
      </c>
      <c r="W29" s="9"/>
      <c r="X29" s="389"/>
      <c r="Y29" s="15"/>
      <c r="Z29" s="368"/>
      <c r="AA29" s="15"/>
      <c r="AB29" s="15"/>
      <c r="AC29" s="15"/>
      <c r="AD29" s="15"/>
      <c r="AE29" s="15"/>
      <c r="AF29" s="53"/>
      <c r="AG29" s="15"/>
    </row>
    <row r="30" spans="1:33" s="3" customFormat="1" ht="30" customHeight="1" thickBot="1" x14ac:dyDescent="0.4">
      <c r="A30" s="574"/>
      <c r="B30" s="286">
        <f t="shared" si="1"/>
        <v>29</v>
      </c>
      <c r="C30" s="635"/>
      <c r="D30" s="55"/>
      <c r="E30" s="55"/>
      <c r="F30" s="55"/>
      <c r="G30" s="55"/>
      <c r="H30" s="56"/>
      <c r="I30" s="56"/>
      <c r="J30" s="374"/>
      <c r="K30" s="57"/>
      <c r="L30" s="57"/>
      <c r="M30" s="57"/>
      <c r="N30" s="57"/>
      <c r="O30" s="58"/>
      <c r="P30" s="58"/>
      <c r="Q30" s="58"/>
      <c r="R30" s="576"/>
      <c r="S30" s="576"/>
      <c r="T30" s="576"/>
      <c r="U30" s="536"/>
      <c r="V30" s="536"/>
      <c r="W30" s="58"/>
      <c r="X30" s="392"/>
      <c r="Y30" s="56"/>
      <c r="Z30" s="369"/>
      <c r="AA30" s="56"/>
      <c r="AB30" s="56"/>
      <c r="AC30" s="56"/>
      <c r="AD30" s="56"/>
      <c r="AE30" s="56"/>
      <c r="AF30" s="59"/>
      <c r="AG30" s="15"/>
    </row>
    <row r="31" spans="1:33" s="3" customFormat="1" ht="15" hidden="1" customHeight="1" thickBot="1" x14ac:dyDescent="0.4">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15" customHeight="1" thickBot="1" x14ac:dyDescent="0.4">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4">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5" customHeight="1" x14ac:dyDescent="0.35">
      <c r="A34" s="572">
        <f>A22+1</f>
        <v>3</v>
      </c>
      <c r="B34" s="286">
        <f>B22+10</f>
        <v>31</v>
      </c>
      <c r="C34" s="644" t="str">
        <f>VLOOKUP(A34,INputs!$G$3:$O$22,7,FALSE)</f>
        <v>Parent Label-Confidential</v>
      </c>
      <c r="D34" s="47"/>
      <c r="E34" s="47"/>
      <c r="F34" s="603" t="s">
        <v>136</v>
      </c>
      <c r="G34" s="603"/>
      <c r="H34" s="603" t="s">
        <v>136</v>
      </c>
      <c r="I34" s="603"/>
      <c r="J34" s="605" t="str">
        <f>J10</f>
        <v>Select a check box</v>
      </c>
      <c r="K34" s="605"/>
      <c r="L34" s="605" t="s">
        <v>136</v>
      </c>
      <c r="M34" s="605"/>
      <c r="N34" s="605"/>
      <c r="O34" s="605" t="s">
        <v>136</v>
      </c>
      <c r="P34" s="605"/>
      <c r="Q34" s="605"/>
      <c r="R34" s="607" t="s">
        <v>179</v>
      </c>
      <c r="S34" s="607"/>
      <c r="T34" s="397" t="s">
        <v>135</v>
      </c>
      <c r="U34" s="575" t="s">
        <v>180</v>
      </c>
      <c r="V34" s="575"/>
      <c r="W34" s="50"/>
      <c r="X34" s="391"/>
      <c r="Y34" s="581" t="s">
        <v>136</v>
      </c>
      <c r="Z34" s="581"/>
      <c r="AA34" s="51"/>
      <c r="AB34" s="603"/>
      <c r="AC34" s="603"/>
      <c r="AD34" s="48"/>
      <c r="AE34" s="49" t="s">
        <v>181</v>
      </c>
      <c r="AF34" s="52"/>
      <c r="AG34" s="20"/>
    </row>
    <row r="35" spans="1:33" s="13" customFormat="1" x14ac:dyDescent="0.35">
      <c r="A35" s="573"/>
      <c r="B35" s="286">
        <f>B34+1</f>
        <v>32</v>
      </c>
      <c r="C35" s="634"/>
      <c r="D35" s="8"/>
      <c r="E35" s="8"/>
      <c r="F35" s="208"/>
      <c r="G35" s="208"/>
      <c r="H35" s="208"/>
      <c r="I35" s="208"/>
      <c r="J35" s="376"/>
      <c r="K35" s="376"/>
      <c r="L35" s="376"/>
      <c r="M35" s="376"/>
      <c r="N35" s="376"/>
      <c r="O35" s="376"/>
      <c r="P35" s="376"/>
      <c r="Q35" s="376"/>
      <c r="R35" s="576"/>
      <c r="S35" s="576"/>
      <c r="T35" s="576"/>
      <c r="U35" s="396"/>
      <c r="V35" s="390" t="s">
        <v>137</v>
      </c>
      <c r="W35" s="216"/>
      <c r="X35" s="393"/>
      <c r="Y35" s="395"/>
      <c r="Z35" s="395"/>
      <c r="AA35" s="20"/>
      <c r="AB35" s="208"/>
      <c r="AC35" s="530" t="s">
        <v>136</v>
      </c>
      <c r="AD35" s="208"/>
      <c r="AE35" s="611"/>
      <c r="AF35" s="54"/>
      <c r="AG35" s="20"/>
    </row>
    <row r="36" spans="1:33" s="3" customFormat="1" ht="30.5" x14ac:dyDescent="0.35">
      <c r="A36" s="573"/>
      <c r="B36" s="286">
        <f t="shared" ref="B36:B42" si="2">B35+1</f>
        <v>33</v>
      </c>
      <c r="C36" s="634"/>
      <c r="E36" s="200" t="b">
        <v>0</v>
      </c>
      <c r="F36" s="3" t="s">
        <v>182</v>
      </c>
      <c r="H36" s="200" t="b">
        <v>0</v>
      </c>
      <c r="I36" s="210" t="s">
        <v>183</v>
      </c>
      <c r="J36" s="201" t="b">
        <v>0</v>
      </c>
      <c r="K36" s="202" t="s">
        <v>184</v>
      </c>
      <c r="L36" s="203" t="b">
        <v>0</v>
      </c>
      <c r="M36" s="9" t="s">
        <v>185</v>
      </c>
      <c r="N36" s="213"/>
      <c r="O36" s="203" t="b">
        <v>0</v>
      </c>
      <c r="P36" s="9" t="s">
        <v>186</v>
      </c>
      <c r="Q36" s="9"/>
      <c r="R36" s="576"/>
      <c r="S36" s="576"/>
      <c r="T36" s="576"/>
      <c r="U36" s="576"/>
      <c r="V36" s="576"/>
      <c r="W36" s="216"/>
      <c r="X36" s="204" t="b">
        <v>0</v>
      </c>
      <c r="Y36" s="205" t="s">
        <v>187</v>
      </c>
      <c r="Z36" s="371"/>
      <c r="AA36" s="15"/>
      <c r="AB36" s="529" t="b">
        <v>0</v>
      </c>
      <c r="AC36" s="389" t="s">
        <v>188</v>
      </c>
      <c r="AD36" s="15"/>
      <c r="AE36" s="611"/>
      <c r="AF36" s="53"/>
      <c r="AG36" s="15"/>
    </row>
    <row r="37" spans="1:33" s="3" customFormat="1" ht="35.15" customHeight="1" x14ac:dyDescent="0.35">
      <c r="A37" s="573"/>
      <c r="B37" s="286">
        <f t="shared" si="2"/>
        <v>34</v>
      </c>
      <c r="C37" s="634"/>
      <c r="E37" s="200" t="b">
        <v>0</v>
      </c>
      <c r="F37" s="196" t="s">
        <v>189</v>
      </c>
      <c r="H37" s="15"/>
      <c r="I37" s="210"/>
      <c r="J37" s="204" t="b">
        <v>0</v>
      </c>
      <c r="K37" s="606"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5" customHeight="1" x14ac:dyDescent="0.35">
      <c r="A38" s="573"/>
      <c r="B38" s="286">
        <f t="shared" si="2"/>
        <v>35</v>
      </c>
      <c r="C38" s="634"/>
      <c r="E38" s="200" t="b">
        <v>0</v>
      </c>
      <c r="F38" s="609" t="s">
        <v>196</v>
      </c>
      <c r="H38" s="200" t="b">
        <v>0</v>
      </c>
      <c r="I38" s="210" t="s">
        <v>197</v>
      </c>
      <c r="J38" s="205"/>
      <c r="K38" s="606"/>
      <c r="L38" s="203" t="b">
        <v>0</v>
      </c>
      <c r="M38" s="44" t="s">
        <v>198</v>
      </c>
      <c r="N38" s="211">
        <v>0</v>
      </c>
      <c r="O38" s="203" t="b">
        <v>0</v>
      </c>
      <c r="P38" s="9" t="s">
        <v>198</v>
      </c>
      <c r="Q38" s="211">
        <v>8</v>
      </c>
      <c r="R38" s="576"/>
      <c r="S38" s="576"/>
      <c r="T38" s="576"/>
      <c r="U38" s="577" t="s">
        <v>136</v>
      </c>
      <c r="V38" s="577"/>
      <c r="W38" s="577"/>
      <c r="X38" s="204" t="b">
        <v>0</v>
      </c>
      <c r="Y38" s="9" t="s">
        <v>199</v>
      </c>
      <c r="Z38" s="576"/>
      <c r="AA38" s="15"/>
      <c r="AB38" s="217"/>
      <c r="AC38" s="22"/>
      <c r="AD38" s="15"/>
      <c r="AE38" s="646"/>
      <c r="AF38" s="53"/>
      <c r="AG38" s="15"/>
    </row>
    <row r="39" spans="1:33" s="3" customFormat="1" x14ac:dyDescent="0.35">
      <c r="A39" s="573"/>
      <c r="B39" s="286">
        <f t="shared" si="2"/>
        <v>36</v>
      </c>
      <c r="C39" s="634"/>
      <c r="F39" s="609"/>
      <c r="H39" s="15"/>
      <c r="I39" s="15"/>
      <c r="J39" s="205"/>
      <c r="K39" s="9"/>
      <c r="L39" s="15"/>
      <c r="M39" s="15"/>
      <c r="N39" s="218"/>
      <c r="O39" s="9"/>
      <c r="P39" s="9"/>
      <c r="Q39" s="9"/>
      <c r="R39" s="576"/>
      <c r="S39" s="576"/>
      <c r="T39" s="576"/>
      <c r="U39" s="204" t="b">
        <v>0</v>
      </c>
      <c r="V39" s="205" t="s">
        <v>200</v>
      </c>
      <c r="W39" s="216"/>
      <c r="X39" s="389"/>
      <c r="Y39" s="15"/>
      <c r="Z39" s="576"/>
      <c r="AA39" s="15"/>
      <c r="AB39" s="15"/>
      <c r="AC39" s="15"/>
      <c r="AD39" s="15"/>
      <c r="AE39" s="646"/>
      <c r="AF39" s="53"/>
      <c r="AG39" s="15"/>
    </row>
    <row r="40" spans="1:33" s="3" customFormat="1" ht="30" customHeight="1" x14ac:dyDescent="0.35">
      <c r="A40" s="573"/>
      <c r="B40" s="286">
        <f t="shared" si="2"/>
        <v>37</v>
      </c>
      <c r="C40" s="634"/>
      <c r="E40"/>
      <c r="H40" s="15"/>
      <c r="I40" s="15"/>
      <c r="J40" s="373"/>
      <c r="K40" s="213"/>
      <c r="L40" s="213"/>
      <c r="M40" s="213"/>
      <c r="N40" s="213"/>
      <c r="O40" s="9"/>
      <c r="P40" s="9"/>
      <c r="Q40" s="9"/>
      <c r="R40" s="203" t="b">
        <v>0</v>
      </c>
      <c r="S40" s="9" t="s">
        <v>201</v>
      </c>
      <c r="T40" s="9" t="s">
        <v>135</v>
      </c>
      <c r="U40" s="576"/>
      <c r="V40" s="576"/>
      <c r="X40" s="389"/>
      <c r="Y40" s="15"/>
      <c r="Z40" s="368"/>
      <c r="AA40" s="15"/>
      <c r="AB40" s="15"/>
      <c r="AC40" s="15"/>
      <c r="AD40" s="15"/>
      <c r="AE40" s="15"/>
      <c r="AF40" s="53"/>
      <c r="AG40" s="15"/>
    </row>
    <row r="41" spans="1:33" s="3" customFormat="1" x14ac:dyDescent="0.35">
      <c r="A41" s="573"/>
      <c r="B41" s="286">
        <f t="shared" si="2"/>
        <v>38</v>
      </c>
      <c r="C41" s="634"/>
      <c r="E41"/>
      <c r="H41" s="212"/>
      <c r="I41" s="15"/>
      <c r="J41" s="373"/>
      <c r="K41" s="213"/>
      <c r="L41" s="213"/>
      <c r="M41" s="213"/>
      <c r="N41" s="213"/>
      <c r="O41" s="9"/>
      <c r="P41" s="9"/>
      <c r="Q41" s="9"/>
      <c r="R41" s="576"/>
      <c r="S41" s="576"/>
      <c r="T41" s="576"/>
      <c r="U41" s="204" t="b">
        <v>0</v>
      </c>
      <c r="V41" s="9" t="s">
        <v>202</v>
      </c>
      <c r="W41" s="9"/>
      <c r="X41" s="389"/>
      <c r="Y41" s="15"/>
      <c r="Z41" s="368"/>
      <c r="AA41" s="15"/>
      <c r="AB41" s="15"/>
      <c r="AC41" s="15"/>
      <c r="AD41" s="15"/>
      <c r="AE41" s="15"/>
      <c r="AF41" s="53"/>
      <c r="AG41" s="15"/>
    </row>
    <row r="42" spans="1:33" s="3" customFormat="1" ht="30" customHeight="1" thickBot="1" x14ac:dyDescent="0.4">
      <c r="A42" s="574"/>
      <c r="B42" s="286">
        <f t="shared" si="2"/>
        <v>39</v>
      </c>
      <c r="C42" s="635"/>
      <c r="D42" s="55"/>
      <c r="E42" s="55"/>
      <c r="F42" s="55"/>
      <c r="G42" s="55"/>
      <c r="H42" s="56"/>
      <c r="I42" s="56"/>
      <c r="J42" s="374"/>
      <c r="K42" s="57"/>
      <c r="L42" s="57"/>
      <c r="M42" s="57"/>
      <c r="N42" s="57"/>
      <c r="O42" s="58"/>
      <c r="P42" s="58"/>
      <c r="Q42" s="58"/>
      <c r="R42" s="576"/>
      <c r="S42" s="576"/>
      <c r="T42" s="576"/>
      <c r="U42" s="576"/>
      <c r="V42" s="576"/>
      <c r="W42" s="58"/>
      <c r="X42" s="392"/>
      <c r="Y42" s="56"/>
      <c r="Z42" s="369"/>
      <c r="AA42" s="56"/>
      <c r="AB42" s="56"/>
      <c r="AC42" s="56"/>
      <c r="AD42" s="56"/>
      <c r="AE42" s="56"/>
      <c r="AF42" s="59"/>
      <c r="AG42" s="15"/>
    </row>
    <row r="43" spans="1:33" s="3" customFormat="1" ht="15" hidden="1" customHeight="1" thickBot="1" x14ac:dyDescent="0.4">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15" customHeight="1" thickBot="1" x14ac:dyDescent="0.4">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4">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5" customHeight="1" x14ac:dyDescent="0.35">
      <c r="A46" s="572">
        <f>A34+1</f>
        <v>4</v>
      </c>
      <c r="B46" s="286">
        <f>B34+10</f>
        <v>41</v>
      </c>
      <c r="C46" s="644" t="str">
        <f>VLOOKUP(A46,INputs!$G$3:$O$22,7,FALSE)</f>
        <v>Sub Label-All Employees</v>
      </c>
      <c r="D46" s="47"/>
      <c r="E46" s="47"/>
      <c r="F46" s="603" t="s">
        <v>136</v>
      </c>
      <c r="G46" s="603"/>
      <c r="H46" s="603" t="s">
        <v>136</v>
      </c>
      <c r="I46" s="603"/>
      <c r="J46" s="605" t="str">
        <f>J10</f>
        <v>Select a check box</v>
      </c>
      <c r="K46" s="605"/>
      <c r="L46" s="605" t="s">
        <v>136</v>
      </c>
      <c r="M46" s="605"/>
      <c r="N46" s="605"/>
      <c r="O46" s="605" t="s">
        <v>136</v>
      </c>
      <c r="P46" s="605"/>
      <c r="Q46" s="605"/>
      <c r="R46" s="607" t="s">
        <v>179</v>
      </c>
      <c r="S46" s="607"/>
      <c r="T46" s="397" t="s">
        <v>135</v>
      </c>
      <c r="U46" s="575" t="s">
        <v>180</v>
      </c>
      <c r="V46" s="575"/>
      <c r="W46" s="50"/>
      <c r="X46" s="391"/>
      <c r="Y46" s="581" t="s">
        <v>136</v>
      </c>
      <c r="Z46" s="581"/>
      <c r="AA46" s="51"/>
      <c r="AB46" s="603"/>
      <c r="AC46" s="603"/>
      <c r="AD46" s="48"/>
      <c r="AE46" s="49" t="s">
        <v>181</v>
      </c>
      <c r="AF46" s="52"/>
      <c r="AG46" s="20"/>
    </row>
    <row r="47" spans="1:33" s="13" customFormat="1" x14ac:dyDescent="0.35">
      <c r="A47" s="573"/>
      <c r="B47" s="286">
        <f>B46+1</f>
        <v>42</v>
      </c>
      <c r="C47" s="634"/>
      <c r="D47" s="8"/>
      <c r="E47" s="8"/>
      <c r="F47" s="208"/>
      <c r="G47" s="208"/>
      <c r="H47" s="208"/>
      <c r="I47" s="208"/>
      <c r="J47" s="376"/>
      <c r="K47" s="376"/>
      <c r="L47" s="376"/>
      <c r="M47" s="376"/>
      <c r="N47" s="376"/>
      <c r="O47" s="376"/>
      <c r="P47" s="376"/>
      <c r="Q47" s="376"/>
      <c r="R47" s="576" t="s">
        <v>392</v>
      </c>
      <c r="S47" s="576"/>
      <c r="T47" s="576"/>
      <c r="U47" s="396"/>
      <c r="V47" s="390" t="s">
        <v>137</v>
      </c>
      <c r="W47" s="216"/>
      <c r="X47" s="393"/>
      <c r="Y47" s="395"/>
      <c r="Z47" s="395"/>
      <c r="AA47" s="20"/>
      <c r="AB47" s="208"/>
      <c r="AC47" s="530" t="s">
        <v>136</v>
      </c>
      <c r="AD47" s="208"/>
      <c r="AE47" s="611"/>
      <c r="AF47" s="54"/>
      <c r="AG47" s="20"/>
    </row>
    <row r="48" spans="1:33" s="3" customFormat="1" ht="30.5" x14ac:dyDescent="0.35">
      <c r="A48" s="573"/>
      <c r="B48" s="286">
        <f t="shared" ref="B48:B54" si="3">B47+1</f>
        <v>43</v>
      </c>
      <c r="C48" s="634"/>
      <c r="E48" s="200" t="b">
        <v>1</v>
      </c>
      <c r="F48" s="3" t="s">
        <v>182</v>
      </c>
      <c r="H48" s="200" t="b">
        <v>0</v>
      </c>
      <c r="I48" s="210" t="s">
        <v>183</v>
      </c>
      <c r="J48" s="201" t="b">
        <v>1</v>
      </c>
      <c r="K48" s="202" t="s">
        <v>184</v>
      </c>
      <c r="L48" s="203" t="b">
        <v>1</v>
      </c>
      <c r="M48" s="9" t="s">
        <v>185</v>
      </c>
      <c r="N48" s="213"/>
      <c r="O48" s="203" t="b">
        <v>1</v>
      </c>
      <c r="P48" s="9" t="s">
        <v>186</v>
      </c>
      <c r="Q48" s="9"/>
      <c r="R48" s="576"/>
      <c r="S48" s="576"/>
      <c r="T48" s="576"/>
      <c r="U48" s="576"/>
      <c r="V48" s="576"/>
      <c r="W48" s="216"/>
      <c r="X48" s="204" t="b">
        <v>0</v>
      </c>
      <c r="Y48" s="205" t="s">
        <v>187</v>
      </c>
      <c r="Z48" s="371"/>
      <c r="AA48" s="15"/>
      <c r="AB48" s="529" t="b">
        <v>0</v>
      </c>
      <c r="AC48" s="389" t="s">
        <v>188</v>
      </c>
      <c r="AD48" s="15"/>
      <c r="AE48" s="611"/>
      <c r="AF48" s="53"/>
      <c r="AG48" s="15"/>
    </row>
    <row r="49" spans="1:33" s="3" customFormat="1" ht="35.15" customHeight="1" x14ac:dyDescent="0.35">
      <c r="A49" s="573"/>
      <c r="B49" s="286">
        <f t="shared" si="3"/>
        <v>44</v>
      </c>
      <c r="C49" s="634"/>
      <c r="E49" s="200" t="b">
        <v>1</v>
      </c>
      <c r="F49" s="196" t="s">
        <v>189</v>
      </c>
      <c r="H49" s="15"/>
      <c r="I49" s="210"/>
      <c r="J49" s="204" t="b">
        <v>0</v>
      </c>
      <c r="K49" s="606"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5" customHeight="1" x14ac:dyDescent="0.35">
      <c r="A50" s="573"/>
      <c r="B50" s="286">
        <f t="shared" si="3"/>
        <v>45</v>
      </c>
      <c r="C50" s="634"/>
      <c r="E50" s="200" t="b">
        <v>1</v>
      </c>
      <c r="F50" s="609" t="s">
        <v>196</v>
      </c>
      <c r="H50" s="200" t="b">
        <v>1</v>
      </c>
      <c r="I50" s="210" t="s">
        <v>197</v>
      </c>
      <c r="J50" s="205"/>
      <c r="K50" s="606"/>
      <c r="L50" s="203" t="b">
        <v>0</v>
      </c>
      <c r="M50" s="44" t="s">
        <v>198</v>
      </c>
      <c r="N50" s="211">
        <v>6</v>
      </c>
      <c r="O50" s="203" t="b">
        <v>0</v>
      </c>
      <c r="P50" s="9" t="s">
        <v>198</v>
      </c>
      <c r="Q50" s="211">
        <v>7</v>
      </c>
      <c r="R50" s="576"/>
      <c r="S50" s="576"/>
      <c r="T50" s="576"/>
      <c r="U50" s="577" t="s">
        <v>136</v>
      </c>
      <c r="V50" s="577"/>
      <c r="W50" s="577"/>
      <c r="X50" s="204" t="b">
        <v>1</v>
      </c>
      <c r="Y50" s="9" t="s">
        <v>199</v>
      </c>
      <c r="Z50" s="576" t="s">
        <v>393</v>
      </c>
      <c r="AA50" s="15"/>
      <c r="AB50" s="217"/>
      <c r="AC50" s="22"/>
      <c r="AD50" s="15"/>
      <c r="AE50" s="646"/>
      <c r="AF50" s="53"/>
      <c r="AG50" s="15"/>
    </row>
    <row r="51" spans="1:33" s="3" customFormat="1" x14ac:dyDescent="0.35">
      <c r="A51" s="573"/>
      <c r="B51" s="286">
        <f t="shared" si="3"/>
        <v>46</v>
      </c>
      <c r="C51" s="634"/>
      <c r="F51" s="609"/>
      <c r="H51" s="15"/>
      <c r="I51" s="15"/>
      <c r="J51" s="205"/>
      <c r="K51" s="9"/>
      <c r="L51" s="15"/>
      <c r="M51" s="15"/>
      <c r="N51" s="218"/>
      <c r="O51" s="9"/>
      <c r="P51" s="9"/>
      <c r="Q51" s="9"/>
      <c r="R51" s="576"/>
      <c r="S51" s="576"/>
      <c r="T51" s="576"/>
      <c r="U51" s="204" t="b">
        <v>0</v>
      </c>
      <c r="V51" s="205" t="s">
        <v>200</v>
      </c>
      <c r="W51" s="216"/>
      <c r="X51" s="389"/>
      <c r="Y51" s="15"/>
      <c r="Z51" s="576"/>
      <c r="AA51" s="15"/>
      <c r="AB51" s="15"/>
      <c r="AC51" s="15"/>
      <c r="AD51" s="15"/>
      <c r="AE51" s="646"/>
      <c r="AF51" s="53"/>
      <c r="AG51" s="15"/>
    </row>
    <row r="52" spans="1:33" s="3" customFormat="1" ht="30" customHeight="1" x14ac:dyDescent="0.35">
      <c r="A52" s="573"/>
      <c r="B52" s="286">
        <f t="shared" si="3"/>
        <v>47</v>
      </c>
      <c r="C52" s="634"/>
      <c r="E52"/>
      <c r="H52" s="15"/>
      <c r="I52" s="15"/>
      <c r="J52" s="373"/>
      <c r="K52" s="213"/>
      <c r="L52" s="213"/>
      <c r="M52" s="213"/>
      <c r="N52" s="213"/>
      <c r="O52" s="9"/>
      <c r="P52" s="9"/>
      <c r="Q52" s="9"/>
      <c r="R52" s="203" t="b">
        <v>0</v>
      </c>
      <c r="S52" s="9" t="s">
        <v>201</v>
      </c>
      <c r="T52" s="9" t="s">
        <v>135</v>
      </c>
      <c r="U52" s="576"/>
      <c r="V52" s="576"/>
      <c r="X52" s="389"/>
      <c r="Y52" s="15"/>
      <c r="Z52" s="368"/>
      <c r="AA52" s="15"/>
      <c r="AB52" s="15"/>
      <c r="AC52" s="15"/>
      <c r="AD52" s="15"/>
      <c r="AE52" s="15"/>
      <c r="AF52" s="53"/>
      <c r="AG52" s="15"/>
    </row>
    <row r="53" spans="1:33" s="3" customFormat="1" x14ac:dyDescent="0.35">
      <c r="A53" s="573"/>
      <c r="B53" s="286">
        <f t="shared" si="3"/>
        <v>48</v>
      </c>
      <c r="C53" s="634"/>
      <c r="E53"/>
      <c r="H53" s="212"/>
      <c r="I53" s="15"/>
      <c r="J53" s="373"/>
      <c r="K53" s="213"/>
      <c r="L53" s="213"/>
      <c r="M53" s="213"/>
      <c r="N53" s="213"/>
      <c r="O53" s="9"/>
      <c r="P53" s="9"/>
      <c r="Q53" s="9"/>
      <c r="R53" s="576"/>
      <c r="S53" s="576"/>
      <c r="T53" s="576"/>
      <c r="U53" s="204" t="b">
        <v>0</v>
      </c>
      <c r="V53" s="9" t="s">
        <v>202</v>
      </c>
      <c r="W53" s="9"/>
      <c r="X53" s="389"/>
      <c r="Y53" s="15"/>
      <c r="Z53" s="368"/>
      <c r="AA53" s="15"/>
      <c r="AB53" s="15"/>
      <c r="AC53" s="15"/>
      <c r="AD53" s="15"/>
      <c r="AE53" s="15"/>
      <c r="AF53" s="53"/>
      <c r="AG53" s="15"/>
    </row>
    <row r="54" spans="1:33" s="3" customFormat="1" ht="30" customHeight="1" thickBot="1" x14ac:dyDescent="0.4">
      <c r="A54" s="574"/>
      <c r="B54" s="286">
        <f t="shared" si="3"/>
        <v>49</v>
      </c>
      <c r="C54" s="635"/>
      <c r="D54" s="55"/>
      <c r="E54" s="55"/>
      <c r="F54" s="55"/>
      <c r="G54" s="55"/>
      <c r="H54" s="56"/>
      <c r="I54" s="56"/>
      <c r="J54" s="374"/>
      <c r="K54" s="57"/>
      <c r="L54" s="57"/>
      <c r="M54" s="57"/>
      <c r="N54" s="57"/>
      <c r="O54" s="58"/>
      <c r="P54" s="58"/>
      <c r="Q54" s="58"/>
      <c r="R54" s="576"/>
      <c r="S54" s="576"/>
      <c r="T54" s="576"/>
      <c r="U54" s="576"/>
      <c r="V54" s="576"/>
      <c r="W54" s="58"/>
      <c r="X54" s="392"/>
      <c r="Y54" s="56"/>
      <c r="Z54" s="369"/>
      <c r="AA54" s="56"/>
      <c r="AB54" s="56"/>
      <c r="AC54" s="56"/>
      <c r="AD54" s="56"/>
      <c r="AE54" s="56"/>
      <c r="AF54" s="59"/>
      <c r="AG54" s="15"/>
    </row>
    <row r="55" spans="1:33" s="3" customFormat="1" ht="15" hidden="1" customHeight="1" thickBot="1" x14ac:dyDescent="0.4">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15" customHeight="1" thickBot="1" x14ac:dyDescent="0.4">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4">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5" customHeight="1" x14ac:dyDescent="0.35">
      <c r="A58" s="572">
        <f>A46+1</f>
        <v>5</v>
      </c>
      <c r="B58" s="286">
        <f>B46+10</f>
        <v>51</v>
      </c>
      <c r="C58" s="644" t="str">
        <f>VLOOKUP(A58,INputs!$G$3:$O$22,7,FALSE)</f>
        <v>Sub Label-Specific People</v>
      </c>
      <c r="D58" s="47"/>
      <c r="E58" s="47"/>
      <c r="F58" s="603" t="s">
        <v>136</v>
      </c>
      <c r="G58" s="603"/>
      <c r="H58" s="603" t="s">
        <v>136</v>
      </c>
      <c r="I58" s="603"/>
      <c r="J58" s="605" t="str">
        <f>J$10</f>
        <v>Select a check box</v>
      </c>
      <c r="K58" s="605"/>
      <c r="L58" s="605" t="s">
        <v>136</v>
      </c>
      <c r="M58" s="605"/>
      <c r="N58" s="605"/>
      <c r="O58" s="605" t="s">
        <v>136</v>
      </c>
      <c r="P58" s="605"/>
      <c r="Q58" s="605"/>
      <c r="R58" s="607" t="s">
        <v>179</v>
      </c>
      <c r="S58" s="607"/>
      <c r="T58" s="397" t="s">
        <v>135</v>
      </c>
      <c r="U58" s="575" t="s">
        <v>180</v>
      </c>
      <c r="V58" s="575"/>
      <c r="W58" s="50"/>
      <c r="X58" s="391"/>
      <c r="Y58" s="581" t="s">
        <v>136</v>
      </c>
      <c r="Z58" s="581"/>
      <c r="AA58" s="51"/>
      <c r="AB58" s="603"/>
      <c r="AC58" s="603"/>
      <c r="AD58" s="48"/>
      <c r="AE58" s="49" t="s">
        <v>181</v>
      </c>
      <c r="AF58" s="52"/>
      <c r="AG58" s="20"/>
    </row>
    <row r="59" spans="1:33" s="13" customFormat="1" x14ac:dyDescent="0.35">
      <c r="A59" s="573"/>
      <c r="B59" s="286">
        <f>B58+1</f>
        <v>52</v>
      </c>
      <c r="C59" s="634"/>
      <c r="D59" s="8"/>
      <c r="E59" s="8"/>
      <c r="F59" s="208"/>
      <c r="G59" s="208"/>
      <c r="H59" s="208"/>
      <c r="I59" s="208"/>
      <c r="J59" s="376"/>
      <c r="K59" s="376"/>
      <c r="L59" s="376"/>
      <c r="M59" s="376"/>
      <c r="N59" s="376"/>
      <c r="O59" s="376"/>
      <c r="P59" s="376"/>
      <c r="Q59" s="376"/>
      <c r="R59" s="576"/>
      <c r="S59" s="576"/>
      <c r="T59" s="576"/>
      <c r="U59" s="396"/>
      <c r="V59" s="390" t="s">
        <v>137</v>
      </c>
      <c r="W59" s="216"/>
      <c r="X59" s="393"/>
      <c r="Y59" s="395"/>
      <c r="Z59" s="395"/>
      <c r="AA59" s="20"/>
      <c r="AB59" s="208"/>
      <c r="AC59" s="530" t="s">
        <v>136</v>
      </c>
      <c r="AD59" s="208"/>
      <c r="AE59" s="611"/>
      <c r="AF59" s="54"/>
      <c r="AG59" s="20"/>
    </row>
    <row r="60" spans="1:33" s="3" customFormat="1" ht="30.5" x14ac:dyDescent="0.35">
      <c r="A60" s="573"/>
      <c r="B60" s="286">
        <f t="shared" ref="B60:B66" si="4">B59+1</f>
        <v>53</v>
      </c>
      <c r="C60" s="634"/>
      <c r="E60" s="200" t="b">
        <v>1</v>
      </c>
      <c r="F60" s="3" t="s">
        <v>182</v>
      </c>
      <c r="H60" s="200" t="b">
        <v>0</v>
      </c>
      <c r="I60" s="210" t="s">
        <v>183</v>
      </c>
      <c r="J60" s="201" t="b">
        <v>0</v>
      </c>
      <c r="K60" s="202" t="s">
        <v>184</v>
      </c>
      <c r="L60" s="203" t="b">
        <v>0</v>
      </c>
      <c r="M60" s="9" t="s">
        <v>185</v>
      </c>
      <c r="N60" s="213"/>
      <c r="O60" s="203" t="b">
        <v>0</v>
      </c>
      <c r="P60" s="9" t="s">
        <v>186</v>
      </c>
      <c r="Q60" s="9"/>
      <c r="R60" s="576"/>
      <c r="S60" s="576"/>
      <c r="T60" s="576"/>
      <c r="U60" s="576" t="s">
        <v>28</v>
      </c>
      <c r="V60" s="576"/>
      <c r="W60" s="216"/>
      <c r="X60" s="204" t="b">
        <v>0</v>
      </c>
      <c r="Y60" s="205" t="s">
        <v>187</v>
      </c>
      <c r="Z60" s="371"/>
      <c r="AA60" s="15"/>
      <c r="AB60" s="529" t="b">
        <v>0</v>
      </c>
      <c r="AC60" s="389" t="s">
        <v>188</v>
      </c>
      <c r="AD60" s="15"/>
      <c r="AE60" s="611"/>
      <c r="AF60" s="53"/>
      <c r="AG60" s="15"/>
    </row>
    <row r="61" spans="1:33" s="3" customFormat="1" ht="35.15" customHeight="1" x14ac:dyDescent="0.35">
      <c r="A61" s="573"/>
      <c r="B61" s="286">
        <f t="shared" si="4"/>
        <v>54</v>
      </c>
      <c r="C61" s="634"/>
      <c r="E61" s="200" t="b">
        <v>1</v>
      </c>
      <c r="F61" s="196" t="s">
        <v>189</v>
      </c>
      <c r="H61" s="15"/>
      <c r="I61" s="210"/>
      <c r="J61" s="204" t="b">
        <v>1</v>
      </c>
      <c r="K61" s="606" t="s">
        <v>190</v>
      </c>
      <c r="L61" s="204" t="b">
        <v>0</v>
      </c>
      <c r="M61" s="205" t="s">
        <v>191</v>
      </c>
      <c r="N61" s="387">
        <v>44197</v>
      </c>
      <c r="O61" s="204" t="b">
        <v>0</v>
      </c>
      <c r="P61" s="205" t="s">
        <v>185</v>
      </c>
      <c r="Q61" s="205"/>
      <c r="R61" s="203" t="b">
        <v>0</v>
      </c>
      <c r="S61" s="9" t="s">
        <v>192</v>
      </c>
      <c r="T61" s="9" t="s">
        <v>135</v>
      </c>
      <c r="U61" s="204" t="b">
        <v>1</v>
      </c>
      <c r="V61" s="390" t="s">
        <v>193</v>
      </c>
      <c r="W61" s="215"/>
      <c r="X61" s="204" t="b">
        <v>0</v>
      </c>
      <c r="Y61" s="205" t="s">
        <v>194</v>
      </c>
      <c r="Z61" s="371"/>
      <c r="AA61" s="15"/>
      <c r="AB61" s="217"/>
      <c r="AC61" s="208" t="s">
        <v>137</v>
      </c>
      <c r="AD61" s="209"/>
      <c r="AE61" s="376" t="s">
        <v>195</v>
      </c>
      <c r="AF61" s="54"/>
      <c r="AG61" s="15"/>
    </row>
    <row r="62" spans="1:33" s="3" customFormat="1" ht="14.5" customHeight="1" x14ac:dyDescent="0.35">
      <c r="A62" s="573"/>
      <c r="B62" s="286">
        <f t="shared" si="4"/>
        <v>55</v>
      </c>
      <c r="C62" s="634"/>
      <c r="E62" s="200" t="b">
        <v>1</v>
      </c>
      <c r="F62" s="609" t="s">
        <v>196</v>
      </c>
      <c r="H62" s="200" t="b">
        <v>1</v>
      </c>
      <c r="I62" s="210" t="s">
        <v>197</v>
      </c>
      <c r="J62" s="205"/>
      <c r="K62" s="606"/>
      <c r="L62" s="203" t="b">
        <v>0</v>
      </c>
      <c r="M62" s="44" t="s">
        <v>198</v>
      </c>
      <c r="N62" s="211">
        <v>0</v>
      </c>
      <c r="O62" s="203" t="b">
        <v>0</v>
      </c>
      <c r="P62" s="9" t="s">
        <v>198</v>
      </c>
      <c r="Q62" s="211">
        <v>7</v>
      </c>
      <c r="R62" s="576"/>
      <c r="S62" s="576"/>
      <c r="T62" s="576"/>
      <c r="U62" s="577" t="s">
        <v>136</v>
      </c>
      <c r="V62" s="577"/>
      <c r="W62" s="577"/>
      <c r="X62" s="204" t="b">
        <v>1</v>
      </c>
      <c r="Y62" s="9" t="s">
        <v>199</v>
      </c>
      <c r="Z62" s="576" t="s">
        <v>393</v>
      </c>
      <c r="AA62" s="15"/>
      <c r="AB62" s="217"/>
      <c r="AC62" s="22"/>
      <c r="AD62" s="15"/>
      <c r="AE62" s="646"/>
      <c r="AF62" s="53"/>
      <c r="AG62" s="15"/>
    </row>
    <row r="63" spans="1:33" s="3" customFormat="1" ht="30" customHeight="1" x14ac:dyDescent="0.35">
      <c r="A63" s="573"/>
      <c r="B63" s="286">
        <f t="shared" si="4"/>
        <v>56</v>
      </c>
      <c r="C63" s="634"/>
      <c r="F63" s="609"/>
      <c r="H63" s="15"/>
      <c r="I63" s="15"/>
      <c r="J63" s="205"/>
      <c r="K63" s="9"/>
      <c r="L63" s="15"/>
      <c r="M63" s="15"/>
      <c r="N63" s="218"/>
      <c r="O63" s="9"/>
      <c r="P63" s="9"/>
      <c r="Q63" s="9"/>
      <c r="R63" s="576"/>
      <c r="S63" s="576"/>
      <c r="T63" s="576"/>
      <c r="U63" s="204" t="b">
        <v>0</v>
      </c>
      <c r="V63" s="205" t="s">
        <v>200</v>
      </c>
      <c r="W63" s="216"/>
      <c r="X63" s="389"/>
      <c r="Y63" s="15"/>
      <c r="Z63" s="576"/>
      <c r="AA63" s="15"/>
      <c r="AB63" s="15"/>
      <c r="AC63" s="15"/>
      <c r="AD63" s="15"/>
      <c r="AE63" s="646"/>
      <c r="AF63" s="53"/>
      <c r="AG63" s="15"/>
    </row>
    <row r="64" spans="1:33" s="3" customFormat="1" ht="30.65" customHeight="1" x14ac:dyDescent="0.35">
      <c r="A64" s="573"/>
      <c r="B64" s="286">
        <f t="shared" si="4"/>
        <v>57</v>
      </c>
      <c r="C64" s="634"/>
      <c r="E64"/>
      <c r="H64" s="15"/>
      <c r="I64" s="15"/>
      <c r="J64" s="373"/>
      <c r="K64" s="213"/>
      <c r="L64" s="213"/>
      <c r="M64" s="213"/>
      <c r="N64" s="213"/>
      <c r="O64" s="9"/>
      <c r="P64" s="9"/>
      <c r="Q64" s="9"/>
      <c r="R64" s="203" t="b">
        <v>0</v>
      </c>
      <c r="S64" s="9" t="s">
        <v>201</v>
      </c>
      <c r="T64" s="9" t="s">
        <v>135</v>
      </c>
      <c r="U64" s="576"/>
      <c r="V64" s="576"/>
      <c r="X64" s="389"/>
      <c r="Y64" s="15"/>
      <c r="Z64" s="368"/>
      <c r="AA64" s="15"/>
      <c r="AB64" s="15"/>
      <c r="AC64" s="15"/>
      <c r="AD64" s="15"/>
      <c r="AE64" s="15"/>
      <c r="AF64" s="53"/>
      <c r="AG64" s="15"/>
    </row>
    <row r="65" spans="1:33" s="3" customFormat="1" x14ac:dyDescent="0.35">
      <c r="A65" s="573"/>
      <c r="B65" s="286">
        <f t="shared" si="4"/>
        <v>58</v>
      </c>
      <c r="C65" s="634"/>
      <c r="E65"/>
      <c r="H65" s="212"/>
      <c r="I65" s="15"/>
      <c r="J65" s="373"/>
      <c r="K65" s="213"/>
      <c r="L65" s="213"/>
      <c r="M65" s="213"/>
      <c r="N65" s="213"/>
      <c r="O65" s="9"/>
      <c r="P65" s="9"/>
      <c r="Q65" s="9"/>
      <c r="R65" s="576"/>
      <c r="S65" s="576"/>
      <c r="T65" s="576"/>
      <c r="U65" s="204" t="b">
        <v>0</v>
      </c>
      <c r="V65" s="9" t="s">
        <v>202</v>
      </c>
      <c r="W65" s="9"/>
      <c r="X65" s="389"/>
      <c r="Y65" s="15"/>
      <c r="Z65" s="368"/>
      <c r="AA65" s="15"/>
      <c r="AB65" s="15"/>
      <c r="AC65" s="15"/>
      <c r="AD65" s="15"/>
      <c r="AE65" s="15"/>
      <c r="AF65" s="53"/>
      <c r="AG65" s="15"/>
    </row>
    <row r="66" spans="1:33" s="3" customFormat="1" ht="30" customHeight="1" thickBot="1" x14ac:dyDescent="0.4">
      <c r="A66" s="574"/>
      <c r="B66" s="286">
        <f t="shared" si="4"/>
        <v>59</v>
      </c>
      <c r="C66" s="635"/>
      <c r="D66" s="55"/>
      <c r="E66" s="55"/>
      <c r="F66" s="55"/>
      <c r="G66" s="55"/>
      <c r="H66" s="56"/>
      <c r="I66" s="56"/>
      <c r="J66" s="374"/>
      <c r="K66" s="57"/>
      <c r="L66" s="57"/>
      <c r="M66" s="57"/>
      <c r="N66" s="57"/>
      <c r="O66" s="58"/>
      <c r="P66" s="58"/>
      <c r="Q66" s="58"/>
      <c r="R66" s="576"/>
      <c r="S66" s="576"/>
      <c r="T66" s="576"/>
      <c r="U66" s="576"/>
      <c r="V66" s="576"/>
      <c r="W66" s="58"/>
      <c r="X66" s="392"/>
      <c r="Y66" s="56"/>
      <c r="Z66" s="369"/>
      <c r="AA66" s="56"/>
      <c r="AB66" s="56"/>
      <c r="AC66" s="56"/>
      <c r="AD66" s="56"/>
      <c r="AE66" s="56"/>
      <c r="AF66" s="59"/>
      <c r="AG66" s="15"/>
    </row>
    <row r="67" spans="1:33" s="3" customFormat="1" ht="15" hidden="1" customHeight="1" thickBot="1" x14ac:dyDescent="0.4">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15" customHeight="1" thickBot="1" x14ac:dyDescent="0.4">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4">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5" customHeight="1" x14ac:dyDescent="0.35">
      <c r="A70" s="572">
        <f>A58+1</f>
        <v>6</v>
      </c>
      <c r="B70" s="286">
        <f>B58+10</f>
        <v>61</v>
      </c>
      <c r="C70" s="644" t="str">
        <f>VLOOKUP(A70,INputs!$G$3:$O$22,7,FALSE)</f>
        <v>Sub Label-Internal exception</v>
      </c>
      <c r="D70" s="47"/>
      <c r="E70" s="47"/>
      <c r="F70" s="603" t="s">
        <v>136</v>
      </c>
      <c r="G70" s="603"/>
      <c r="H70" s="603" t="s">
        <v>136</v>
      </c>
      <c r="I70" s="603"/>
      <c r="J70" s="605" t="str">
        <f>J$10</f>
        <v>Select a check box</v>
      </c>
      <c r="K70" s="605"/>
      <c r="L70" s="605" t="s">
        <v>136</v>
      </c>
      <c r="M70" s="605"/>
      <c r="N70" s="605"/>
      <c r="O70" s="605" t="s">
        <v>136</v>
      </c>
      <c r="P70" s="605"/>
      <c r="Q70" s="605"/>
      <c r="R70" s="607" t="s">
        <v>179</v>
      </c>
      <c r="S70" s="607"/>
      <c r="T70" s="397" t="s">
        <v>135</v>
      </c>
      <c r="U70" s="575" t="s">
        <v>180</v>
      </c>
      <c r="V70" s="575"/>
      <c r="W70" s="50"/>
      <c r="X70" s="391"/>
      <c r="Y70" s="581" t="s">
        <v>136</v>
      </c>
      <c r="Z70" s="581"/>
      <c r="AA70" s="51"/>
      <c r="AB70" s="603"/>
      <c r="AC70" s="603"/>
      <c r="AD70" s="48"/>
      <c r="AE70" s="49" t="s">
        <v>181</v>
      </c>
      <c r="AF70" s="52"/>
      <c r="AG70" s="20"/>
    </row>
    <row r="71" spans="1:33" s="13" customFormat="1" x14ac:dyDescent="0.35">
      <c r="A71" s="573"/>
      <c r="B71" s="286">
        <f>B70+1</f>
        <v>62</v>
      </c>
      <c r="C71" s="634"/>
      <c r="D71" s="8"/>
      <c r="E71" s="8"/>
      <c r="F71" s="208"/>
      <c r="G71" s="208"/>
      <c r="H71" s="208"/>
      <c r="I71" s="208"/>
      <c r="J71" s="376"/>
      <c r="K71" s="376"/>
      <c r="L71" s="376"/>
      <c r="M71" s="376"/>
      <c r="N71" s="376"/>
      <c r="O71" s="376"/>
      <c r="P71" s="376"/>
      <c r="Q71" s="376"/>
      <c r="R71" s="576"/>
      <c r="S71" s="576"/>
      <c r="T71" s="576"/>
      <c r="U71" s="396"/>
      <c r="V71" s="390" t="s">
        <v>137</v>
      </c>
      <c r="W71" s="216"/>
      <c r="X71" s="393"/>
      <c r="Y71" s="395"/>
      <c r="Z71" s="395"/>
      <c r="AA71" s="20"/>
      <c r="AB71" s="208"/>
      <c r="AC71" s="530" t="s">
        <v>136</v>
      </c>
      <c r="AD71" s="208"/>
      <c r="AE71" s="611"/>
      <c r="AF71" s="54"/>
      <c r="AG71" s="20"/>
    </row>
    <row r="72" spans="1:33" s="3" customFormat="1" ht="30.5" x14ac:dyDescent="0.35">
      <c r="A72" s="573"/>
      <c r="B72" s="286">
        <f t="shared" ref="B72:B78" si="5">B71+1</f>
        <v>63</v>
      </c>
      <c r="C72" s="634"/>
      <c r="E72" s="200" t="b">
        <v>0</v>
      </c>
      <c r="F72" s="3" t="s">
        <v>182</v>
      </c>
      <c r="H72" s="200" t="b">
        <v>0</v>
      </c>
      <c r="I72" s="210" t="s">
        <v>183</v>
      </c>
      <c r="J72" s="201" t="b">
        <v>0</v>
      </c>
      <c r="K72" s="202" t="s">
        <v>184</v>
      </c>
      <c r="L72" s="203" t="b">
        <v>0</v>
      </c>
      <c r="M72" s="9" t="s">
        <v>185</v>
      </c>
      <c r="N72" s="213"/>
      <c r="O72" s="203" t="b">
        <v>0</v>
      </c>
      <c r="P72" s="9" t="s">
        <v>186</v>
      </c>
      <c r="Q72" s="9"/>
      <c r="R72" s="576"/>
      <c r="S72" s="576"/>
      <c r="T72" s="576"/>
      <c r="U72" s="576"/>
      <c r="V72" s="576"/>
      <c r="W72" s="216"/>
      <c r="X72" s="204" t="b">
        <v>0</v>
      </c>
      <c r="Y72" s="205" t="s">
        <v>187</v>
      </c>
      <c r="Z72" s="371"/>
      <c r="AA72" s="389"/>
      <c r="AB72" s="529" t="b">
        <v>0</v>
      </c>
      <c r="AC72" s="389" t="s">
        <v>188</v>
      </c>
      <c r="AD72" s="15"/>
      <c r="AE72" s="611"/>
      <c r="AF72" s="53"/>
      <c r="AG72" s="15"/>
    </row>
    <row r="73" spans="1:33" s="3" customFormat="1" ht="35.15" customHeight="1" x14ac:dyDescent="0.35">
      <c r="A73" s="573"/>
      <c r="B73" s="286">
        <f t="shared" si="5"/>
        <v>64</v>
      </c>
      <c r="C73" s="634"/>
      <c r="E73" s="200" t="b">
        <v>1</v>
      </c>
      <c r="F73" s="196" t="s">
        <v>189</v>
      </c>
      <c r="H73" s="15"/>
      <c r="I73" s="210"/>
      <c r="J73" s="204" t="b">
        <v>0</v>
      </c>
      <c r="K73" s="606"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5" customHeight="1" x14ac:dyDescent="0.35">
      <c r="A74" s="573"/>
      <c r="B74" s="286">
        <f t="shared" si="5"/>
        <v>65</v>
      </c>
      <c r="C74" s="634"/>
      <c r="E74" s="200" t="b">
        <v>0</v>
      </c>
      <c r="F74" s="609" t="s">
        <v>196</v>
      </c>
      <c r="H74" s="200" t="b">
        <v>0</v>
      </c>
      <c r="I74" s="210" t="s">
        <v>197</v>
      </c>
      <c r="J74" s="205"/>
      <c r="K74" s="606"/>
      <c r="L74" s="203" t="b">
        <v>0</v>
      </c>
      <c r="M74" s="44" t="s">
        <v>198</v>
      </c>
      <c r="N74" s="211">
        <v>6</v>
      </c>
      <c r="O74" s="203" t="b">
        <v>0</v>
      </c>
      <c r="P74" s="9" t="s">
        <v>198</v>
      </c>
      <c r="Q74" s="211">
        <v>7</v>
      </c>
      <c r="R74" s="576"/>
      <c r="S74" s="576"/>
      <c r="T74" s="576"/>
      <c r="U74" s="577" t="s">
        <v>136</v>
      </c>
      <c r="V74" s="577"/>
      <c r="W74" s="577"/>
      <c r="X74" s="204" t="b">
        <v>1</v>
      </c>
      <c r="Y74" s="9" t="s">
        <v>199</v>
      </c>
      <c r="Z74" s="576" t="s">
        <v>393</v>
      </c>
      <c r="AA74" s="15"/>
      <c r="AB74" s="217"/>
      <c r="AC74" s="22"/>
      <c r="AD74" s="15"/>
      <c r="AE74" s="646"/>
      <c r="AF74" s="53"/>
      <c r="AG74" s="15"/>
    </row>
    <row r="75" spans="1:33" s="3" customFormat="1" x14ac:dyDescent="0.35">
      <c r="A75" s="573"/>
      <c r="B75" s="286">
        <f t="shared" si="5"/>
        <v>66</v>
      </c>
      <c r="C75" s="634"/>
      <c r="F75" s="609"/>
      <c r="H75" s="15"/>
      <c r="I75" s="15"/>
      <c r="J75" s="205"/>
      <c r="K75" s="9"/>
      <c r="L75" s="15"/>
      <c r="M75" s="15"/>
      <c r="N75" s="218"/>
      <c r="O75" s="9"/>
      <c r="P75" s="9"/>
      <c r="Q75" s="9"/>
      <c r="R75" s="576"/>
      <c r="S75" s="576"/>
      <c r="T75" s="576"/>
      <c r="U75" s="204" t="b">
        <v>0</v>
      </c>
      <c r="V75" s="205" t="s">
        <v>200</v>
      </c>
      <c r="W75" s="216"/>
      <c r="X75" s="389"/>
      <c r="Y75" s="15"/>
      <c r="Z75" s="576"/>
      <c r="AA75" s="15"/>
      <c r="AB75" s="15"/>
      <c r="AC75" s="15"/>
      <c r="AD75" s="15"/>
      <c r="AE75" s="646"/>
      <c r="AF75" s="53"/>
      <c r="AG75" s="15"/>
    </row>
    <row r="76" spans="1:33" s="3" customFormat="1" ht="30" customHeight="1" x14ac:dyDescent="0.35">
      <c r="A76" s="573"/>
      <c r="B76" s="286">
        <f t="shared" si="5"/>
        <v>67</v>
      </c>
      <c r="C76" s="634"/>
      <c r="E76"/>
      <c r="H76" s="15"/>
      <c r="I76" s="15"/>
      <c r="J76" s="373"/>
      <c r="K76" s="213"/>
      <c r="L76" s="213"/>
      <c r="M76" s="213"/>
      <c r="N76" s="213"/>
      <c r="O76" s="9"/>
      <c r="P76" s="9"/>
      <c r="Q76" s="9"/>
      <c r="R76" s="203" t="b">
        <v>0</v>
      </c>
      <c r="S76" s="9" t="s">
        <v>201</v>
      </c>
      <c r="T76" s="9" t="s">
        <v>135</v>
      </c>
      <c r="U76" s="576"/>
      <c r="V76" s="576"/>
      <c r="X76" s="389"/>
      <c r="Y76" s="15"/>
      <c r="Z76" s="368"/>
      <c r="AA76" s="15"/>
      <c r="AB76" s="15"/>
      <c r="AC76" s="15"/>
      <c r="AD76" s="15"/>
      <c r="AE76" s="15"/>
      <c r="AF76" s="53"/>
      <c r="AG76" s="15"/>
    </row>
    <row r="77" spans="1:33" s="3" customFormat="1" x14ac:dyDescent="0.35">
      <c r="A77" s="573"/>
      <c r="B77" s="286">
        <f t="shared" si="5"/>
        <v>68</v>
      </c>
      <c r="C77" s="634"/>
      <c r="E77"/>
      <c r="H77" s="212"/>
      <c r="I77" s="15"/>
      <c r="J77" s="373"/>
      <c r="K77" s="213"/>
      <c r="L77" s="213"/>
      <c r="M77" s="213"/>
      <c r="N77" s="213"/>
      <c r="O77" s="9"/>
      <c r="P77" s="9"/>
      <c r="Q77" s="9"/>
      <c r="R77" s="576"/>
      <c r="S77" s="576"/>
      <c r="T77" s="576"/>
      <c r="U77" s="204" t="b">
        <v>0</v>
      </c>
      <c r="V77" s="9" t="s">
        <v>202</v>
      </c>
      <c r="W77" s="9"/>
      <c r="X77" s="389"/>
      <c r="Y77" s="15"/>
      <c r="Z77" s="368"/>
      <c r="AA77" s="15"/>
      <c r="AB77" s="15"/>
      <c r="AC77" s="15"/>
      <c r="AD77" s="15"/>
      <c r="AE77" s="15"/>
      <c r="AF77" s="53"/>
      <c r="AG77" s="15"/>
    </row>
    <row r="78" spans="1:33" s="3" customFormat="1" ht="30" customHeight="1" thickBot="1" x14ac:dyDescent="0.4">
      <c r="A78" s="574"/>
      <c r="B78" s="286">
        <f t="shared" si="5"/>
        <v>69</v>
      </c>
      <c r="C78" s="635"/>
      <c r="D78" s="55"/>
      <c r="E78" s="55"/>
      <c r="F78" s="55"/>
      <c r="G78" s="55"/>
      <c r="H78" s="56"/>
      <c r="I78" s="56"/>
      <c r="J78" s="374"/>
      <c r="K78" s="57"/>
      <c r="L78" s="57"/>
      <c r="M78" s="57"/>
      <c r="N78" s="57"/>
      <c r="O78" s="58"/>
      <c r="P78" s="58"/>
      <c r="Q78" s="58"/>
      <c r="R78" s="576"/>
      <c r="S78" s="576"/>
      <c r="T78" s="576"/>
      <c r="U78" s="576"/>
      <c r="V78" s="576"/>
      <c r="W78" s="58"/>
      <c r="X78" s="392"/>
      <c r="Y78" s="56"/>
      <c r="Z78" s="369"/>
      <c r="AA78" s="56"/>
      <c r="AB78" s="56"/>
      <c r="AC78" s="56"/>
      <c r="AD78" s="56"/>
      <c r="AE78" s="56"/>
      <c r="AF78" s="59"/>
      <c r="AG78" s="15"/>
    </row>
    <row r="79" spans="1:33" s="3" customFormat="1" ht="15" hidden="1" customHeight="1" thickBot="1" x14ac:dyDescent="0.4">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15" customHeight="1" thickBot="1" x14ac:dyDescent="0.4">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4">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5" customHeight="1" x14ac:dyDescent="0.35">
      <c r="A82" s="572">
        <f>A70+1</f>
        <v>7</v>
      </c>
      <c r="B82" s="286">
        <f>B70+10</f>
        <v>71</v>
      </c>
      <c r="C82" s="644" t="str">
        <f>VLOOKUP(A82,INputs!$G$3:$O$22,7,FALSE)</f>
        <v>Parent Label-Highly Confidential</v>
      </c>
      <c r="D82" s="47"/>
      <c r="E82" s="47"/>
      <c r="F82" s="645" t="s">
        <v>203</v>
      </c>
      <c r="G82" s="645"/>
      <c r="H82" s="645" t="s">
        <v>136</v>
      </c>
      <c r="I82" s="645"/>
      <c r="J82" s="605" t="str">
        <f>J$10</f>
        <v>Select a check box</v>
      </c>
      <c r="K82" s="605"/>
      <c r="L82" s="605" t="s">
        <v>136</v>
      </c>
      <c r="M82" s="605"/>
      <c r="N82" s="605"/>
      <c r="O82" s="605" t="s">
        <v>203</v>
      </c>
      <c r="P82" s="605"/>
      <c r="Q82" s="605"/>
      <c r="R82" s="607" t="s">
        <v>179</v>
      </c>
      <c r="S82" s="607"/>
      <c r="T82" s="397" t="s">
        <v>135</v>
      </c>
      <c r="U82" s="575" t="s">
        <v>180</v>
      </c>
      <c r="V82" s="575"/>
      <c r="W82" s="50"/>
      <c r="X82" s="391"/>
      <c r="Y82" s="581" t="s">
        <v>136</v>
      </c>
      <c r="Z82" s="581"/>
      <c r="AA82" s="51"/>
      <c r="AB82" s="603"/>
      <c r="AC82" s="603"/>
      <c r="AD82" s="48"/>
      <c r="AE82" s="49" t="s">
        <v>181</v>
      </c>
      <c r="AF82" s="52"/>
      <c r="AG82" s="20"/>
    </row>
    <row r="83" spans="1:33" s="13" customFormat="1" x14ac:dyDescent="0.35">
      <c r="A83" s="573"/>
      <c r="B83" s="286">
        <f>B82+1</f>
        <v>72</v>
      </c>
      <c r="C83" s="634"/>
      <c r="D83" s="8"/>
      <c r="E83" s="8"/>
      <c r="F83" s="8"/>
      <c r="G83" s="8"/>
      <c r="H83" s="8"/>
      <c r="I83" s="8"/>
      <c r="J83" s="376"/>
      <c r="K83" s="376"/>
      <c r="L83" s="376"/>
      <c r="M83" s="376"/>
      <c r="N83" s="376"/>
      <c r="O83" s="376"/>
      <c r="P83" s="376"/>
      <c r="Q83" s="376"/>
      <c r="R83" s="576"/>
      <c r="S83" s="576"/>
      <c r="T83" s="576"/>
      <c r="U83" s="396"/>
      <c r="V83" s="390" t="s">
        <v>137</v>
      </c>
      <c r="W83" s="216"/>
      <c r="X83" s="393"/>
      <c r="Y83" s="395"/>
      <c r="Z83" s="395"/>
      <c r="AA83" s="20"/>
      <c r="AB83" s="208"/>
      <c r="AC83" s="530" t="s">
        <v>136</v>
      </c>
      <c r="AD83" s="208"/>
      <c r="AE83" s="611"/>
      <c r="AF83" s="54"/>
      <c r="AG83" s="20"/>
    </row>
    <row r="84" spans="1:33" s="3" customFormat="1" ht="30.5" x14ac:dyDescent="0.35">
      <c r="A84" s="573"/>
      <c r="B84" s="286">
        <f t="shared" ref="B84:B90" si="6">B83+1</f>
        <v>73</v>
      </c>
      <c r="C84" s="634"/>
      <c r="E84" s="200" t="b">
        <v>0</v>
      </c>
      <c r="F84" s="3" t="s">
        <v>182</v>
      </c>
      <c r="H84" s="200" t="b">
        <v>0</v>
      </c>
      <c r="I84" s="210" t="s">
        <v>183</v>
      </c>
      <c r="J84" s="201" t="b">
        <v>0</v>
      </c>
      <c r="K84" s="202" t="s">
        <v>184</v>
      </c>
      <c r="L84" s="203" t="b">
        <v>0</v>
      </c>
      <c r="M84" s="9" t="s">
        <v>185</v>
      </c>
      <c r="N84" s="213"/>
      <c r="O84" s="203" t="b">
        <v>0</v>
      </c>
      <c r="P84" s="9" t="s">
        <v>186</v>
      </c>
      <c r="Q84" s="9"/>
      <c r="R84" s="576"/>
      <c r="S84" s="576"/>
      <c r="T84" s="576"/>
      <c r="U84" s="576"/>
      <c r="V84" s="576"/>
      <c r="W84" s="216"/>
      <c r="X84" s="204" t="b">
        <v>0</v>
      </c>
      <c r="Y84" s="205" t="s">
        <v>187</v>
      </c>
      <c r="Z84" s="371"/>
      <c r="AA84" s="15"/>
      <c r="AB84" s="529" t="b">
        <v>0</v>
      </c>
      <c r="AC84" s="389" t="s">
        <v>188</v>
      </c>
      <c r="AD84" s="15"/>
      <c r="AE84" s="611"/>
      <c r="AF84" s="53"/>
      <c r="AG84" s="15"/>
    </row>
    <row r="85" spans="1:33" s="3" customFormat="1" ht="35.15" customHeight="1" x14ac:dyDescent="0.35">
      <c r="A85" s="573"/>
      <c r="B85" s="286">
        <f t="shared" si="6"/>
        <v>74</v>
      </c>
      <c r="C85" s="634"/>
      <c r="E85" s="200" t="b">
        <v>0</v>
      </c>
      <c r="F85" s="196" t="s">
        <v>189</v>
      </c>
      <c r="H85" s="15"/>
      <c r="I85" s="210"/>
      <c r="J85" s="204" t="b">
        <v>0</v>
      </c>
      <c r="K85" s="606"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5" customHeight="1" x14ac:dyDescent="0.35">
      <c r="A86" s="573"/>
      <c r="B86" s="286">
        <f t="shared" si="6"/>
        <v>75</v>
      </c>
      <c r="C86" s="634"/>
      <c r="E86" s="200" t="b">
        <v>0</v>
      </c>
      <c r="F86" s="609" t="s">
        <v>196</v>
      </c>
      <c r="H86" s="200" t="b">
        <v>0</v>
      </c>
      <c r="I86" s="210" t="s">
        <v>197</v>
      </c>
      <c r="J86" s="205"/>
      <c r="K86" s="606"/>
      <c r="L86" s="203" t="b">
        <v>0</v>
      </c>
      <c r="M86" s="44" t="s">
        <v>198</v>
      </c>
      <c r="N86" s="211">
        <v>6</v>
      </c>
      <c r="O86" s="203" t="b">
        <v>0</v>
      </c>
      <c r="P86" s="9" t="s">
        <v>198</v>
      </c>
      <c r="Q86" s="211">
        <v>7</v>
      </c>
      <c r="R86" s="576"/>
      <c r="S86" s="576"/>
      <c r="T86" s="576"/>
      <c r="U86" s="577" t="s">
        <v>136</v>
      </c>
      <c r="V86" s="577"/>
      <c r="W86" s="577"/>
      <c r="X86" s="204" t="b">
        <v>0</v>
      </c>
      <c r="Y86" s="9" t="s">
        <v>199</v>
      </c>
      <c r="Z86" s="576"/>
      <c r="AA86" s="15"/>
      <c r="AB86" s="217"/>
      <c r="AC86" s="22"/>
      <c r="AD86" s="15"/>
      <c r="AE86" s="646"/>
      <c r="AF86" s="53"/>
      <c r="AG86" s="15"/>
    </row>
    <row r="87" spans="1:33" s="3" customFormat="1" x14ac:dyDescent="0.35">
      <c r="A87" s="573"/>
      <c r="B87" s="286">
        <f t="shared" si="6"/>
        <v>76</v>
      </c>
      <c r="C87" s="634"/>
      <c r="F87" s="609"/>
      <c r="H87" s="15"/>
      <c r="I87" s="15"/>
      <c r="J87" s="205"/>
      <c r="K87" s="9"/>
      <c r="L87" s="15"/>
      <c r="M87" s="15"/>
      <c r="N87" s="218"/>
      <c r="O87" s="9"/>
      <c r="P87" s="9"/>
      <c r="Q87" s="9"/>
      <c r="R87" s="576"/>
      <c r="S87" s="576"/>
      <c r="T87" s="576"/>
      <c r="U87" s="204" t="b">
        <v>0</v>
      </c>
      <c r="V87" s="205" t="s">
        <v>200</v>
      </c>
      <c r="W87" s="216"/>
      <c r="X87" s="389"/>
      <c r="Y87" s="15"/>
      <c r="Z87" s="576"/>
      <c r="AA87" s="15"/>
      <c r="AB87" s="15"/>
      <c r="AC87" s="15"/>
      <c r="AD87" s="15"/>
      <c r="AE87" s="646"/>
      <c r="AF87" s="53"/>
      <c r="AG87" s="15"/>
    </row>
    <row r="88" spans="1:33" s="3" customFormat="1" ht="30" customHeight="1" x14ac:dyDescent="0.35">
      <c r="A88" s="573"/>
      <c r="B88" s="286">
        <f t="shared" si="6"/>
        <v>77</v>
      </c>
      <c r="C88" s="634"/>
      <c r="E88"/>
      <c r="H88" s="15"/>
      <c r="I88" s="15"/>
      <c r="J88" s="373"/>
      <c r="K88" s="213"/>
      <c r="L88" s="213"/>
      <c r="M88" s="213"/>
      <c r="N88" s="213"/>
      <c r="O88" s="9"/>
      <c r="P88" s="9"/>
      <c r="Q88" s="9"/>
      <c r="R88" s="203" t="b">
        <v>0</v>
      </c>
      <c r="S88" s="9" t="s">
        <v>201</v>
      </c>
      <c r="T88" s="9" t="s">
        <v>135</v>
      </c>
      <c r="U88" s="576"/>
      <c r="V88" s="576"/>
      <c r="X88" s="389"/>
      <c r="Y88" s="15"/>
      <c r="Z88" s="368"/>
      <c r="AA88" s="15"/>
      <c r="AB88" s="15"/>
      <c r="AC88" s="15"/>
      <c r="AD88" s="15"/>
      <c r="AE88" s="15"/>
      <c r="AF88" s="53"/>
      <c r="AG88" s="15"/>
    </row>
    <row r="89" spans="1:33" s="3" customFormat="1" x14ac:dyDescent="0.35">
      <c r="A89" s="573"/>
      <c r="B89" s="286">
        <f t="shared" si="6"/>
        <v>78</v>
      </c>
      <c r="C89" s="634"/>
      <c r="E89"/>
      <c r="H89" s="212"/>
      <c r="I89" s="15"/>
      <c r="J89" s="373"/>
      <c r="K89" s="213"/>
      <c r="L89" s="213"/>
      <c r="M89" s="213"/>
      <c r="N89" s="213"/>
      <c r="O89" s="9"/>
      <c r="P89" s="9"/>
      <c r="Q89" s="9"/>
      <c r="R89" s="576"/>
      <c r="S89" s="576"/>
      <c r="T89" s="576"/>
      <c r="U89" s="204" t="b">
        <v>0</v>
      </c>
      <c r="V89" s="9" t="s">
        <v>202</v>
      </c>
      <c r="W89" s="9"/>
      <c r="X89" s="389"/>
      <c r="Y89" s="15"/>
      <c r="Z89" s="368"/>
      <c r="AA89" s="15"/>
      <c r="AB89" s="15"/>
      <c r="AC89" s="15"/>
      <c r="AD89" s="15"/>
      <c r="AE89" s="15"/>
      <c r="AF89" s="53"/>
      <c r="AG89" s="15"/>
    </row>
    <row r="90" spans="1:33" s="3" customFormat="1" ht="30" customHeight="1" thickBot="1" x14ac:dyDescent="0.4">
      <c r="A90" s="574"/>
      <c r="B90" s="286">
        <f t="shared" si="6"/>
        <v>79</v>
      </c>
      <c r="C90" s="635"/>
      <c r="D90" s="55"/>
      <c r="E90" s="55"/>
      <c r="F90" s="55"/>
      <c r="G90" s="55"/>
      <c r="H90" s="56"/>
      <c r="I90" s="56"/>
      <c r="J90" s="374"/>
      <c r="K90" s="57"/>
      <c r="L90" s="57"/>
      <c r="M90" s="57"/>
      <c r="N90" s="57"/>
      <c r="O90" s="58"/>
      <c r="P90" s="58"/>
      <c r="Q90" s="58"/>
      <c r="R90" s="576"/>
      <c r="S90" s="576"/>
      <c r="T90" s="576"/>
      <c r="U90" s="576"/>
      <c r="V90" s="576"/>
      <c r="W90" s="58"/>
      <c r="X90" s="392"/>
      <c r="Y90" s="56"/>
      <c r="Z90" s="369"/>
      <c r="AA90" s="56"/>
      <c r="AB90" s="56"/>
      <c r="AC90" s="56"/>
      <c r="AD90" s="56"/>
      <c r="AE90" s="56"/>
      <c r="AF90" s="59"/>
      <c r="AG90" s="15"/>
    </row>
    <row r="91" spans="1:33" s="3" customFormat="1" ht="15" hidden="1" customHeight="1" thickBot="1" x14ac:dyDescent="0.4">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15" customHeight="1" thickBot="1" x14ac:dyDescent="0.4">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4">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5" customHeight="1" x14ac:dyDescent="0.35">
      <c r="A94" s="572">
        <f>A82+1</f>
        <v>8</v>
      </c>
      <c r="B94" s="286">
        <f>B82+10</f>
        <v>81</v>
      </c>
      <c r="C94" s="644" t="str">
        <f>VLOOKUP(A94,INputs!$G$3:$O$22,7,FALSE)</f>
        <v>Sub Label-All Employees</v>
      </c>
      <c r="D94" s="47"/>
      <c r="E94" s="47"/>
      <c r="F94" s="603" t="s">
        <v>136</v>
      </c>
      <c r="G94" s="603"/>
      <c r="H94" s="603" t="s">
        <v>136</v>
      </c>
      <c r="I94" s="603"/>
      <c r="J94" s="605" t="str">
        <f>J$10</f>
        <v>Select a check box</v>
      </c>
      <c r="K94" s="605"/>
      <c r="L94" s="605" t="s">
        <v>136</v>
      </c>
      <c r="M94" s="605"/>
      <c r="N94" s="605"/>
      <c r="O94" s="605" t="s">
        <v>136</v>
      </c>
      <c r="P94" s="605"/>
      <c r="Q94" s="605"/>
      <c r="R94" s="607" t="s">
        <v>179</v>
      </c>
      <c r="S94" s="607"/>
      <c r="T94" s="397" t="s">
        <v>135</v>
      </c>
      <c r="U94" s="575" t="s">
        <v>180</v>
      </c>
      <c r="V94" s="575"/>
      <c r="W94" s="50"/>
      <c r="X94" s="391"/>
      <c r="Y94" s="581" t="s">
        <v>136</v>
      </c>
      <c r="Z94" s="581"/>
      <c r="AA94" s="51"/>
      <c r="AB94" s="603"/>
      <c r="AC94" s="603"/>
      <c r="AD94" s="48"/>
      <c r="AE94" s="49" t="s">
        <v>181</v>
      </c>
      <c r="AF94" s="52"/>
      <c r="AG94" s="20"/>
    </row>
    <row r="95" spans="1:33" s="13" customFormat="1" x14ac:dyDescent="0.35">
      <c r="A95" s="573"/>
      <c r="B95" s="286">
        <f>B94+1</f>
        <v>82</v>
      </c>
      <c r="C95" s="634"/>
      <c r="D95" s="8"/>
      <c r="E95" s="8"/>
      <c r="F95" s="208"/>
      <c r="G95" s="208"/>
      <c r="H95" s="208"/>
      <c r="I95" s="208"/>
      <c r="J95" s="376"/>
      <c r="K95" s="376"/>
      <c r="L95" s="376"/>
      <c r="M95" s="376"/>
      <c r="N95" s="376"/>
      <c r="O95" s="376"/>
      <c r="P95" s="376"/>
      <c r="Q95" s="376"/>
      <c r="R95" s="576" t="s">
        <v>392</v>
      </c>
      <c r="S95" s="576"/>
      <c r="T95" s="576"/>
      <c r="U95" s="396"/>
      <c r="V95" s="390" t="s">
        <v>137</v>
      </c>
      <c r="W95" s="216"/>
      <c r="X95" s="393"/>
      <c r="Y95" s="395"/>
      <c r="Z95" s="395"/>
      <c r="AA95" s="20"/>
      <c r="AB95" s="208"/>
      <c r="AC95" s="530" t="s">
        <v>136</v>
      </c>
      <c r="AD95" s="208"/>
      <c r="AE95" s="611" t="s">
        <v>396</v>
      </c>
      <c r="AF95" s="54"/>
      <c r="AG95" s="20"/>
    </row>
    <row r="96" spans="1:33" s="3" customFormat="1" ht="30.5" x14ac:dyDescent="0.35">
      <c r="A96" s="573"/>
      <c r="B96" s="286">
        <f t="shared" ref="B96:B102" si="7">B95+1</f>
        <v>83</v>
      </c>
      <c r="C96" s="634"/>
      <c r="E96" s="200" t="b">
        <v>1</v>
      </c>
      <c r="F96" s="3" t="s">
        <v>182</v>
      </c>
      <c r="H96" s="200" t="b">
        <v>0</v>
      </c>
      <c r="I96" s="210" t="s">
        <v>183</v>
      </c>
      <c r="J96" s="201" t="b">
        <v>1</v>
      </c>
      <c r="K96" s="202" t="s">
        <v>184</v>
      </c>
      <c r="L96" s="203" t="b">
        <v>1</v>
      </c>
      <c r="M96" s="9" t="s">
        <v>185</v>
      </c>
      <c r="N96" s="213"/>
      <c r="O96" s="203" t="b">
        <v>1</v>
      </c>
      <c r="P96" s="9" t="s">
        <v>186</v>
      </c>
      <c r="Q96" s="9"/>
      <c r="R96" s="576"/>
      <c r="S96" s="576"/>
      <c r="T96" s="576"/>
      <c r="U96" s="576"/>
      <c r="V96" s="576"/>
      <c r="W96" s="216"/>
      <c r="X96" s="204" t="b">
        <v>0</v>
      </c>
      <c r="Y96" s="205" t="s">
        <v>187</v>
      </c>
      <c r="Z96" s="371"/>
      <c r="AA96" s="15"/>
      <c r="AB96" s="531" t="b">
        <v>1</v>
      </c>
      <c r="AC96" s="532" t="s">
        <v>188</v>
      </c>
      <c r="AD96" s="15"/>
      <c r="AE96" s="611"/>
      <c r="AF96" s="53"/>
      <c r="AG96" s="15"/>
    </row>
    <row r="97" spans="1:33" s="3" customFormat="1" ht="35.15" customHeight="1" x14ac:dyDescent="0.35">
      <c r="A97" s="573"/>
      <c r="B97" s="286">
        <f t="shared" si="7"/>
        <v>84</v>
      </c>
      <c r="C97" s="634"/>
      <c r="E97" s="200" t="b">
        <v>1</v>
      </c>
      <c r="F97" s="196" t="s">
        <v>189</v>
      </c>
      <c r="H97" s="15"/>
      <c r="I97" s="210"/>
      <c r="J97" s="204" t="b">
        <v>0</v>
      </c>
      <c r="K97" s="606" t="s">
        <v>190</v>
      </c>
      <c r="L97" s="204" t="b">
        <v>0</v>
      </c>
      <c r="M97" s="205" t="s">
        <v>191</v>
      </c>
      <c r="N97" s="387">
        <v>44197</v>
      </c>
      <c r="O97" s="204" t="b">
        <v>0</v>
      </c>
      <c r="P97" s="205" t="s">
        <v>185</v>
      </c>
      <c r="Q97" s="205"/>
      <c r="R97" s="203" t="b">
        <v>1</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5" customHeight="1" x14ac:dyDescent="0.35">
      <c r="A98" s="573"/>
      <c r="B98" s="286">
        <f t="shared" si="7"/>
        <v>85</v>
      </c>
      <c r="C98" s="634"/>
      <c r="E98" s="200" t="b">
        <v>0</v>
      </c>
      <c r="F98" s="609" t="s">
        <v>196</v>
      </c>
      <c r="H98" s="200" t="b">
        <v>1</v>
      </c>
      <c r="I98" s="210" t="s">
        <v>197</v>
      </c>
      <c r="J98" s="205"/>
      <c r="K98" s="606"/>
      <c r="L98" s="203" t="b">
        <v>0</v>
      </c>
      <c r="M98" s="44" t="s">
        <v>198</v>
      </c>
      <c r="N98" s="211">
        <v>6</v>
      </c>
      <c r="O98" s="203" t="b">
        <v>0</v>
      </c>
      <c r="P98" s="9" t="s">
        <v>198</v>
      </c>
      <c r="Q98" s="211">
        <v>7</v>
      </c>
      <c r="R98" s="576" t="s">
        <v>394</v>
      </c>
      <c r="S98" s="576"/>
      <c r="T98" s="576"/>
      <c r="U98" s="577" t="s">
        <v>136</v>
      </c>
      <c r="V98" s="577"/>
      <c r="W98" s="577"/>
      <c r="X98" s="204" t="b">
        <v>1</v>
      </c>
      <c r="Y98" s="9" t="s">
        <v>199</v>
      </c>
      <c r="Z98" s="576" t="s">
        <v>395</v>
      </c>
      <c r="AA98" s="15"/>
      <c r="AB98" s="217"/>
      <c r="AC98" s="22" t="s">
        <v>25</v>
      </c>
      <c r="AD98" s="15"/>
      <c r="AE98" s="646" t="s">
        <v>397</v>
      </c>
      <c r="AF98" s="53"/>
      <c r="AG98" s="15"/>
    </row>
    <row r="99" spans="1:33" s="3" customFormat="1" x14ac:dyDescent="0.35">
      <c r="A99" s="573"/>
      <c r="B99" s="286">
        <f t="shared" si="7"/>
        <v>86</v>
      </c>
      <c r="C99" s="634"/>
      <c r="F99" s="609"/>
      <c r="H99" s="15"/>
      <c r="I99" s="15"/>
      <c r="J99" s="205"/>
      <c r="K99" s="9"/>
      <c r="L99" s="15"/>
      <c r="M99" s="15"/>
      <c r="N99" s="218"/>
      <c r="O99" s="9"/>
      <c r="P99" s="9"/>
      <c r="Q99" s="9"/>
      <c r="R99" s="576"/>
      <c r="S99" s="576"/>
      <c r="T99" s="576"/>
      <c r="U99" s="204" t="b">
        <v>0</v>
      </c>
      <c r="V99" s="205" t="s">
        <v>200</v>
      </c>
      <c r="W99" s="216"/>
      <c r="X99" s="389"/>
      <c r="Y99" s="15"/>
      <c r="Z99" s="576"/>
      <c r="AA99" s="15"/>
      <c r="AB99" s="15"/>
      <c r="AC99" s="15"/>
      <c r="AD99" s="15"/>
      <c r="AE99" s="646"/>
      <c r="AF99" s="53"/>
      <c r="AG99" s="15"/>
    </row>
    <row r="100" spans="1:33" s="3" customFormat="1" ht="30" customHeight="1" x14ac:dyDescent="0.35">
      <c r="A100" s="573"/>
      <c r="B100" s="286">
        <f t="shared" si="7"/>
        <v>87</v>
      </c>
      <c r="C100" s="634"/>
      <c r="E100"/>
      <c r="H100" s="15"/>
      <c r="I100" s="15"/>
      <c r="J100" s="373"/>
      <c r="K100" s="213"/>
      <c r="L100" s="213"/>
      <c r="M100" s="213"/>
      <c r="N100" s="213"/>
      <c r="O100" s="9"/>
      <c r="P100" s="9"/>
      <c r="Q100" s="9"/>
      <c r="R100" s="203" t="b">
        <v>0</v>
      </c>
      <c r="S100" s="9" t="s">
        <v>201</v>
      </c>
      <c r="T100" s="9" t="s">
        <v>135</v>
      </c>
      <c r="U100" s="576"/>
      <c r="V100" s="576"/>
      <c r="X100" s="389"/>
      <c r="Y100" s="15"/>
      <c r="Z100" s="368"/>
      <c r="AA100" s="15"/>
      <c r="AB100" s="15"/>
      <c r="AC100" s="15"/>
      <c r="AD100" s="15"/>
      <c r="AE100" s="15"/>
      <c r="AF100" s="53"/>
      <c r="AG100" s="15"/>
    </row>
    <row r="101" spans="1:33" s="3" customFormat="1" x14ac:dyDescent="0.35">
      <c r="A101" s="573"/>
      <c r="B101" s="286">
        <f t="shared" si="7"/>
        <v>88</v>
      </c>
      <c r="C101" s="634"/>
      <c r="E101"/>
      <c r="H101" s="212"/>
      <c r="I101" s="15"/>
      <c r="J101" s="373"/>
      <c r="K101" s="213"/>
      <c r="L101" s="213"/>
      <c r="M101" s="213"/>
      <c r="N101" s="213"/>
      <c r="O101" s="9"/>
      <c r="P101" s="9"/>
      <c r="Q101" s="9"/>
      <c r="R101" s="576"/>
      <c r="S101" s="576"/>
      <c r="T101" s="576"/>
      <c r="U101" s="204" t="b">
        <v>0</v>
      </c>
      <c r="V101" s="9" t="s">
        <v>202</v>
      </c>
      <c r="W101" s="9"/>
      <c r="X101" s="389"/>
      <c r="Y101" s="15"/>
      <c r="Z101" s="368"/>
      <c r="AA101" s="15"/>
      <c r="AB101" s="15"/>
      <c r="AC101" s="15"/>
      <c r="AD101" s="15"/>
      <c r="AE101" s="15"/>
      <c r="AF101" s="53"/>
      <c r="AG101" s="15"/>
    </row>
    <row r="102" spans="1:33" s="3" customFormat="1" ht="30" customHeight="1" thickBot="1" x14ac:dyDescent="0.4">
      <c r="A102" s="574"/>
      <c r="B102" s="286">
        <f t="shared" si="7"/>
        <v>89</v>
      </c>
      <c r="C102" s="635"/>
      <c r="D102" s="55"/>
      <c r="E102" s="55"/>
      <c r="F102" s="55"/>
      <c r="G102" s="55"/>
      <c r="H102" s="56"/>
      <c r="I102" s="56"/>
      <c r="J102" s="374"/>
      <c r="K102" s="57"/>
      <c r="L102" s="57"/>
      <c r="M102" s="57"/>
      <c r="N102" s="57"/>
      <c r="O102" s="58"/>
      <c r="P102" s="58"/>
      <c r="Q102" s="58"/>
      <c r="R102" s="576"/>
      <c r="S102" s="576"/>
      <c r="T102" s="576"/>
      <c r="U102" s="576"/>
      <c r="V102" s="576"/>
      <c r="W102" s="58"/>
      <c r="X102" s="392"/>
      <c r="Y102" s="56"/>
      <c r="Z102" s="369"/>
      <c r="AA102" s="56"/>
      <c r="AB102" s="56"/>
      <c r="AC102" s="56"/>
      <c r="AD102" s="56"/>
      <c r="AE102" s="56"/>
      <c r="AF102" s="59"/>
      <c r="AG102" s="15"/>
    </row>
    <row r="103" spans="1:33" s="3" customFormat="1" ht="15" hidden="1" customHeight="1" thickBot="1" x14ac:dyDescent="0.4">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15" customHeight="1" thickBot="1" x14ac:dyDescent="0.4">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4">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5" customHeight="1" x14ac:dyDescent="0.35">
      <c r="A106" s="572">
        <f>A94+1</f>
        <v>9</v>
      </c>
      <c r="B106" s="286">
        <f>B94+10</f>
        <v>91</v>
      </c>
      <c r="C106" s="644" t="str">
        <f>VLOOKUP(A106,INputs!$G$3:$O$22,7,FALSE)</f>
        <v>Sub Label-Specific People</v>
      </c>
      <c r="D106" s="47"/>
      <c r="E106" s="47"/>
      <c r="F106" s="603" t="s">
        <v>136</v>
      </c>
      <c r="G106" s="603"/>
      <c r="H106" s="603" t="s">
        <v>136</v>
      </c>
      <c r="I106" s="603"/>
      <c r="J106" s="605" t="str">
        <f>J$10</f>
        <v>Select a check box</v>
      </c>
      <c r="K106" s="605"/>
      <c r="L106" s="605" t="s">
        <v>136</v>
      </c>
      <c r="M106" s="605"/>
      <c r="N106" s="605"/>
      <c r="O106" s="605" t="s">
        <v>136</v>
      </c>
      <c r="P106" s="605"/>
      <c r="Q106" s="605"/>
      <c r="R106" s="607" t="s">
        <v>179</v>
      </c>
      <c r="S106" s="607"/>
      <c r="T106" s="397" t="s">
        <v>135</v>
      </c>
      <c r="U106" s="575" t="s">
        <v>180</v>
      </c>
      <c r="V106" s="575"/>
      <c r="W106" s="50"/>
      <c r="X106" s="391"/>
      <c r="Y106" s="581" t="s">
        <v>136</v>
      </c>
      <c r="Z106" s="581"/>
      <c r="AA106" s="51"/>
      <c r="AB106" s="603"/>
      <c r="AC106" s="603"/>
      <c r="AD106" s="48"/>
      <c r="AE106" s="49" t="s">
        <v>181</v>
      </c>
      <c r="AF106" s="52"/>
      <c r="AG106" s="20"/>
    </row>
    <row r="107" spans="1:33" x14ac:dyDescent="0.35">
      <c r="A107" s="573"/>
      <c r="B107" s="286">
        <f>B106+1</f>
        <v>92</v>
      </c>
      <c r="C107" s="634"/>
      <c r="D107" s="8"/>
      <c r="E107" s="8"/>
      <c r="F107" s="208"/>
      <c r="G107" s="208"/>
      <c r="H107" s="208"/>
      <c r="I107" s="208"/>
      <c r="J107" s="376"/>
      <c r="K107" s="376"/>
      <c r="L107" s="376"/>
      <c r="M107" s="376"/>
      <c r="N107" s="376"/>
      <c r="O107" s="376"/>
      <c r="P107" s="376"/>
      <c r="Q107" s="376"/>
      <c r="R107" s="576"/>
      <c r="S107" s="576"/>
      <c r="T107" s="576"/>
      <c r="U107" s="396"/>
      <c r="V107" s="390" t="s">
        <v>137</v>
      </c>
      <c r="W107" s="216"/>
      <c r="X107" s="393"/>
      <c r="Y107" s="395"/>
      <c r="Z107" s="395"/>
      <c r="AA107" s="20"/>
      <c r="AB107" s="208"/>
      <c r="AC107" s="530" t="s">
        <v>136</v>
      </c>
      <c r="AD107" s="208"/>
      <c r="AE107" s="611"/>
      <c r="AF107" s="54"/>
      <c r="AG107" s="20"/>
    </row>
    <row r="108" spans="1:33" ht="30.5" x14ac:dyDescent="0.35">
      <c r="A108" s="573"/>
      <c r="B108" s="286">
        <f t="shared" ref="B108:B114" si="8">B107+1</f>
        <v>93</v>
      </c>
      <c r="C108" s="634"/>
      <c r="E108" s="200" t="b">
        <v>1</v>
      </c>
      <c r="F108" s="3" t="s">
        <v>182</v>
      </c>
      <c r="H108" s="200" t="b">
        <v>0</v>
      </c>
      <c r="I108" s="210" t="s">
        <v>183</v>
      </c>
      <c r="J108" s="201" t="b">
        <v>0</v>
      </c>
      <c r="K108" s="202" t="s">
        <v>184</v>
      </c>
      <c r="L108" s="203" t="b">
        <v>0</v>
      </c>
      <c r="M108" s="9" t="s">
        <v>185</v>
      </c>
      <c r="N108" s="213"/>
      <c r="O108" s="203" t="b">
        <v>0</v>
      </c>
      <c r="P108" s="9" t="s">
        <v>186</v>
      </c>
      <c r="Q108" s="9"/>
      <c r="R108" s="576"/>
      <c r="S108" s="576"/>
      <c r="T108" s="576"/>
      <c r="U108" s="576" t="s">
        <v>11</v>
      </c>
      <c r="V108" s="576"/>
      <c r="W108" s="216"/>
      <c r="X108" s="204" t="b">
        <v>0</v>
      </c>
      <c r="Y108" s="205" t="s">
        <v>187</v>
      </c>
      <c r="Z108" s="371"/>
      <c r="AA108" s="15"/>
      <c r="AB108" s="529" t="b">
        <v>0</v>
      </c>
      <c r="AC108" s="389" t="s">
        <v>188</v>
      </c>
      <c r="AD108" s="15"/>
      <c r="AE108" s="611"/>
      <c r="AF108" s="53"/>
      <c r="AG108" s="15"/>
    </row>
    <row r="109" spans="1:33" ht="35.15" customHeight="1" x14ac:dyDescent="0.35">
      <c r="A109" s="573"/>
      <c r="B109" s="286">
        <f t="shared" si="8"/>
        <v>94</v>
      </c>
      <c r="C109" s="634"/>
      <c r="E109" s="200" t="b">
        <v>1</v>
      </c>
      <c r="F109" s="196" t="s">
        <v>189</v>
      </c>
      <c r="H109" s="15"/>
      <c r="I109" s="210"/>
      <c r="J109" s="204" t="b">
        <v>1</v>
      </c>
      <c r="K109" s="606" t="s">
        <v>190</v>
      </c>
      <c r="L109" s="204" t="b">
        <v>0</v>
      </c>
      <c r="M109" s="205" t="s">
        <v>191</v>
      </c>
      <c r="N109" s="387">
        <v>44197</v>
      </c>
      <c r="O109" s="204" t="b">
        <v>0</v>
      </c>
      <c r="P109" s="205" t="s">
        <v>185</v>
      </c>
      <c r="Q109" s="9"/>
      <c r="R109" s="203" t="b">
        <v>0</v>
      </c>
      <c r="S109" s="9" t="s">
        <v>192</v>
      </c>
      <c r="T109" s="9" t="s">
        <v>135</v>
      </c>
      <c r="U109" s="204" t="b">
        <v>1</v>
      </c>
      <c r="V109" s="390" t="s">
        <v>193</v>
      </c>
      <c r="W109" s="215"/>
      <c r="X109" s="204" t="b">
        <v>0</v>
      </c>
      <c r="Y109" s="205" t="s">
        <v>194</v>
      </c>
      <c r="Z109" s="371"/>
      <c r="AA109" s="15"/>
      <c r="AB109" s="217"/>
      <c r="AC109" s="208" t="s">
        <v>137</v>
      </c>
      <c r="AD109" s="209"/>
      <c r="AE109" s="376" t="s">
        <v>195</v>
      </c>
      <c r="AF109" s="54"/>
      <c r="AG109" s="15"/>
    </row>
    <row r="110" spans="1:33" ht="14.5" customHeight="1" x14ac:dyDescent="0.35">
      <c r="A110" s="573"/>
      <c r="B110" s="286">
        <f t="shared" si="8"/>
        <v>95</v>
      </c>
      <c r="C110" s="634"/>
      <c r="E110" s="200" t="b">
        <v>0</v>
      </c>
      <c r="F110" s="609" t="s">
        <v>204</v>
      </c>
      <c r="H110" s="200" t="b">
        <v>1</v>
      </c>
      <c r="I110" s="210" t="s">
        <v>197</v>
      </c>
      <c r="J110" s="205"/>
      <c r="K110" s="606"/>
      <c r="L110" s="203" t="b">
        <v>0</v>
      </c>
      <c r="M110" s="44" t="s">
        <v>198</v>
      </c>
      <c r="N110" s="211">
        <v>6</v>
      </c>
      <c r="O110" s="203" t="b">
        <v>0</v>
      </c>
      <c r="P110" s="9" t="s">
        <v>198</v>
      </c>
      <c r="Q110" s="211">
        <v>0</v>
      </c>
      <c r="R110" s="576"/>
      <c r="S110" s="576"/>
      <c r="T110" s="576"/>
      <c r="U110" s="577" t="s">
        <v>136</v>
      </c>
      <c r="V110" s="577"/>
      <c r="W110" s="577"/>
      <c r="X110" s="204" t="b">
        <v>1</v>
      </c>
      <c r="Y110" s="9" t="s">
        <v>199</v>
      </c>
      <c r="Z110" s="576" t="s">
        <v>395</v>
      </c>
      <c r="AA110" s="15"/>
      <c r="AB110" s="217"/>
      <c r="AC110" s="22"/>
      <c r="AD110" s="15"/>
      <c r="AE110" s="646"/>
      <c r="AF110" s="53"/>
      <c r="AG110" s="15"/>
    </row>
    <row r="111" spans="1:33" x14ac:dyDescent="0.35">
      <c r="A111" s="573"/>
      <c r="B111" s="286">
        <f t="shared" si="8"/>
        <v>96</v>
      </c>
      <c r="C111" s="634"/>
      <c r="F111" s="609"/>
      <c r="H111" s="15"/>
      <c r="I111" s="15"/>
      <c r="J111" s="205"/>
      <c r="K111" s="9"/>
      <c r="L111" s="15"/>
      <c r="M111" s="15"/>
      <c r="N111" s="218"/>
      <c r="O111" s="9"/>
      <c r="P111" s="9"/>
      <c r="Q111" s="9"/>
      <c r="R111" s="576"/>
      <c r="S111" s="576"/>
      <c r="T111" s="576"/>
      <c r="U111" s="204" t="b">
        <v>0</v>
      </c>
      <c r="V111" s="205" t="s">
        <v>200</v>
      </c>
      <c r="W111" s="216"/>
      <c r="Y111" s="15"/>
      <c r="Z111" s="576"/>
      <c r="AA111" s="15"/>
      <c r="AB111" s="15"/>
      <c r="AC111" s="15"/>
      <c r="AD111" s="15"/>
      <c r="AE111" s="646"/>
      <c r="AF111" s="53"/>
      <c r="AG111" s="15"/>
    </row>
    <row r="112" spans="1:33" ht="30" customHeight="1" x14ac:dyDescent="0.35">
      <c r="A112" s="573"/>
      <c r="B112" s="286">
        <f t="shared" si="8"/>
        <v>97</v>
      </c>
      <c r="C112" s="634"/>
      <c r="E112"/>
      <c r="H112" s="15"/>
      <c r="I112" s="15"/>
      <c r="J112" s="373"/>
      <c r="K112" s="213"/>
      <c r="L112" s="213"/>
      <c r="M112" s="213"/>
      <c r="N112" s="213"/>
      <c r="O112" s="9"/>
      <c r="P112" s="9"/>
      <c r="Q112" s="9"/>
      <c r="R112" s="203" t="b">
        <v>0</v>
      </c>
      <c r="S112" s="9" t="s">
        <v>201</v>
      </c>
      <c r="T112" s="9" t="s">
        <v>135</v>
      </c>
      <c r="U112" s="576"/>
      <c r="V112" s="576"/>
      <c r="Y112" s="15"/>
      <c r="Z112" s="368"/>
      <c r="AA112" s="15"/>
      <c r="AB112" s="15"/>
      <c r="AC112" s="15"/>
      <c r="AD112" s="15"/>
      <c r="AE112" s="15"/>
      <c r="AF112" s="53"/>
      <c r="AG112" s="15"/>
    </row>
    <row r="113" spans="1:33" x14ac:dyDescent="0.35">
      <c r="A113" s="573"/>
      <c r="B113" s="286">
        <f t="shared" si="8"/>
        <v>98</v>
      </c>
      <c r="C113" s="634"/>
      <c r="E113"/>
      <c r="H113" s="212"/>
      <c r="I113" s="15"/>
      <c r="J113" s="373"/>
      <c r="K113" s="213"/>
      <c r="L113" s="213"/>
      <c r="M113" s="213"/>
      <c r="N113" s="213"/>
      <c r="O113" s="9"/>
      <c r="P113" s="9"/>
      <c r="Q113" s="9"/>
      <c r="R113" s="576"/>
      <c r="S113" s="576"/>
      <c r="T113" s="576"/>
      <c r="U113" s="204" t="b">
        <v>0</v>
      </c>
      <c r="V113" s="9" t="s">
        <v>202</v>
      </c>
      <c r="W113" s="9"/>
      <c r="Y113" s="15"/>
      <c r="Z113" s="368"/>
      <c r="AA113" s="15"/>
      <c r="AB113" s="15"/>
      <c r="AC113" s="15"/>
      <c r="AD113" s="15"/>
      <c r="AE113" s="15"/>
      <c r="AF113" s="53"/>
      <c r="AG113" s="15"/>
    </row>
    <row r="114" spans="1:33" ht="30" customHeight="1" thickBot="1" x14ac:dyDescent="0.4">
      <c r="A114" s="574"/>
      <c r="B114" s="286">
        <f t="shared" si="8"/>
        <v>99</v>
      </c>
      <c r="C114" s="635"/>
      <c r="D114" s="55"/>
      <c r="E114" s="55"/>
      <c r="F114" s="55"/>
      <c r="G114" s="55"/>
      <c r="H114" s="56"/>
      <c r="I114" s="56"/>
      <c r="J114" s="374"/>
      <c r="K114" s="57"/>
      <c r="L114" s="57"/>
      <c r="M114" s="57"/>
      <c r="N114" s="57"/>
      <c r="O114" s="58"/>
      <c r="P114" s="58"/>
      <c r="Q114" s="58"/>
      <c r="R114" s="576"/>
      <c r="S114" s="576"/>
      <c r="T114" s="576"/>
      <c r="U114" s="576"/>
      <c r="V114" s="576"/>
      <c r="W114" s="58"/>
      <c r="X114" s="392"/>
      <c r="Y114" s="56"/>
      <c r="Z114" s="369"/>
      <c r="AA114" s="56"/>
      <c r="AB114" s="56"/>
      <c r="AC114" s="56"/>
      <c r="AD114" s="56"/>
      <c r="AE114" s="56"/>
      <c r="AF114" s="59"/>
      <c r="AG114" s="15"/>
    </row>
    <row r="115" spans="1:33" ht="15" hidden="1" customHeight="1" thickBot="1" x14ac:dyDescent="0.4">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15" customHeight="1" thickBot="1" x14ac:dyDescent="0.4">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4">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5" customHeight="1" x14ac:dyDescent="0.35">
      <c r="A118" s="572">
        <f>A106+1</f>
        <v>10</v>
      </c>
      <c r="B118" s="286">
        <f>B106+10</f>
        <v>101</v>
      </c>
      <c r="C118" s="644" t="str">
        <f>VLOOKUP(A118,INputs!$G$3:$O$22,7,FALSE)</f>
        <v>Sub Label-Internal exception</v>
      </c>
      <c r="D118" s="47"/>
      <c r="E118" s="47"/>
      <c r="F118" s="603" t="s">
        <v>136</v>
      </c>
      <c r="G118" s="603"/>
      <c r="H118" s="603" t="s">
        <v>136</v>
      </c>
      <c r="I118" s="603"/>
      <c r="J118" s="605" t="str">
        <f>J$10</f>
        <v>Select a check box</v>
      </c>
      <c r="K118" s="605"/>
      <c r="L118" s="605" t="s">
        <v>136</v>
      </c>
      <c r="M118" s="605"/>
      <c r="N118" s="605"/>
      <c r="O118" s="605" t="s">
        <v>136</v>
      </c>
      <c r="P118" s="605"/>
      <c r="Q118" s="605"/>
      <c r="R118" s="607" t="s">
        <v>179</v>
      </c>
      <c r="S118" s="607"/>
      <c r="T118" s="397" t="s">
        <v>135</v>
      </c>
      <c r="U118" s="575" t="s">
        <v>180</v>
      </c>
      <c r="V118" s="575"/>
      <c r="W118" s="50"/>
      <c r="X118" s="391"/>
      <c r="Y118" s="581" t="s">
        <v>136</v>
      </c>
      <c r="Z118" s="581"/>
      <c r="AA118" s="51"/>
      <c r="AB118" s="603"/>
      <c r="AC118" s="603"/>
      <c r="AD118" s="48"/>
      <c r="AE118" s="49" t="s">
        <v>181</v>
      </c>
      <c r="AF118" s="52"/>
      <c r="AG118" s="20"/>
    </row>
    <row r="119" spans="1:33" x14ac:dyDescent="0.35">
      <c r="A119" s="573"/>
      <c r="B119" s="286">
        <f>B118+1</f>
        <v>102</v>
      </c>
      <c r="C119" s="634"/>
      <c r="D119" s="8"/>
      <c r="E119" s="8"/>
      <c r="F119" s="208"/>
      <c r="G119" s="208"/>
      <c r="H119" s="208"/>
      <c r="I119" s="208"/>
      <c r="J119" s="376"/>
      <c r="K119" s="376"/>
      <c r="L119" s="376"/>
      <c r="M119" s="376"/>
      <c r="N119" s="376"/>
      <c r="O119" s="376"/>
      <c r="P119" s="376"/>
      <c r="Q119" s="376"/>
      <c r="R119" s="576"/>
      <c r="S119" s="576"/>
      <c r="T119" s="576"/>
      <c r="U119" s="396"/>
      <c r="V119" s="390" t="s">
        <v>137</v>
      </c>
      <c r="W119" s="216"/>
      <c r="X119" s="393"/>
      <c r="Y119" s="395"/>
      <c r="Z119" s="395"/>
      <c r="AA119" s="20"/>
      <c r="AB119" s="208"/>
      <c r="AC119" s="530" t="s">
        <v>136</v>
      </c>
      <c r="AD119" s="208"/>
      <c r="AE119" s="611"/>
      <c r="AF119" s="54"/>
      <c r="AG119" s="20"/>
    </row>
    <row r="120" spans="1:33" ht="30.5" x14ac:dyDescent="0.35">
      <c r="A120" s="573"/>
      <c r="B120" s="286">
        <f t="shared" ref="B120:B126" si="9">B119+1</f>
        <v>103</v>
      </c>
      <c r="C120" s="634"/>
      <c r="E120" s="200" t="b">
        <v>0</v>
      </c>
      <c r="F120" s="3" t="s">
        <v>182</v>
      </c>
      <c r="H120" s="200" t="b">
        <v>0</v>
      </c>
      <c r="I120" s="210" t="s">
        <v>183</v>
      </c>
      <c r="J120" s="201" t="b">
        <v>0</v>
      </c>
      <c r="K120" s="202" t="s">
        <v>184</v>
      </c>
      <c r="L120" s="203" t="b">
        <v>0</v>
      </c>
      <c r="M120" s="9" t="s">
        <v>185</v>
      </c>
      <c r="N120" s="213"/>
      <c r="O120" s="203" t="b">
        <v>0</v>
      </c>
      <c r="P120" s="9" t="s">
        <v>186</v>
      </c>
      <c r="Q120" s="9"/>
      <c r="R120" s="576"/>
      <c r="S120" s="576"/>
      <c r="T120" s="576"/>
      <c r="U120" s="576"/>
      <c r="V120" s="576"/>
      <c r="W120" s="216"/>
      <c r="X120" s="204" t="b">
        <v>0</v>
      </c>
      <c r="Y120" s="205" t="s">
        <v>187</v>
      </c>
      <c r="Z120" s="371"/>
      <c r="AA120" s="15"/>
      <c r="AB120" s="206" t="b">
        <v>0</v>
      </c>
      <c r="AC120" s="15" t="s">
        <v>188</v>
      </c>
      <c r="AD120" s="15"/>
      <c r="AE120" s="611"/>
      <c r="AF120" s="53"/>
      <c r="AG120" s="15"/>
    </row>
    <row r="121" spans="1:33" ht="35.15" customHeight="1" x14ac:dyDescent="0.35">
      <c r="A121" s="573"/>
      <c r="B121" s="286">
        <f t="shared" si="9"/>
        <v>104</v>
      </c>
      <c r="C121" s="634"/>
      <c r="E121" s="200" t="b">
        <v>1</v>
      </c>
      <c r="F121" s="196" t="s">
        <v>189</v>
      </c>
      <c r="H121" s="15"/>
      <c r="I121" s="210"/>
      <c r="J121" s="204" t="b">
        <v>0</v>
      </c>
      <c r="K121" s="606"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5" customHeight="1" x14ac:dyDescent="0.35">
      <c r="A122" s="573"/>
      <c r="B122" s="286">
        <f t="shared" si="9"/>
        <v>105</v>
      </c>
      <c r="C122" s="634"/>
      <c r="E122" s="200" t="b">
        <v>0</v>
      </c>
      <c r="F122" s="609" t="s">
        <v>204</v>
      </c>
      <c r="H122" s="200" t="b">
        <v>0</v>
      </c>
      <c r="I122" s="210" t="s">
        <v>197</v>
      </c>
      <c r="J122" s="205"/>
      <c r="K122" s="606"/>
      <c r="L122" s="203" t="b">
        <v>0</v>
      </c>
      <c r="M122" s="44" t="s">
        <v>198</v>
      </c>
      <c r="N122" s="211">
        <v>6</v>
      </c>
      <c r="O122" s="203" t="b">
        <v>0</v>
      </c>
      <c r="P122" s="9" t="s">
        <v>198</v>
      </c>
      <c r="Q122" s="211">
        <v>0</v>
      </c>
      <c r="R122" s="576"/>
      <c r="S122" s="576"/>
      <c r="T122" s="576"/>
      <c r="U122" s="577" t="s">
        <v>136</v>
      </c>
      <c r="V122" s="577"/>
      <c r="W122" s="577"/>
      <c r="X122" s="204" t="b">
        <v>1</v>
      </c>
      <c r="Y122" s="9" t="s">
        <v>199</v>
      </c>
      <c r="Z122" s="576" t="s">
        <v>395</v>
      </c>
      <c r="AA122" s="15"/>
      <c r="AB122" s="217"/>
      <c r="AC122" s="22"/>
      <c r="AD122" s="15"/>
      <c r="AE122" s="646"/>
      <c r="AF122" s="53"/>
      <c r="AG122" s="15"/>
    </row>
    <row r="123" spans="1:33" x14ac:dyDescent="0.35">
      <c r="A123" s="573"/>
      <c r="B123" s="286">
        <f t="shared" si="9"/>
        <v>106</v>
      </c>
      <c r="C123" s="634"/>
      <c r="F123" s="609"/>
      <c r="H123" s="15"/>
      <c r="I123" s="15"/>
      <c r="J123" s="205"/>
      <c r="K123" s="9"/>
      <c r="L123" s="15"/>
      <c r="M123" s="15"/>
      <c r="N123" s="218"/>
      <c r="O123" s="9"/>
      <c r="P123" s="9"/>
      <c r="Q123" s="9"/>
      <c r="R123" s="576"/>
      <c r="S123" s="576"/>
      <c r="T123" s="576"/>
      <c r="U123" s="204" t="b">
        <v>0</v>
      </c>
      <c r="V123" s="205" t="s">
        <v>200</v>
      </c>
      <c r="W123" s="216"/>
      <c r="Y123" s="15"/>
      <c r="Z123" s="576"/>
      <c r="AA123" s="15"/>
      <c r="AB123" s="15"/>
      <c r="AC123" s="15"/>
      <c r="AD123" s="15"/>
      <c r="AE123" s="646"/>
      <c r="AF123" s="53"/>
      <c r="AG123" s="15"/>
    </row>
    <row r="124" spans="1:33" ht="30" customHeight="1" x14ac:dyDescent="0.35">
      <c r="A124" s="573"/>
      <c r="B124" s="286">
        <f t="shared" si="9"/>
        <v>107</v>
      </c>
      <c r="C124" s="634"/>
      <c r="E124"/>
      <c r="H124" s="15"/>
      <c r="I124" s="15"/>
      <c r="J124" s="373"/>
      <c r="K124" s="213"/>
      <c r="L124" s="213"/>
      <c r="M124" s="213"/>
      <c r="N124" s="213"/>
      <c r="O124" s="9"/>
      <c r="P124" s="9"/>
      <c r="Q124" s="9"/>
      <c r="R124" s="203" t="b">
        <v>0</v>
      </c>
      <c r="S124" s="9" t="s">
        <v>201</v>
      </c>
      <c r="T124" s="9" t="s">
        <v>135</v>
      </c>
      <c r="U124" s="576"/>
      <c r="V124" s="576"/>
      <c r="Y124" s="15"/>
      <c r="Z124" s="368"/>
      <c r="AA124" s="15"/>
      <c r="AB124" s="15"/>
      <c r="AC124" s="15"/>
      <c r="AD124" s="15"/>
      <c r="AE124" s="15"/>
      <c r="AF124" s="53"/>
      <c r="AG124" s="15"/>
    </row>
    <row r="125" spans="1:33" x14ac:dyDescent="0.35">
      <c r="A125" s="573"/>
      <c r="B125" s="286">
        <f t="shared" si="9"/>
        <v>108</v>
      </c>
      <c r="C125" s="634"/>
      <c r="E125"/>
      <c r="H125" s="212"/>
      <c r="I125" s="15"/>
      <c r="J125" s="373"/>
      <c r="K125" s="213"/>
      <c r="L125" s="213"/>
      <c r="M125" s="213"/>
      <c r="N125" s="213"/>
      <c r="O125" s="9"/>
      <c r="P125" s="9"/>
      <c r="Q125" s="9"/>
      <c r="R125" s="576"/>
      <c r="S125" s="576"/>
      <c r="T125" s="576"/>
      <c r="U125" s="204" t="b">
        <v>0</v>
      </c>
      <c r="V125" s="9" t="s">
        <v>202</v>
      </c>
      <c r="W125" s="9"/>
      <c r="Y125" s="15"/>
      <c r="Z125" s="368"/>
      <c r="AA125" s="15"/>
      <c r="AB125" s="15"/>
      <c r="AC125" s="15"/>
      <c r="AD125" s="15"/>
      <c r="AE125" s="15"/>
      <c r="AF125" s="53"/>
      <c r="AG125" s="15"/>
    </row>
    <row r="126" spans="1:33" ht="30" customHeight="1" thickBot="1" x14ac:dyDescent="0.4">
      <c r="A126" s="574"/>
      <c r="B126" s="286">
        <f t="shared" si="9"/>
        <v>109</v>
      </c>
      <c r="C126" s="635"/>
      <c r="D126" s="55"/>
      <c r="E126" s="55"/>
      <c r="F126" s="55"/>
      <c r="G126" s="55"/>
      <c r="H126" s="56"/>
      <c r="I126" s="56"/>
      <c r="J126" s="374"/>
      <c r="K126" s="57"/>
      <c r="L126" s="57"/>
      <c r="M126" s="57"/>
      <c r="N126" s="57"/>
      <c r="O126" s="58"/>
      <c r="P126" s="58"/>
      <c r="Q126" s="58"/>
      <c r="R126" s="576"/>
      <c r="S126" s="576"/>
      <c r="T126" s="576"/>
      <c r="U126" s="576"/>
      <c r="V126" s="576"/>
      <c r="W126" s="58"/>
      <c r="X126" s="392"/>
      <c r="Y126" s="56"/>
      <c r="Z126" s="369"/>
      <c r="AA126" s="56"/>
      <c r="AB126" s="56"/>
      <c r="AC126" s="56"/>
      <c r="AD126" s="56"/>
      <c r="AE126" s="56"/>
      <c r="AF126" s="59"/>
      <c r="AG126" s="15"/>
    </row>
    <row r="127" spans="1:33" ht="15" hidden="1" customHeight="1" thickBot="1" x14ac:dyDescent="0.4">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15" customHeight="1" thickBot="1" x14ac:dyDescent="0.4">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4">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5" customHeight="1" x14ac:dyDescent="0.35">
      <c r="A130" s="572">
        <f>A118+1</f>
        <v>11</v>
      </c>
      <c r="B130" s="286">
        <f>B118+10</f>
        <v>111</v>
      </c>
      <c r="C130" s="644" t="str">
        <f>VLOOKUP(A130,INputs!$G$3:$O$22,7,FALSE)</f>
        <v>Please fill out Sensitivity Labels Tab</v>
      </c>
      <c r="D130" s="47"/>
      <c r="E130" s="47"/>
      <c r="F130" s="603" t="s">
        <v>136</v>
      </c>
      <c r="G130" s="603"/>
      <c r="H130" s="603" t="s">
        <v>136</v>
      </c>
      <c r="I130" s="603"/>
      <c r="J130" s="605" t="str">
        <f>J$10</f>
        <v>Select a check box</v>
      </c>
      <c r="K130" s="605"/>
      <c r="L130" s="605" t="s">
        <v>136</v>
      </c>
      <c r="M130" s="605"/>
      <c r="N130" s="605"/>
      <c r="O130" s="605" t="s">
        <v>136</v>
      </c>
      <c r="P130" s="605"/>
      <c r="Q130" s="605"/>
      <c r="R130" s="607" t="s">
        <v>179</v>
      </c>
      <c r="S130" s="607"/>
      <c r="T130" s="397" t="s">
        <v>135</v>
      </c>
      <c r="U130" s="575" t="s">
        <v>180</v>
      </c>
      <c r="V130" s="575"/>
      <c r="W130" s="50"/>
      <c r="X130" s="391"/>
      <c r="Y130" s="581" t="s">
        <v>136</v>
      </c>
      <c r="Z130" s="581"/>
      <c r="AA130" s="51"/>
      <c r="AB130" s="603"/>
      <c r="AC130" s="603"/>
      <c r="AD130" s="48"/>
      <c r="AE130" s="49" t="s">
        <v>181</v>
      </c>
      <c r="AF130" s="52"/>
      <c r="AG130" s="20"/>
    </row>
    <row r="131" spans="1:33" x14ac:dyDescent="0.35">
      <c r="A131" s="573"/>
      <c r="B131" s="286">
        <f>B130+1</f>
        <v>112</v>
      </c>
      <c r="C131" s="634"/>
      <c r="D131" s="8"/>
      <c r="E131" s="8"/>
      <c r="F131" s="208"/>
      <c r="G131" s="208"/>
      <c r="H131" s="208"/>
      <c r="I131" s="208"/>
      <c r="J131" s="376"/>
      <c r="K131" s="376"/>
      <c r="L131" s="376"/>
      <c r="M131" s="376"/>
      <c r="N131" s="376"/>
      <c r="O131" s="376"/>
      <c r="P131" s="376"/>
      <c r="Q131" s="376"/>
      <c r="R131" s="576"/>
      <c r="S131" s="576"/>
      <c r="T131" s="576"/>
      <c r="U131" s="396"/>
      <c r="V131" s="390" t="s">
        <v>137</v>
      </c>
      <c r="W131" s="216"/>
      <c r="X131" s="393"/>
      <c r="Y131" s="395"/>
      <c r="Z131" s="395"/>
      <c r="AA131" s="20"/>
      <c r="AB131" s="208"/>
      <c r="AC131" s="530" t="s">
        <v>136</v>
      </c>
      <c r="AD131" s="208"/>
      <c r="AE131" s="611"/>
      <c r="AF131" s="54"/>
      <c r="AG131" s="20"/>
    </row>
    <row r="132" spans="1:33" ht="30.5" x14ac:dyDescent="0.35">
      <c r="A132" s="573"/>
      <c r="B132" s="286">
        <f t="shared" ref="B132:B138" si="10">B131+1</f>
        <v>113</v>
      </c>
      <c r="C132" s="634"/>
      <c r="E132" s="200" t="b">
        <v>0</v>
      </c>
      <c r="F132" s="3" t="s">
        <v>182</v>
      </c>
      <c r="H132" s="200" t="b">
        <v>0</v>
      </c>
      <c r="I132" s="210" t="s">
        <v>183</v>
      </c>
      <c r="J132" s="201" t="b">
        <v>0</v>
      </c>
      <c r="K132" s="202" t="s">
        <v>184</v>
      </c>
      <c r="L132" s="203" t="b">
        <v>0</v>
      </c>
      <c r="M132" s="9" t="s">
        <v>185</v>
      </c>
      <c r="N132" s="213"/>
      <c r="O132" s="203" t="b">
        <v>0</v>
      </c>
      <c r="P132" s="9" t="s">
        <v>186</v>
      </c>
      <c r="Q132" s="9"/>
      <c r="R132" s="576"/>
      <c r="S132" s="576"/>
      <c r="T132" s="576"/>
      <c r="U132" s="576"/>
      <c r="V132" s="576"/>
      <c r="W132" s="216"/>
      <c r="X132" s="204" t="b">
        <v>0</v>
      </c>
      <c r="Y132" s="205" t="s">
        <v>187</v>
      </c>
      <c r="Z132" s="371"/>
      <c r="AA132" s="15"/>
      <c r="AB132" s="529" t="b">
        <v>0</v>
      </c>
      <c r="AC132" s="389" t="s">
        <v>188</v>
      </c>
      <c r="AD132" s="15"/>
      <c r="AE132" s="611"/>
      <c r="AF132" s="53"/>
      <c r="AG132" s="15"/>
    </row>
    <row r="133" spans="1:33" ht="35.15" customHeight="1" x14ac:dyDescent="0.35">
      <c r="A133" s="573"/>
      <c r="B133" s="286">
        <f t="shared" si="10"/>
        <v>114</v>
      </c>
      <c r="C133" s="634"/>
      <c r="E133" s="200" t="b">
        <v>0</v>
      </c>
      <c r="F133" s="196" t="s">
        <v>189</v>
      </c>
      <c r="H133" s="15"/>
      <c r="I133" s="210"/>
      <c r="J133" s="204" t="b">
        <v>0</v>
      </c>
      <c r="K133" s="606"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5" customHeight="1" x14ac:dyDescent="0.35">
      <c r="A134" s="573"/>
      <c r="B134" s="286">
        <f t="shared" si="10"/>
        <v>115</v>
      </c>
      <c r="C134" s="634"/>
      <c r="E134" s="200" t="b">
        <v>0</v>
      </c>
      <c r="F134" s="609" t="s">
        <v>204</v>
      </c>
      <c r="H134" s="200" t="b">
        <v>0</v>
      </c>
      <c r="I134" s="210" t="s">
        <v>197</v>
      </c>
      <c r="J134" s="205"/>
      <c r="K134" s="606"/>
      <c r="L134" s="203" t="b">
        <v>0</v>
      </c>
      <c r="M134" s="44" t="s">
        <v>198</v>
      </c>
      <c r="N134" s="211">
        <v>6</v>
      </c>
      <c r="O134" s="203" t="b">
        <v>0</v>
      </c>
      <c r="P134" s="9" t="s">
        <v>198</v>
      </c>
      <c r="Q134" s="211">
        <v>0</v>
      </c>
      <c r="R134" s="576"/>
      <c r="S134" s="576"/>
      <c r="T134" s="576"/>
      <c r="U134" s="577" t="s">
        <v>136</v>
      </c>
      <c r="V134" s="577"/>
      <c r="W134" s="577"/>
      <c r="X134" s="204" t="b">
        <v>0</v>
      </c>
      <c r="Y134" s="9" t="s">
        <v>199</v>
      </c>
      <c r="Z134" s="576"/>
      <c r="AA134" s="15"/>
      <c r="AB134" s="217"/>
      <c r="AC134" s="22"/>
      <c r="AD134" s="15"/>
      <c r="AE134" s="646"/>
      <c r="AF134" s="53"/>
      <c r="AG134" s="15"/>
    </row>
    <row r="135" spans="1:33" x14ac:dyDescent="0.35">
      <c r="A135" s="573"/>
      <c r="B135" s="286">
        <f t="shared" si="10"/>
        <v>116</v>
      </c>
      <c r="C135" s="634"/>
      <c r="F135" s="609"/>
      <c r="H135" s="15"/>
      <c r="I135" s="15"/>
      <c r="J135" s="205"/>
      <c r="K135" s="9"/>
      <c r="L135" s="15"/>
      <c r="M135" s="15"/>
      <c r="N135" s="218"/>
      <c r="O135" s="9"/>
      <c r="P135" s="9"/>
      <c r="Q135" s="9"/>
      <c r="R135" s="576"/>
      <c r="S135" s="576"/>
      <c r="T135" s="576"/>
      <c r="U135" s="204" t="b">
        <v>0</v>
      </c>
      <c r="V135" s="205" t="s">
        <v>200</v>
      </c>
      <c r="W135" s="216"/>
      <c r="Y135" s="15"/>
      <c r="Z135" s="576"/>
      <c r="AA135" s="15"/>
      <c r="AB135" s="15"/>
      <c r="AC135" s="15"/>
      <c r="AD135" s="15"/>
      <c r="AE135" s="646"/>
      <c r="AF135" s="53"/>
      <c r="AG135" s="15"/>
    </row>
    <row r="136" spans="1:33" ht="30" customHeight="1" x14ac:dyDescent="0.35">
      <c r="A136" s="573"/>
      <c r="B136" s="286">
        <f t="shared" si="10"/>
        <v>117</v>
      </c>
      <c r="C136" s="634"/>
      <c r="E136"/>
      <c r="H136" s="15"/>
      <c r="I136" s="15"/>
      <c r="J136" s="373"/>
      <c r="K136" s="213"/>
      <c r="L136" s="213"/>
      <c r="M136" s="213"/>
      <c r="N136" s="213"/>
      <c r="O136" s="9"/>
      <c r="P136" s="9"/>
      <c r="Q136" s="9"/>
      <c r="R136" s="203" t="b">
        <v>0</v>
      </c>
      <c r="S136" s="9" t="s">
        <v>201</v>
      </c>
      <c r="T136" s="9" t="s">
        <v>135</v>
      </c>
      <c r="U136" s="576"/>
      <c r="V136" s="576"/>
      <c r="Y136" s="15"/>
      <c r="Z136" s="368"/>
      <c r="AA136" s="15"/>
      <c r="AB136" s="15"/>
      <c r="AC136" s="15"/>
      <c r="AD136" s="15"/>
      <c r="AE136" s="15"/>
      <c r="AF136" s="53"/>
      <c r="AG136" s="15"/>
    </row>
    <row r="137" spans="1:33" x14ac:dyDescent="0.35">
      <c r="A137" s="573"/>
      <c r="B137" s="286">
        <f t="shared" si="10"/>
        <v>118</v>
      </c>
      <c r="C137" s="634"/>
      <c r="E137"/>
      <c r="H137" s="212"/>
      <c r="I137" s="15"/>
      <c r="J137" s="373"/>
      <c r="K137" s="213"/>
      <c r="L137" s="213"/>
      <c r="M137" s="213"/>
      <c r="N137" s="213"/>
      <c r="O137" s="9"/>
      <c r="P137" s="9"/>
      <c r="Q137" s="9"/>
      <c r="R137" s="576"/>
      <c r="S137" s="576"/>
      <c r="T137" s="576"/>
      <c r="U137" s="204" t="b">
        <v>0</v>
      </c>
      <c r="V137" s="9" t="s">
        <v>202</v>
      </c>
      <c r="W137" s="9"/>
      <c r="Y137" s="15"/>
      <c r="Z137" s="368"/>
      <c r="AA137" s="15"/>
      <c r="AB137" s="15"/>
      <c r="AC137" s="15"/>
      <c r="AD137" s="15"/>
      <c r="AE137" s="15"/>
      <c r="AF137" s="53"/>
      <c r="AG137" s="15"/>
    </row>
    <row r="138" spans="1:33" ht="30" customHeight="1" thickBot="1" x14ac:dyDescent="0.4">
      <c r="A138" s="574"/>
      <c r="B138" s="286">
        <f t="shared" si="10"/>
        <v>119</v>
      </c>
      <c r="C138" s="635"/>
      <c r="D138" s="55"/>
      <c r="E138" s="55"/>
      <c r="F138" s="55"/>
      <c r="G138" s="55"/>
      <c r="H138" s="56"/>
      <c r="I138" s="56"/>
      <c r="J138" s="374"/>
      <c r="K138" s="57"/>
      <c r="L138" s="57"/>
      <c r="M138" s="57"/>
      <c r="N138" s="57"/>
      <c r="O138" s="58"/>
      <c r="P138" s="58"/>
      <c r="Q138" s="58"/>
      <c r="R138" s="576"/>
      <c r="S138" s="576"/>
      <c r="T138" s="576"/>
      <c r="U138" s="576"/>
      <c r="V138" s="576"/>
      <c r="W138" s="58"/>
      <c r="X138" s="392"/>
      <c r="Y138" s="56"/>
      <c r="Z138" s="369"/>
      <c r="AA138" s="56"/>
      <c r="AB138" s="56"/>
      <c r="AC138" s="56"/>
      <c r="AD138" s="56"/>
      <c r="AE138" s="56"/>
      <c r="AF138" s="59"/>
      <c r="AG138" s="15"/>
    </row>
    <row r="139" spans="1:33" ht="15" hidden="1" customHeight="1" thickBot="1" x14ac:dyDescent="0.4">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15" customHeight="1" thickBot="1" x14ac:dyDescent="0.4">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4">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5" customHeight="1" x14ac:dyDescent="0.35">
      <c r="A142" s="572">
        <f>A130+1</f>
        <v>12</v>
      </c>
      <c r="B142" s="286">
        <f>B130+10</f>
        <v>121</v>
      </c>
      <c r="C142" s="644" t="str">
        <f>VLOOKUP(A142,INputs!$G$3:$O$22,7,FALSE)</f>
        <v>Please fill out Sensitivity Labels Tab</v>
      </c>
      <c r="D142" s="8"/>
      <c r="E142" s="8"/>
      <c r="F142" s="610" t="s">
        <v>136</v>
      </c>
      <c r="G142" s="610"/>
      <c r="H142" s="610" t="s">
        <v>136</v>
      </c>
      <c r="I142" s="610"/>
      <c r="J142" s="611" t="str">
        <f>J$10</f>
        <v>Select a check box</v>
      </c>
      <c r="K142" s="611"/>
      <c r="L142" s="611" t="s">
        <v>136</v>
      </c>
      <c r="M142" s="611"/>
      <c r="N142" s="611"/>
      <c r="O142" s="611" t="s">
        <v>136</v>
      </c>
      <c r="P142" s="611"/>
      <c r="Q142" s="611"/>
      <c r="R142" s="607" t="s">
        <v>179</v>
      </c>
      <c r="S142" s="607"/>
      <c r="T142" s="397" t="s">
        <v>135</v>
      </c>
      <c r="U142" s="575" t="s">
        <v>180</v>
      </c>
      <c r="V142" s="575"/>
      <c r="W142" s="50"/>
      <c r="X142" s="393"/>
      <c r="Y142" s="604" t="s">
        <v>136</v>
      </c>
      <c r="Z142" s="604"/>
      <c r="AA142" s="20"/>
      <c r="AB142" s="603"/>
      <c r="AC142" s="603"/>
      <c r="AD142" s="208"/>
      <c r="AE142" s="376" t="s">
        <v>181</v>
      </c>
      <c r="AF142" s="54"/>
      <c r="AG142" s="20"/>
    </row>
    <row r="143" spans="1:33" x14ac:dyDescent="0.35">
      <c r="A143" s="573"/>
      <c r="B143" s="286">
        <f>B142+1</f>
        <v>122</v>
      </c>
      <c r="C143" s="634"/>
      <c r="D143" s="8"/>
      <c r="E143" s="8"/>
      <c r="F143" s="208"/>
      <c r="G143" s="208"/>
      <c r="H143" s="208"/>
      <c r="I143" s="208"/>
      <c r="J143" s="376"/>
      <c r="K143" s="376"/>
      <c r="L143" s="376"/>
      <c r="M143" s="376"/>
      <c r="N143" s="376"/>
      <c r="O143" s="376"/>
      <c r="P143" s="376"/>
      <c r="Q143" s="376"/>
      <c r="R143" s="576"/>
      <c r="S143" s="576"/>
      <c r="T143" s="576"/>
      <c r="U143" s="396"/>
      <c r="V143" s="390" t="s">
        <v>137</v>
      </c>
      <c r="W143" s="216"/>
      <c r="X143" s="393"/>
      <c r="Y143" s="395"/>
      <c r="Z143" s="395"/>
      <c r="AA143" s="20"/>
      <c r="AB143" s="208"/>
      <c r="AC143" s="530" t="s">
        <v>136</v>
      </c>
      <c r="AD143" s="208"/>
      <c r="AE143" s="611"/>
      <c r="AF143" s="54"/>
      <c r="AG143" s="20"/>
    </row>
    <row r="144" spans="1:33" ht="30.5" x14ac:dyDescent="0.35">
      <c r="A144" s="573"/>
      <c r="B144" s="286">
        <f t="shared" ref="B144:B150" si="11">B143+1</f>
        <v>123</v>
      </c>
      <c r="C144" s="634"/>
      <c r="E144" s="200" t="b">
        <v>0</v>
      </c>
      <c r="F144" s="3" t="s">
        <v>182</v>
      </c>
      <c r="H144" s="200" t="b">
        <v>0</v>
      </c>
      <c r="I144" s="210" t="s">
        <v>183</v>
      </c>
      <c r="J144" s="398" t="b">
        <v>0</v>
      </c>
      <c r="K144" s="196" t="s">
        <v>184</v>
      </c>
      <c r="L144" s="203" t="b">
        <v>0</v>
      </c>
      <c r="M144" s="9" t="s">
        <v>185</v>
      </c>
      <c r="N144" s="213"/>
      <c r="O144" s="203" t="b">
        <v>0</v>
      </c>
      <c r="P144" s="9" t="s">
        <v>186</v>
      </c>
      <c r="Q144" s="9"/>
      <c r="R144" s="576"/>
      <c r="S144" s="576"/>
      <c r="T144" s="576"/>
      <c r="U144" s="576"/>
      <c r="V144" s="576"/>
      <c r="W144" s="216"/>
      <c r="X144" s="204" t="b">
        <v>0</v>
      </c>
      <c r="Y144" s="205" t="s">
        <v>187</v>
      </c>
      <c r="Z144" s="371"/>
      <c r="AA144" s="15"/>
      <c r="AB144" s="529" t="b">
        <v>0</v>
      </c>
      <c r="AC144" s="389" t="s">
        <v>188</v>
      </c>
      <c r="AD144" s="15"/>
      <c r="AE144" s="611"/>
      <c r="AF144" s="53"/>
      <c r="AG144" s="15"/>
    </row>
    <row r="145" spans="1:33" ht="35.15" customHeight="1" x14ac:dyDescent="0.35">
      <c r="A145" s="573"/>
      <c r="B145" s="286">
        <f t="shared" si="11"/>
        <v>124</v>
      </c>
      <c r="C145" s="634"/>
      <c r="E145" s="200" t="b">
        <v>0</v>
      </c>
      <c r="F145" s="196" t="s">
        <v>189</v>
      </c>
      <c r="H145" s="15"/>
      <c r="I145" s="210"/>
      <c r="J145" s="204" t="b">
        <v>0</v>
      </c>
      <c r="K145" s="606"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5" customHeight="1" x14ac:dyDescent="0.35">
      <c r="A146" s="573"/>
      <c r="B146" s="286">
        <f t="shared" si="11"/>
        <v>125</v>
      </c>
      <c r="C146" s="634"/>
      <c r="E146" s="200" t="b">
        <v>0</v>
      </c>
      <c r="F146" s="609" t="s">
        <v>204</v>
      </c>
      <c r="H146" s="200" t="b">
        <v>0</v>
      </c>
      <c r="I146" s="210" t="s">
        <v>197</v>
      </c>
      <c r="J146" s="205"/>
      <c r="K146" s="606"/>
      <c r="L146" s="203" t="b">
        <v>0</v>
      </c>
      <c r="M146" s="44" t="s">
        <v>198</v>
      </c>
      <c r="N146" s="211">
        <v>6</v>
      </c>
      <c r="O146" s="203" t="b">
        <v>0</v>
      </c>
      <c r="P146" s="9" t="s">
        <v>198</v>
      </c>
      <c r="Q146" s="211">
        <v>0</v>
      </c>
      <c r="R146" s="576"/>
      <c r="S146" s="576"/>
      <c r="T146" s="576"/>
      <c r="U146" s="577" t="s">
        <v>136</v>
      </c>
      <c r="V146" s="577"/>
      <c r="W146" s="577"/>
      <c r="X146" s="204" t="b">
        <v>0</v>
      </c>
      <c r="Y146" s="9" t="s">
        <v>199</v>
      </c>
      <c r="Z146" s="576"/>
      <c r="AA146" s="15"/>
      <c r="AB146" s="217"/>
      <c r="AC146" s="22"/>
      <c r="AD146" s="15"/>
      <c r="AE146" s="646"/>
      <c r="AF146" s="53"/>
      <c r="AG146" s="15"/>
    </row>
    <row r="147" spans="1:33" x14ac:dyDescent="0.35">
      <c r="A147" s="573"/>
      <c r="B147" s="286">
        <f t="shared" si="11"/>
        <v>126</v>
      </c>
      <c r="C147" s="634"/>
      <c r="F147" s="609"/>
      <c r="H147" s="15"/>
      <c r="I147" s="15"/>
      <c r="J147" s="205"/>
      <c r="K147" s="9"/>
      <c r="L147" s="15"/>
      <c r="M147" s="15"/>
      <c r="N147" s="218"/>
      <c r="O147" s="9"/>
      <c r="P147" s="9"/>
      <c r="Q147" s="9"/>
      <c r="R147" s="576"/>
      <c r="S147" s="576"/>
      <c r="T147" s="576"/>
      <c r="U147" s="204" t="b">
        <v>0</v>
      </c>
      <c r="V147" s="205" t="s">
        <v>200</v>
      </c>
      <c r="W147" s="216"/>
      <c r="Y147" s="15"/>
      <c r="Z147" s="576"/>
      <c r="AA147" s="15"/>
      <c r="AB147" s="15"/>
      <c r="AC147" s="15"/>
      <c r="AD147" s="15"/>
      <c r="AE147" s="646"/>
      <c r="AF147" s="53"/>
      <c r="AG147" s="15"/>
    </row>
    <row r="148" spans="1:33" ht="30" customHeight="1" x14ac:dyDescent="0.35">
      <c r="A148" s="573"/>
      <c r="B148" s="286">
        <f t="shared" si="11"/>
        <v>127</v>
      </c>
      <c r="C148" s="634"/>
      <c r="E148"/>
      <c r="H148" s="15"/>
      <c r="I148" s="15"/>
      <c r="J148" s="373"/>
      <c r="K148" s="213"/>
      <c r="L148" s="213"/>
      <c r="M148" s="213"/>
      <c r="N148" s="213"/>
      <c r="O148" s="9"/>
      <c r="P148" s="9"/>
      <c r="Q148" s="9"/>
      <c r="R148" s="203" t="b">
        <v>0</v>
      </c>
      <c r="S148" s="9" t="s">
        <v>201</v>
      </c>
      <c r="T148" s="9" t="s">
        <v>135</v>
      </c>
      <c r="U148" s="576"/>
      <c r="V148" s="576"/>
      <c r="Y148" s="15"/>
      <c r="Z148" s="368"/>
      <c r="AA148" s="15"/>
      <c r="AB148" s="15"/>
      <c r="AC148" s="15"/>
      <c r="AD148" s="15"/>
      <c r="AE148" s="15"/>
      <c r="AF148" s="53"/>
      <c r="AG148" s="15"/>
    </row>
    <row r="149" spans="1:33" x14ac:dyDescent="0.35">
      <c r="A149" s="573"/>
      <c r="B149" s="286">
        <f t="shared" si="11"/>
        <v>128</v>
      </c>
      <c r="C149" s="634"/>
      <c r="E149"/>
      <c r="H149" s="212"/>
      <c r="I149" s="15"/>
      <c r="J149" s="373"/>
      <c r="K149" s="213"/>
      <c r="L149" s="213"/>
      <c r="M149" s="213"/>
      <c r="N149" s="213"/>
      <c r="O149" s="9"/>
      <c r="P149" s="9"/>
      <c r="Q149" s="9"/>
      <c r="R149" s="576"/>
      <c r="S149" s="576"/>
      <c r="T149" s="576"/>
      <c r="U149" s="204" t="b">
        <v>0</v>
      </c>
      <c r="V149" s="9" t="s">
        <v>202</v>
      </c>
      <c r="W149" s="9"/>
      <c r="Y149" s="15"/>
      <c r="Z149" s="368"/>
      <c r="AA149" s="15"/>
      <c r="AB149" s="15"/>
      <c r="AC149" s="15"/>
      <c r="AD149" s="15"/>
      <c r="AE149" s="15"/>
      <c r="AF149" s="53"/>
      <c r="AG149" s="15"/>
    </row>
    <row r="150" spans="1:33" ht="30" customHeight="1" thickBot="1" x14ac:dyDescent="0.4">
      <c r="A150" s="574"/>
      <c r="B150" s="286">
        <f t="shared" si="11"/>
        <v>129</v>
      </c>
      <c r="C150" s="635"/>
      <c r="D150" s="55"/>
      <c r="E150" s="55"/>
      <c r="F150" s="55"/>
      <c r="G150" s="55"/>
      <c r="H150" s="56"/>
      <c r="I150" s="56"/>
      <c r="J150" s="374"/>
      <c r="K150" s="57"/>
      <c r="L150" s="57"/>
      <c r="M150" s="57"/>
      <c r="N150" s="57"/>
      <c r="O150" s="58"/>
      <c r="P150" s="58"/>
      <c r="Q150" s="58"/>
      <c r="R150" s="576"/>
      <c r="S150" s="576"/>
      <c r="T150" s="576"/>
      <c r="U150" s="576"/>
      <c r="V150" s="576"/>
      <c r="W150" s="58"/>
      <c r="X150" s="392"/>
      <c r="Y150" s="56"/>
      <c r="Z150" s="369"/>
      <c r="AA150" s="56"/>
      <c r="AB150" s="56"/>
      <c r="AC150" s="56"/>
      <c r="AD150" s="56"/>
      <c r="AE150" s="56"/>
      <c r="AF150" s="59"/>
      <c r="AG150" s="15"/>
    </row>
    <row r="151" spans="1:33" ht="15" hidden="1" customHeight="1" thickBot="1" x14ac:dyDescent="0.4">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15" customHeight="1" thickBot="1" x14ac:dyDescent="0.4">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4">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5" customHeight="1" x14ac:dyDescent="0.35">
      <c r="A154" s="572">
        <f>A142+1</f>
        <v>13</v>
      </c>
      <c r="B154" s="286">
        <f>B142+10</f>
        <v>131</v>
      </c>
      <c r="C154" s="644" t="str">
        <f>VLOOKUP(A154,INputs!$G$3:$O$22,7,FALSE)</f>
        <v>Please fill out Sensitivity Labels Tab</v>
      </c>
      <c r="D154" s="47"/>
      <c r="E154" s="47"/>
      <c r="F154" s="603" t="s">
        <v>136</v>
      </c>
      <c r="G154" s="603"/>
      <c r="H154" s="603" t="s">
        <v>136</v>
      </c>
      <c r="I154" s="603"/>
      <c r="J154" s="605" t="str">
        <f>J$10</f>
        <v>Select a check box</v>
      </c>
      <c r="K154" s="605"/>
      <c r="L154" s="605" t="s">
        <v>136</v>
      </c>
      <c r="M154" s="605"/>
      <c r="N154" s="605"/>
      <c r="O154" s="605" t="s">
        <v>136</v>
      </c>
      <c r="P154" s="605"/>
      <c r="Q154" s="605"/>
      <c r="R154" s="607" t="s">
        <v>179</v>
      </c>
      <c r="S154" s="607"/>
      <c r="T154" s="397" t="s">
        <v>135</v>
      </c>
      <c r="U154" s="575" t="s">
        <v>180</v>
      </c>
      <c r="V154" s="575"/>
      <c r="W154" s="50"/>
      <c r="X154" s="391"/>
      <c r="Y154" s="581" t="s">
        <v>136</v>
      </c>
      <c r="Z154" s="581"/>
      <c r="AA154" s="51"/>
      <c r="AB154" s="603"/>
      <c r="AC154" s="603"/>
      <c r="AD154" s="48"/>
      <c r="AE154" s="49" t="s">
        <v>181</v>
      </c>
      <c r="AF154" s="52"/>
      <c r="AG154" s="20"/>
    </row>
    <row r="155" spans="1:33" x14ac:dyDescent="0.35">
      <c r="A155" s="573"/>
      <c r="B155" s="286">
        <f>B154+1</f>
        <v>132</v>
      </c>
      <c r="C155" s="634"/>
      <c r="D155" s="8"/>
      <c r="E155" s="8"/>
      <c r="F155" s="208"/>
      <c r="G155" s="208"/>
      <c r="H155" s="208"/>
      <c r="I155" s="208"/>
      <c r="J155" s="376"/>
      <c r="K155" s="376"/>
      <c r="L155" s="376"/>
      <c r="M155" s="376"/>
      <c r="N155" s="376"/>
      <c r="O155" s="376"/>
      <c r="P155" s="376"/>
      <c r="Q155" s="376"/>
      <c r="R155" s="576"/>
      <c r="S155" s="576"/>
      <c r="T155" s="576"/>
      <c r="U155" s="396"/>
      <c r="V155" s="390" t="s">
        <v>137</v>
      </c>
      <c r="W155" s="216"/>
      <c r="X155" s="393"/>
      <c r="Y155" s="395"/>
      <c r="Z155" s="395"/>
      <c r="AA155" s="20"/>
      <c r="AB155" s="208"/>
      <c r="AC155" s="530" t="s">
        <v>136</v>
      </c>
      <c r="AD155" s="208"/>
      <c r="AE155" s="611"/>
      <c r="AF155" s="54"/>
      <c r="AG155" s="20"/>
    </row>
    <row r="156" spans="1:33" ht="30.5" x14ac:dyDescent="0.35">
      <c r="A156" s="573"/>
      <c r="B156" s="286">
        <f t="shared" ref="B156:B162" si="12">B155+1</f>
        <v>133</v>
      </c>
      <c r="C156" s="634"/>
      <c r="E156" s="200" t="b">
        <v>0</v>
      </c>
      <c r="F156" s="3" t="s">
        <v>182</v>
      </c>
      <c r="H156" s="200" t="b">
        <v>0</v>
      </c>
      <c r="I156" s="210" t="s">
        <v>183</v>
      </c>
      <c r="J156" s="201" t="b">
        <v>0</v>
      </c>
      <c r="K156" s="202" t="s">
        <v>184</v>
      </c>
      <c r="L156" s="203" t="b">
        <v>0</v>
      </c>
      <c r="M156" s="9" t="s">
        <v>185</v>
      </c>
      <c r="N156" s="213"/>
      <c r="O156" s="203" t="b">
        <v>0</v>
      </c>
      <c r="P156" s="9" t="s">
        <v>186</v>
      </c>
      <c r="Q156" s="9"/>
      <c r="R156" s="576"/>
      <c r="S156" s="576"/>
      <c r="T156" s="576"/>
      <c r="U156" s="576"/>
      <c r="V156" s="576"/>
      <c r="W156" s="216"/>
      <c r="X156" s="204" t="b">
        <v>0</v>
      </c>
      <c r="Y156" s="205" t="s">
        <v>187</v>
      </c>
      <c r="Z156" s="371"/>
      <c r="AA156" s="15"/>
      <c r="AB156" s="529" t="b">
        <v>0</v>
      </c>
      <c r="AC156" s="389" t="s">
        <v>188</v>
      </c>
      <c r="AD156" s="15"/>
      <c r="AE156" s="611"/>
      <c r="AF156" s="53"/>
      <c r="AG156" s="15"/>
    </row>
    <row r="157" spans="1:33" ht="35.15" customHeight="1" x14ac:dyDescent="0.35">
      <c r="A157" s="573"/>
      <c r="B157" s="286">
        <f t="shared" si="12"/>
        <v>134</v>
      </c>
      <c r="C157" s="634"/>
      <c r="E157" s="200" t="b">
        <v>0</v>
      </c>
      <c r="F157" s="196" t="s">
        <v>189</v>
      </c>
      <c r="H157" s="15"/>
      <c r="I157" s="210"/>
      <c r="J157" s="204" t="b">
        <v>0</v>
      </c>
      <c r="K157" s="606"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5" customHeight="1" x14ac:dyDescent="0.35">
      <c r="A158" s="573"/>
      <c r="B158" s="286">
        <f t="shared" si="12"/>
        <v>135</v>
      </c>
      <c r="C158" s="634"/>
      <c r="E158" s="200" t="b">
        <v>0</v>
      </c>
      <c r="F158" s="609" t="s">
        <v>204</v>
      </c>
      <c r="H158" s="200" t="b">
        <v>0</v>
      </c>
      <c r="I158" s="210" t="s">
        <v>197</v>
      </c>
      <c r="J158" s="205"/>
      <c r="K158" s="606"/>
      <c r="L158" s="203" t="b">
        <v>0</v>
      </c>
      <c r="M158" s="44" t="s">
        <v>198</v>
      </c>
      <c r="N158" s="211">
        <v>6</v>
      </c>
      <c r="O158" s="203" t="b">
        <v>0</v>
      </c>
      <c r="P158" s="9" t="s">
        <v>198</v>
      </c>
      <c r="Q158" s="211">
        <v>0</v>
      </c>
      <c r="R158" s="576"/>
      <c r="S158" s="576"/>
      <c r="T158" s="576"/>
      <c r="U158" s="577" t="s">
        <v>136</v>
      </c>
      <c r="V158" s="577"/>
      <c r="W158" s="577"/>
      <c r="X158" s="204" t="b">
        <v>0</v>
      </c>
      <c r="Y158" s="9" t="s">
        <v>199</v>
      </c>
      <c r="Z158" s="576"/>
      <c r="AA158" s="15"/>
      <c r="AB158" s="217"/>
      <c r="AC158" s="22"/>
      <c r="AD158" s="15"/>
      <c r="AE158" s="646"/>
      <c r="AF158" s="53"/>
      <c r="AG158" s="15"/>
    </row>
    <row r="159" spans="1:33" x14ac:dyDescent="0.35">
      <c r="A159" s="573"/>
      <c r="B159" s="286">
        <f t="shared" si="12"/>
        <v>136</v>
      </c>
      <c r="C159" s="634"/>
      <c r="F159" s="609"/>
      <c r="H159" s="15"/>
      <c r="I159" s="15"/>
      <c r="J159" s="205"/>
      <c r="K159" s="9"/>
      <c r="L159" s="15"/>
      <c r="M159" s="15"/>
      <c r="N159" s="218"/>
      <c r="O159" s="9"/>
      <c r="P159" s="9"/>
      <c r="Q159" s="9"/>
      <c r="R159" s="576"/>
      <c r="S159" s="576"/>
      <c r="T159" s="576"/>
      <c r="U159" s="204" t="b">
        <v>0</v>
      </c>
      <c r="V159" s="205" t="s">
        <v>200</v>
      </c>
      <c r="W159" s="216"/>
      <c r="Y159" s="15"/>
      <c r="Z159" s="576"/>
      <c r="AA159" s="15"/>
      <c r="AB159" s="15"/>
      <c r="AC159" s="15"/>
      <c r="AD159" s="15"/>
      <c r="AE159" s="646"/>
      <c r="AF159" s="53"/>
      <c r="AG159" s="15"/>
    </row>
    <row r="160" spans="1:33" ht="30" customHeight="1" x14ac:dyDescent="0.35">
      <c r="A160" s="573"/>
      <c r="B160" s="286">
        <f t="shared" si="12"/>
        <v>137</v>
      </c>
      <c r="C160" s="634"/>
      <c r="E160"/>
      <c r="H160" s="15"/>
      <c r="I160" s="15"/>
      <c r="J160" s="373"/>
      <c r="K160" s="213"/>
      <c r="L160" s="213"/>
      <c r="M160" s="213"/>
      <c r="N160" s="213"/>
      <c r="O160" s="9"/>
      <c r="P160" s="9"/>
      <c r="Q160" s="9"/>
      <c r="R160" s="203" t="b">
        <v>0</v>
      </c>
      <c r="S160" s="9" t="s">
        <v>201</v>
      </c>
      <c r="T160" s="9" t="s">
        <v>135</v>
      </c>
      <c r="U160" s="576"/>
      <c r="V160" s="576"/>
      <c r="Y160" s="15"/>
      <c r="Z160" s="368"/>
      <c r="AA160" s="15"/>
      <c r="AB160" s="15"/>
      <c r="AC160" s="15"/>
      <c r="AD160" s="15"/>
      <c r="AE160" s="15"/>
      <c r="AF160" s="53"/>
      <c r="AG160" s="15"/>
    </row>
    <row r="161" spans="1:33" x14ac:dyDescent="0.35">
      <c r="A161" s="573"/>
      <c r="B161" s="286">
        <f t="shared" si="12"/>
        <v>138</v>
      </c>
      <c r="C161" s="634"/>
      <c r="E161"/>
      <c r="H161" s="212"/>
      <c r="I161" s="15"/>
      <c r="J161" s="373"/>
      <c r="K161" s="213"/>
      <c r="L161" s="213"/>
      <c r="M161" s="213"/>
      <c r="N161" s="213"/>
      <c r="O161" s="9"/>
      <c r="P161" s="9"/>
      <c r="Q161" s="9"/>
      <c r="R161" s="576"/>
      <c r="S161" s="576"/>
      <c r="T161" s="576"/>
      <c r="U161" s="204" t="b">
        <v>0</v>
      </c>
      <c r="V161" s="9" t="s">
        <v>202</v>
      </c>
      <c r="W161" s="9"/>
      <c r="Y161" s="15"/>
      <c r="Z161" s="368"/>
      <c r="AA161" s="15"/>
      <c r="AB161" s="15"/>
      <c r="AC161" s="15"/>
      <c r="AD161" s="15"/>
      <c r="AE161" s="15"/>
      <c r="AF161" s="53"/>
      <c r="AG161" s="15"/>
    </row>
    <row r="162" spans="1:33" ht="30" customHeight="1" thickBot="1" x14ac:dyDescent="0.4">
      <c r="A162" s="574"/>
      <c r="B162" s="286">
        <f t="shared" si="12"/>
        <v>139</v>
      </c>
      <c r="C162" s="635"/>
      <c r="D162" s="55"/>
      <c r="E162" s="55"/>
      <c r="F162" s="55"/>
      <c r="G162" s="55"/>
      <c r="H162" s="56"/>
      <c r="I162" s="56"/>
      <c r="J162" s="374"/>
      <c r="K162" s="57"/>
      <c r="L162" s="57"/>
      <c r="M162" s="57"/>
      <c r="N162" s="57"/>
      <c r="O162" s="58"/>
      <c r="P162" s="58"/>
      <c r="Q162" s="58"/>
      <c r="R162" s="576"/>
      <c r="S162" s="576"/>
      <c r="T162" s="576"/>
      <c r="U162" s="576"/>
      <c r="V162" s="576"/>
      <c r="W162" s="58"/>
      <c r="X162" s="392"/>
      <c r="Y162" s="56"/>
      <c r="Z162" s="369"/>
      <c r="AA162" s="56"/>
      <c r="AB162" s="56"/>
      <c r="AC162" s="56"/>
      <c r="AD162" s="56"/>
      <c r="AE162" s="56"/>
      <c r="AF162" s="59"/>
      <c r="AG162" s="15"/>
    </row>
    <row r="163" spans="1:33" ht="15" hidden="1" customHeight="1" thickBot="1" x14ac:dyDescent="0.4">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15" customHeight="1" thickBot="1" x14ac:dyDescent="0.4">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4">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5" customHeight="1" x14ac:dyDescent="0.35">
      <c r="A166" s="572">
        <f>A154+1</f>
        <v>14</v>
      </c>
      <c r="B166" s="286">
        <f>B154+10</f>
        <v>141</v>
      </c>
      <c r="C166" s="644" t="str">
        <f>VLOOKUP(A166,INputs!$G$3:$O$22,7,FALSE)</f>
        <v>Please fill out Sensitivity Labels Tab</v>
      </c>
      <c r="D166" s="47"/>
      <c r="E166" s="47"/>
      <c r="F166" s="603" t="s">
        <v>136</v>
      </c>
      <c r="G166" s="603"/>
      <c r="H166" s="603" t="s">
        <v>136</v>
      </c>
      <c r="I166" s="603"/>
      <c r="J166" s="605" t="str">
        <f>J$10</f>
        <v>Select a check box</v>
      </c>
      <c r="K166" s="605"/>
      <c r="L166" s="605" t="s">
        <v>136</v>
      </c>
      <c r="M166" s="605"/>
      <c r="N166" s="605"/>
      <c r="O166" s="605" t="s">
        <v>136</v>
      </c>
      <c r="P166" s="605"/>
      <c r="Q166" s="605"/>
      <c r="R166" s="607" t="s">
        <v>179</v>
      </c>
      <c r="S166" s="607"/>
      <c r="T166" s="397" t="s">
        <v>135</v>
      </c>
      <c r="U166" s="575" t="s">
        <v>180</v>
      </c>
      <c r="V166" s="575"/>
      <c r="W166" s="50"/>
      <c r="X166" s="391"/>
      <c r="Y166" s="581" t="s">
        <v>136</v>
      </c>
      <c r="Z166" s="581"/>
      <c r="AA166" s="51"/>
      <c r="AB166" s="603"/>
      <c r="AC166" s="603"/>
      <c r="AD166" s="48"/>
      <c r="AE166" s="49" t="s">
        <v>181</v>
      </c>
      <c r="AF166" s="52"/>
      <c r="AG166" s="20"/>
    </row>
    <row r="167" spans="1:33" x14ac:dyDescent="0.35">
      <c r="A167" s="573"/>
      <c r="B167" s="286">
        <f>B166+1</f>
        <v>142</v>
      </c>
      <c r="C167" s="634"/>
      <c r="D167" s="8"/>
      <c r="E167" s="8"/>
      <c r="F167" s="208"/>
      <c r="G167" s="208"/>
      <c r="H167" s="208"/>
      <c r="I167" s="208"/>
      <c r="J167" s="376"/>
      <c r="K167" s="376"/>
      <c r="L167" s="376"/>
      <c r="M167" s="376"/>
      <c r="N167" s="376"/>
      <c r="O167" s="376"/>
      <c r="P167" s="376"/>
      <c r="Q167" s="376"/>
      <c r="R167" s="576"/>
      <c r="S167" s="576"/>
      <c r="T167" s="576"/>
      <c r="U167" s="396"/>
      <c r="V167" s="390" t="s">
        <v>137</v>
      </c>
      <c r="W167" s="216"/>
      <c r="X167" s="393"/>
      <c r="Y167" s="395"/>
      <c r="Z167" s="395"/>
      <c r="AA167" s="20"/>
      <c r="AB167" s="208"/>
      <c r="AC167" s="530" t="s">
        <v>136</v>
      </c>
      <c r="AD167" s="208"/>
      <c r="AE167" s="611"/>
      <c r="AF167" s="54"/>
      <c r="AG167" s="20"/>
    </row>
    <row r="168" spans="1:33" ht="30.5" x14ac:dyDescent="0.35">
      <c r="A168" s="573"/>
      <c r="B168" s="286">
        <f t="shared" ref="B168:B174" si="13">B167+1</f>
        <v>143</v>
      </c>
      <c r="C168" s="634"/>
      <c r="E168" s="200" t="b">
        <v>0</v>
      </c>
      <c r="F168" s="3" t="s">
        <v>182</v>
      </c>
      <c r="H168" s="200" t="b">
        <v>0</v>
      </c>
      <c r="I168" s="210" t="s">
        <v>183</v>
      </c>
      <c r="J168" s="201" t="b">
        <v>0</v>
      </c>
      <c r="K168" s="202" t="s">
        <v>184</v>
      </c>
      <c r="L168" s="203" t="b">
        <v>0</v>
      </c>
      <c r="M168" s="9" t="s">
        <v>185</v>
      </c>
      <c r="N168" s="213"/>
      <c r="O168" s="203" t="b">
        <v>0</v>
      </c>
      <c r="P168" s="9" t="s">
        <v>186</v>
      </c>
      <c r="Q168" s="9"/>
      <c r="R168" s="576"/>
      <c r="S168" s="576"/>
      <c r="T168" s="576"/>
      <c r="U168" s="576"/>
      <c r="V168" s="576"/>
      <c r="W168" s="216"/>
      <c r="X168" s="204" t="b">
        <v>0</v>
      </c>
      <c r="Y168" s="205" t="s">
        <v>187</v>
      </c>
      <c r="Z168" s="371"/>
      <c r="AA168" s="15"/>
      <c r="AB168" s="529" t="b">
        <v>0</v>
      </c>
      <c r="AC168" s="389" t="s">
        <v>188</v>
      </c>
      <c r="AD168" s="15"/>
      <c r="AE168" s="611"/>
      <c r="AF168" s="53"/>
      <c r="AG168" s="15"/>
    </row>
    <row r="169" spans="1:33" ht="35.15" customHeight="1" x14ac:dyDescent="0.35">
      <c r="A169" s="573"/>
      <c r="B169" s="286">
        <f t="shared" si="13"/>
        <v>144</v>
      </c>
      <c r="C169" s="634"/>
      <c r="E169" s="200" t="b">
        <v>0</v>
      </c>
      <c r="F169" s="196" t="s">
        <v>189</v>
      </c>
      <c r="H169" s="15"/>
      <c r="I169" s="210"/>
      <c r="J169" s="204" t="b">
        <v>0</v>
      </c>
      <c r="K169" s="606"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5" customHeight="1" x14ac:dyDescent="0.35">
      <c r="A170" s="573"/>
      <c r="B170" s="286">
        <f t="shared" si="13"/>
        <v>145</v>
      </c>
      <c r="C170" s="634"/>
      <c r="E170" s="200" t="b">
        <v>0</v>
      </c>
      <c r="F170" s="609" t="s">
        <v>204</v>
      </c>
      <c r="H170" s="200" t="b">
        <v>0</v>
      </c>
      <c r="I170" s="210" t="s">
        <v>197</v>
      </c>
      <c r="J170" s="205"/>
      <c r="K170" s="606"/>
      <c r="L170" s="203" t="b">
        <v>0</v>
      </c>
      <c r="M170" s="44" t="s">
        <v>198</v>
      </c>
      <c r="N170" s="211">
        <v>6</v>
      </c>
      <c r="O170" s="203" t="b">
        <v>0</v>
      </c>
      <c r="P170" s="9" t="s">
        <v>198</v>
      </c>
      <c r="Q170" s="211">
        <v>0</v>
      </c>
      <c r="R170" s="576"/>
      <c r="S170" s="576"/>
      <c r="T170" s="576"/>
      <c r="U170" s="577" t="s">
        <v>136</v>
      </c>
      <c r="V170" s="577"/>
      <c r="W170" s="577"/>
      <c r="X170" s="204" t="b">
        <v>0</v>
      </c>
      <c r="Y170" s="9" t="s">
        <v>199</v>
      </c>
      <c r="Z170" s="576"/>
      <c r="AA170" s="15"/>
      <c r="AB170" s="217"/>
      <c r="AC170" s="22"/>
      <c r="AD170" s="15"/>
      <c r="AE170" s="646"/>
      <c r="AF170" s="53"/>
      <c r="AG170" s="15"/>
    </row>
    <row r="171" spans="1:33" x14ac:dyDescent="0.35">
      <c r="A171" s="573"/>
      <c r="B171" s="286">
        <f t="shared" si="13"/>
        <v>146</v>
      </c>
      <c r="C171" s="634"/>
      <c r="F171" s="609"/>
      <c r="H171" s="15"/>
      <c r="I171" s="15"/>
      <c r="J171" s="205"/>
      <c r="K171" s="9"/>
      <c r="L171" s="15"/>
      <c r="M171" s="15"/>
      <c r="N171" s="218"/>
      <c r="O171" s="9"/>
      <c r="P171" s="9"/>
      <c r="Q171" s="9"/>
      <c r="R171" s="576"/>
      <c r="S171" s="576"/>
      <c r="T171" s="576"/>
      <c r="U171" s="204" t="b">
        <v>0</v>
      </c>
      <c r="V171" s="205" t="s">
        <v>200</v>
      </c>
      <c r="W171" s="216"/>
      <c r="Y171" s="15"/>
      <c r="Z171" s="576"/>
      <c r="AA171" s="15"/>
      <c r="AB171" s="15"/>
      <c r="AC171" s="15"/>
      <c r="AD171" s="15"/>
      <c r="AE171" s="646"/>
      <c r="AF171" s="53"/>
      <c r="AG171" s="15"/>
    </row>
    <row r="172" spans="1:33" ht="30" customHeight="1" x14ac:dyDescent="0.35">
      <c r="A172" s="573"/>
      <c r="B172" s="286">
        <f t="shared" si="13"/>
        <v>147</v>
      </c>
      <c r="C172" s="634"/>
      <c r="E172"/>
      <c r="H172" s="15"/>
      <c r="I172" s="15"/>
      <c r="J172" s="373"/>
      <c r="K172" s="213"/>
      <c r="L172" s="213"/>
      <c r="M172" s="213"/>
      <c r="N172" s="213"/>
      <c r="O172" s="9"/>
      <c r="P172" s="9"/>
      <c r="Q172" s="9"/>
      <c r="R172" s="203" t="b">
        <v>0</v>
      </c>
      <c r="S172" s="9" t="s">
        <v>201</v>
      </c>
      <c r="T172" s="9" t="s">
        <v>135</v>
      </c>
      <c r="U172" s="576"/>
      <c r="V172" s="576"/>
      <c r="Y172" s="15"/>
      <c r="Z172" s="368"/>
      <c r="AA172" s="15"/>
      <c r="AB172" s="15"/>
      <c r="AC172" s="15"/>
      <c r="AD172" s="15"/>
      <c r="AE172" s="15"/>
      <c r="AF172" s="53"/>
      <c r="AG172" s="15"/>
    </row>
    <row r="173" spans="1:33" x14ac:dyDescent="0.35">
      <c r="A173" s="573"/>
      <c r="B173" s="286">
        <f t="shared" si="13"/>
        <v>148</v>
      </c>
      <c r="C173" s="634"/>
      <c r="E173"/>
      <c r="H173" s="212"/>
      <c r="I173" s="15"/>
      <c r="J173" s="373"/>
      <c r="K173" s="213"/>
      <c r="L173" s="213"/>
      <c r="M173" s="213"/>
      <c r="N173" s="213"/>
      <c r="O173" s="9"/>
      <c r="P173" s="9"/>
      <c r="Q173" s="9"/>
      <c r="R173" s="576"/>
      <c r="S173" s="576"/>
      <c r="T173" s="576"/>
      <c r="U173" s="204" t="b">
        <v>0</v>
      </c>
      <c r="V173" s="9" t="s">
        <v>202</v>
      </c>
      <c r="W173" s="9"/>
      <c r="Y173" s="15"/>
      <c r="Z173" s="368"/>
      <c r="AA173" s="15"/>
      <c r="AB173" s="15"/>
      <c r="AC173" s="15"/>
      <c r="AD173" s="15"/>
      <c r="AE173" s="15"/>
      <c r="AF173" s="53"/>
      <c r="AG173" s="15"/>
    </row>
    <row r="174" spans="1:33" ht="30" customHeight="1" thickBot="1" x14ac:dyDescent="0.4">
      <c r="A174" s="574"/>
      <c r="B174" s="286">
        <f t="shared" si="13"/>
        <v>149</v>
      </c>
      <c r="C174" s="635"/>
      <c r="D174" s="55"/>
      <c r="E174" s="55"/>
      <c r="F174" s="55"/>
      <c r="G174" s="55"/>
      <c r="H174" s="56"/>
      <c r="I174" s="56"/>
      <c r="J174" s="374"/>
      <c r="K174" s="57"/>
      <c r="L174" s="57"/>
      <c r="M174" s="57"/>
      <c r="N174" s="57"/>
      <c r="O174" s="58"/>
      <c r="P174" s="58"/>
      <c r="Q174" s="58"/>
      <c r="R174" s="576"/>
      <c r="S174" s="576"/>
      <c r="T174" s="576"/>
      <c r="U174" s="576"/>
      <c r="V174" s="576"/>
      <c r="W174" s="58"/>
      <c r="X174" s="392"/>
      <c r="Y174" s="56"/>
      <c r="Z174" s="369"/>
      <c r="AA174" s="56"/>
      <c r="AB174" s="56"/>
      <c r="AC174" s="56"/>
      <c r="AD174" s="56"/>
      <c r="AE174" s="56"/>
      <c r="AF174" s="59"/>
      <c r="AG174" s="15"/>
    </row>
    <row r="175" spans="1:33" ht="15" hidden="1" customHeight="1" thickBot="1" x14ac:dyDescent="0.4">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15" customHeight="1" thickBot="1" x14ac:dyDescent="0.4">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4">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5" customHeight="1" x14ac:dyDescent="0.35">
      <c r="A178" s="572">
        <f>A166+1</f>
        <v>15</v>
      </c>
      <c r="B178" s="286">
        <f>B166+10</f>
        <v>151</v>
      </c>
      <c r="C178" s="644" t="str">
        <f>VLOOKUP(A178,INputs!$G$3:$O$22,7,FALSE)</f>
        <v>Please fill out Sensitivity Labels Tab</v>
      </c>
      <c r="D178" s="47"/>
      <c r="E178" s="47"/>
      <c r="F178" s="603" t="s">
        <v>136</v>
      </c>
      <c r="G178" s="603"/>
      <c r="H178" s="603" t="s">
        <v>136</v>
      </c>
      <c r="I178" s="603"/>
      <c r="J178" s="605" t="str">
        <f>J$10</f>
        <v>Select a check box</v>
      </c>
      <c r="K178" s="605"/>
      <c r="L178" s="605" t="s">
        <v>136</v>
      </c>
      <c r="M178" s="605"/>
      <c r="N178" s="605"/>
      <c r="O178" s="605" t="s">
        <v>136</v>
      </c>
      <c r="P178" s="605"/>
      <c r="Q178" s="605"/>
      <c r="R178" s="607" t="s">
        <v>179</v>
      </c>
      <c r="S178" s="607"/>
      <c r="T178" s="397" t="s">
        <v>135</v>
      </c>
      <c r="U178" s="575" t="s">
        <v>180</v>
      </c>
      <c r="V178" s="575"/>
      <c r="W178" s="50"/>
      <c r="X178" s="391"/>
      <c r="Y178" s="581" t="s">
        <v>136</v>
      </c>
      <c r="Z178" s="581"/>
      <c r="AA178" s="51"/>
      <c r="AB178" s="603"/>
      <c r="AC178" s="603"/>
      <c r="AD178" s="48"/>
      <c r="AE178" s="49" t="s">
        <v>181</v>
      </c>
      <c r="AF178" s="52"/>
      <c r="AG178" s="20"/>
    </row>
    <row r="179" spans="1:33" x14ac:dyDescent="0.35">
      <c r="A179" s="573"/>
      <c r="B179" s="286">
        <f>B178+1</f>
        <v>152</v>
      </c>
      <c r="C179" s="634"/>
      <c r="D179" s="8"/>
      <c r="E179" s="8"/>
      <c r="F179" s="208"/>
      <c r="G179" s="208"/>
      <c r="H179" s="208"/>
      <c r="I179" s="208"/>
      <c r="J179" s="376"/>
      <c r="K179" s="376"/>
      <c r="L179" s="376"/>
      <c r="M179" s="376"/>
      <c r="N179" s="376"/>
      <c r="O179" s="376"/>
      <c r="P179" s="376"/>
      <c r="Q179" s="376"/>
      <c r="R179" s="576"/>
      <c r="S179" s="576"/>
      <c r="T179" s="576"/>
      <c r="U179" s="396"/>
      <c r="V179" s="390" t="s">
        <v>137</v>
      </c>
      <c r="W179" s="216"/>
      <c r="X179" s="393"/>
      <c r="Y179" s="395"/>
      <c r="Z179" s="395"/>
      <c r="AA179" s="20"/>
      <c r="AB179" s="208"/>
      <c r="AC179" s="530" t="s">
        <v>136</v>
      </c>
      <c r="AD179" s="208"/>
      <c r="AE179" s="611"/>
      <c r="AF179" s="54"/>
      <c r="AG179" s="20"/>
    </row>
    <row r="180" spans="1:33" ht="30.5" x14ac:dyDescent="0.35">
      <c r="A180" s="573"/>
      <c r="B180" s="286">
        <f t="shared" ref="B180:B186" si="14">B179+1</f>
        <v>153</v>
      </c>
      <c r="C180" s="634"/>
      <c r="E180" s="200" t="b">
        <v>0</v>
      </c>
      <c r="F180" s="3" t="s">
        <v>182</v>
      </c>
      <c r="H180" s="200" t="b">
        <v>0</v>
      </c>
      <c r="I180" s="210" t="s">
        <v>183</v>
      </c>
      <c r="J180" s="201" t="b">
        <v>0</v>
      </c>
      <c r="K180" s="202" t="s">
        <v>184</v>
      </c>
      <c r="L180" s="203" t="b">
        <v>0</v>
      </c>
      <c r="M180" s="9" t="s">
        <v>185</v>
      </c>
      <c r="N180" s="213"/>
      <c r="O180" s="203" t="b">
        <v>0</v>
      </c>
      <c r="P180" s="9" t="s">
        <v>186</v>
      </c>
      <c r="Q180" s="9"/>
      <c r="R180" s="576"/>
      <c r="S180" s="576"/>
      <c r="T180" s="576"/>
      <c r="U180" s="576"/>
      <c r="V180" s="576"/>
      <c r="W180" s="216"/>
      <c r="X180" s="204" t="b">
        <v>0</v>
      </c>
      <c r="Y180" s="205" t="s">
        <v>187</v>
      </c>
      <c r="Z180" s="371"/>
      <c r="AA180" s="15"/>
      <c r="AB180" s="529" t="b">
        <v>0</v>
      </c>
      <c r="AC180" s="389" t="s">
        <v>188</v>
      </c>
      <c r="AD180" s="15"/>
      <c r="AE180" s="611"/>
      <c r="AF180" s="53"/>
      <c r="AG180" s="15"/>
    </row>
    <row r="181" spans="1:33" ht="35.15" customHeight="1" x14ac:dyDescent="0.35">
      <c r="A181" s="573"/>
      <c r="B181" s="286">
        <f t="shared" si="14"/>
        <v>154</v>
      </c>
      <c r="C181" s="634"/>
      <c r="E181" s="200" t="b">
        <v>0</v>
      </c>
      <c r="F181" s="196" t="s">
        <v>189</v>
      </c>
      <c r="H181" s="15"/>
      <c r="I181" s="210"/>
      <c r="J181" s="204" t="b">
        <v>0</v>
      </c>
      <c r="K181" s="606"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5" customHeight="1" x14ac:dyDescent="0.35">
      <c r="A182" s="573"/>
      <c r="B182" s="286">
        <f t="shared" si="14"/>
        <v>155</v>
      </c>
      <c r="C182" s="634"/>
      <c r="E182" s="200" t="b">
        <v>0</v>
      </c>
      <c r="F182" s="609" t="s">
        <v>204</v>
      </c>
      <c r="H182" s="200" t="b">
        <v>0</v>
      </c>
      <c r="I182" s="210" t="s">
        <v>197</v>
      </c>
      <c r="J182" s="205"/>
      <c r="K182" s="606"/>
      <c r="L182" s="203" t="b">
        <v>0</v>
      </c>
      <c r="M182" s="44" t="s">
        <v>198</v>
      </c>
      <c r="N182" s="211">
        <v>6</v>
      </c>
      <c r="O182" s="203" t="b">
        <v>0</v>
      </c>
      <c r="P182" s="9" t="s">
        <v>198</v>
      </c>
      <c r="Q182" s="211">
        <v>0</v>
      </c>
      <c r="R182" s="576"/>
      <c r="S182" s="576"/>
      <c r="T182" s="576"/>
      <c r="U182" s="577" t="s">
        <v>136</v>
      </c>
      <c r="V182" s="577"/>
      <c r="W182" s="577"/>
      <c r="X182" s="204" t="b">
        <v>0</v>
      </c>
      <c r="Y182" s="9" t="s">
        <v>199</v>
      </c>
      <c r="Z182" s="576"/>
      <c r="AA182" s="15"/>
      <c r="AB182" s="217"/>
      <c r="AC182" s="22"/>
      <c r="AD182" s="15"/>
      <c r="AE182" s="646"/>
      <c r="AF182" s="53"/>
      <c r="AG182" s="15"/>
    </row>
    <row r="183" spans="1:33" x14ac:dyDescent="0.35">
      <c r="A183" s="573"/>
      <c r="B183" s="286">
        <f t="shared" si="14"/>
        <v>156</v>
      </c>
      <c r="C183" s="634"/>
      <c r="F183" s="609"/>
      <c r="H183" s="15"/>
      <c r="I183" s="15"/>
      <c r="J183" s="205"/>
      <c r="K183" s="9"/>
      <c r="L183" s="15"/>
      <c r="M183" s="15"/>
      <c r="N183" s="218"/>
      <c r="O183" s="9"/>
      <c r="P183" s="9"/>
      <c r="Q183" s="9"/>
      <c r="R183" s="576"/>
      <c r="S183" s="576"/>
      <c r="T183" s="576"/>
      <c r="U183" s="204" t="b">
        <v>0</v>
      </c>
      <c r="V183" s="205" t="s">
        <v>200</v>
      </c>
      <c r="W183" s="216"/>
      <c r="Y183" s="15"/>
      <c r="Z183" s="576"/>
      <c r="AA183" s="15"/>
      <c r="AB183" s="15"/>
      <c r="AC183" s="15"/>
      <c r="AD183" s="15"/>
      <c r="AE183" s="646"/>
      <c r="AF183" s="53"/>
      <c r="AG183" s="15"/>
    </row>
    <row r="184" spans="1:33" ht="30" customHeight="1" x14ac:dyDescent="0.35">
      <c r="A184" s="573"/>
      <c r="B184" s="286">
        <f t="shared" si="14"/>
        <v>157</v>
      </c>
      <c r="C184" s="634"/>
      <c r="E184"/>
      <c r="H184" s="15"/>
      <c r="I184" s="15"/>
      <c r="J184" s="373"/>
      <c r="K184" s="213"/>
      <c r="L184" s="213"/>
      <c r="M184" s="213"/>
      <c r="N184" s="213"/>
      <c r="O184" s="9"/>
      <c r="P184" s="9"/>
      <c r="Q184" s="9"/>
      <c r="R184" s="203" t="b">
        <v>0</v>
      </c>
      <c r="S184" s="9" t="s">
        <v>201</v>
      </c>
      <c r="T184" s="9" t="s">
        <v>135</v>
      </c>
      <c r="U184" s="576"/>
      <c r="V184" s="576"/>
      <c r="Y184" s="15"/>
      <c r="Z184" s="368"/>
      <c r="AA184" s="15"/>
      <c r="AB184" s="15"/>
      <c r="AC184" s="15"/>
      <c r="AD184" s="15"/>
      <c r="AE184" s="15"/>
      <c r="AF184" s="53"/>
      <c r="AG184" s="15"/>
    </row>
    <row r="185" spans="1:33" x14ac:dyDescent="0.35">
      <c r="A185" s="573"/>
      <c r="B185" s="286">
        <f t="shared" si="14"/>
        <v>158</v>
      </c>
      <c r="C185" s="634"/>
      <c r="E185"/>
      <c r="H185" s="212"/>
      <c r="I185" s="15"/>
      <c r="J185" s="373"/>
      <c r="K185" s="213"/>
      <c r="L185" s="213"/>
      <c r="M185" s="213"/>
      <c r="N185" s="213"/>
      <c r="O185" s="9"/>
      <c r="P185" s="9"/>
      <c r="Q185" s="9"/>
      <c r="R185" s="576"/>
      <c r="S185" s="576"/>
      <c r="T185" s="576"/>
      <c r="U185" s="204" t="b">
        <v>0</v>
      </c>
      <c r="V185" s="9" t="s">
        <v>202</v>
      </c>
      <c r="W185" s="9"/>
      <c r="Y185" s="15"/>
      <c r="Z185" s="368"/>
      <c r="AA185" s="15"/>
      <c r="AB185" s="15"/>
      <c r="AC185" s="15"/>
      <c r="AD185" s="15"/>
      <c r="AE185" s="15"/>
      <c r="AF185" s="53"/>
      <c r="AG185" s="15"/>
    </row>
    <row r="186" spans="1:33" ht="30" customHeight="1" thickBot="1" x14ac:dyDescent="0.4">
      <c r="A186" s="574"/>
      <c r="B186" s="286">
        <f t="shared" si="14"/>
        <v>159</v>
      </c>
      <c r="C186" s="635"/>
      <c r="D186" s="55"/>
      <c r="E186" s="55"/>
      <c r="F186" s="55"/>
      <c r="G186" s="55"/>
      <c r="H186" s="56"/>
      <c r="I186" s="56"/>
      <c r="J186" s="374"/>
      <c r="K186" s="57"/>
      <c r="L186" s="57"/>
      <c r="M186" s="57"/>
      <c r="N186" s="57"/>
      <c r="O186" s="58"/>
      <c r="P186" s="58"/>
      <c r="Q186" s="58"/>
      <c r="R186" s="576"/>
      <c r="S186" s="576"/>
      <c r="T186" s="576"/>
      <c r="U186" s="576"/>
      <c r="V186" s="576"/>
      <c r="W186" s="58"/>
      <c r="X186" s="392"/>
      <c r="Y186" s="56"/>
      <c r="Z186" s="369"/>
      <c r="AA186" s="56"/>
      <c r="AB186" s="56"/>
      <c r="AC186" s="56"/>
      <c r="AD186" s="56"/>
      <c r="AE186" s="56"/>
      <c r="AF186" s="59"/>
      <c r="AG186" s="15"/>
    </row>
    <row r="187" spans="1:33" ht="15" hidden="1" customHeight="1" thickBot="1" x14ac:dyDescent="0.4">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15" customHeight="1" thickBot="1" x14ac:dyDescent="0.4">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4">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5" customHeight="1" x14ac:dyDescent="0.35">
      <c r="A190" s="572">
        <f>A178+1</f>
        <v>16</v>
      </c>
      <c r="B190" s="286">
        <f>B178+10</f>
        <v>161</v>
      </c>
      <c r="C190" s="644" t="str">
        <f>VLOOKUP(A190,INputs!$G$3:$O$22,7,FALSE)</f>
        <v>Please fill out Sensitivity Labels Tab</v>
      </c>
      <c r="D190" s="47"/>
      <c r="E190" s="47"/>
      <c r="F190" s="603" t="s">
        <v>136</v>
      </c>
      <c r="G190" s="603"/>
      <c r="H190" s="603" t="s">
        <v>136</v>
      </c>
      <c r="I190" s="603"/>
      <c r="J190" s="605" t="str">
        <f>J$10</f>
        <v>Select a check box</v>
      </c>
      <c r="K190" s="605"/>
      <c r="L190" s="605" t="s">
        <v>136</v>
      </c>
      <c r="M190" s="605"/>
      <c r="N190" s="605"/>
      <c r="O190" s="605" t="s">
        <v>136</v>
      </c>
      <c r="P190" s="605"/>
      <c r="Q190" s="605"/>
      <c r="R190" s="607" t="s">
        <v>179</v>
      </c>
      <c r="S190" s="607"/>
      <c r="T190" s="397" t="s">
        <v>135</v>
      </c>
      <c r="U190" s="575" t="s">
        <v>180</v>
      </c>
      <c r="V190" s="575"/>
      <c r="W190" s="50"/>
      <c r="X190" s="391"/>
      <c r="Y190" s="581" t="s">
        <v>136</v>
      </c>
      <c r="Z190" s="581"/>
      <c r="AA190" s="51"/>
      <c r="AB190" s="603"/>
      <c r="AC190" s="603"/>
      <c r="AD190" s="48"/>
      <c r="AE190" s="49" t="s">
        <v>181</v>
      </c>
      <c r="AF190" s="52"/>
      <c r="AG190" s="20"/>
    </row>
    <row r="191" spans="1:33" x14ac:dyDescent="0.35">
      <c r="A191" s="573"/>
      <c r="B191" s="286">
        <f>B190+1</f>
        <v>162</v>
      </c>
      <c r="C191" s="634"/>
      <c r="D191" s="8"/>
      <c r="E191" s="8"/>
      <c r="F191" s="208"/>
      <c r="G191" s="208"/>
      <c r="H191" s="208"/>
      <c r="I191" s="208"/>
      <c r="J191" s="376"/>
      <c r="K191" s="376"/>
      <c r="L191" s="376"/>
      <c r="M191" s="376"/>
      <c r="N191" s="376"/>
      <c r="O191" s="376"/>
      <c r="P191" s="376"/>
      <c r="Q191" s="376"/>
      <c r="R191" s="576"/>
      <c r="S191" s="576"/>
      <c r="T191" s="576"/>
      <c r="U191" s="396"/>
      <c r="V191" s="390" t="s">
        <v>137</v>
      </c>
      <c r="W191" s="216"/>
      <c r="X191" s="393"/>
      <c r="Y191" s="395"/>
      <c r="Z191" s="395"/>
      <c r="AA191" s="20"/>
      <c r="AB191" s="208"/>
      <c r="AC191" s="530" t="s">
        <v>136</v>
      </c>
      <c r="AD191" s="208"/>
      <c r="AE191" s="611"/>
      <c r="AF191" s="54"/>
      <c r="AG191" s="20"/>
    </row>
    <row r="192" spans="1:33" ht="30.5" x14ac:dyDescent="0.35">
      <c r="A192" s="573"/>
      <c r="B192" s="286">
        <f t="shared" ref="B192:B198" si="15">B191+1</f>
        <v>163</v>
      </c>
      <c r="C192" s="634"/>
      <c r="E192" s="200" t="b">
        <v>0</v>
      </c>
      <c r="F192" s="3" t="s">
        <v>182</v>
      </c>
      <c r="H192" s="200" t="b">
        <v>0</v>
      </c>
      <c r="I192" s="210" t="s">
        <v>183</v>
      </c>
      <c r="J192" s="201" t="b">
        <v>0</v>
      </c>
      <c r="K192" s="202" t="s">
        <v>184</v>
      </c>
      <c r="L192" s="203" t="b">
        <v>0</v>
      </c>
      <c r="M192" s="9" t="s">
        <v>185</v>
      </c>
      <c r="N192" s="213"/>
      <c r="O192" s="203" t="b">
        <v>0</v>
      </c>
      <c r="P192" s="9" t="s">
        <v>186</v>
      </c>
      <c r="Q192" s="9"/>
      <c r="R192" s="576"/>
      <c r="S192" s="576"/>
      <c r="T192" s="576"/>
      <c r="U192" s="576"/>
      <c r="V192" s="576"/>
      <c r="W192" s="216"/>
      <c r="X192" s="204" t="b">
        <v>0</v>
      </c>
      <c r="Y192" s="205" t="s">
        <v>187</v>
      </c>
      <c r="Z192" s="371"/>
      <c r="AA192" s="15"/>
      <c r="AB192" s="529" t="b">
        <v>0</v>
      </c>
      <c r="AC192" s="389" t="s">
        <v>188</v>
      </c>
      <c r="AD192" s="15"/>
      <c r="AE192" s="611"/>
      <c r="AF192" s="53"/>
      <c r="AG192" s="15"/>
    </row>
    <row r="193" spans="1:33" ht="35.15" customHeight="1" x14ac:dyDescent="0.35">
      <c r="A193" s="573"/>
      <c r="B193" s="286">
        <f t="shared" si="15"/>
        <v>164</v>
      </c>
      <c r="C193" s="634"/>
      <c r="E193" s="200" t="b">
        <v>0</v>
      </c>
      <c r="F193" s="196" t="s">
        <v>189</v>
      </c>
      <c r="H193" s="15"/>
      <c r="I193" s="210"/>
      <c r="J193" s="204" t="b">
        <v>0</v>
      </c>
      <c r="K193" s="606"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5" customHeight="1" x14ac:dyDescent="0.35">
      <c r="A194" s="573"/>
      <c r="B194" s="286">
        <f t="shared" si="15"/>
        <v>165</v>
      </c>
      <c r="C194" s="634"/>
      <c r="E194" s="200" t="b">
        <v>0</v>
      </c>
      <c r="F194" s="609" t="s">
        <v>204</v>
      </c>
      <c r="H194" s="200" t="b">
        <v>0</v>
      </c>
      <c r="I194" s="210" t="s">
        <v>197</v>
      </c>
      <c r="J194" s="205"/>
      <c r="K194" s="606"/>
      <c r="L194" s="203" t="b">
        <v>0</v>
      </c>
      <c r="M194" s="44" t="s">
        <v>198</v>
      </c>
      <c r="N194" s="211">
        <v>6</v>
      </c>
      <c r="O194" s="203" t="b">
        <v>0</v>
      </c>
      <c r="P194" s="9" t="s">
        <v>198</v>
      </c>
      <c r="Q194" s="211">
        <v>0</v>
      </c>
      <c r="R194" s="576"/>
      <c r="S194" s="576"/>
      <c r="T194" s="576"/>
      <c r="U194" s="577" t="s">
        <v>136</v>
      </c>
      <c r="V194" s="577"/>
      <c r="W194" s="577"/>
      <c r="X194" s="204" t="b">
        <v>0</v>
      </c>
      <c r="Y194" s="9" t="s">
        <v>199</v>
      </c>
      <c r="Z194" s="576"/>
      <c r="AA194" s="15"/>
      <c r="AB194" s="217"/>
      <c r="AC194" s="22"/>
      <c r="AD194" s="15"/>
      <c r="AE194" s="646"/>
      <c r="AF194" s="53"/>
      <c r="AG194" s="15"/>
    </row>
    <row r="195" spans="1:33" x14ac:dyDescent="0.35">
      <c r="A195" s="573"/>
      <c r="B195" s="286">
        <f t="shared" si="15"/>
        <v>166</v>
      </c>
      <c r="C195" s="634"/>
      <c r="F195" s="609"/>
      <c r="H195" s="15"/>
      <c r="I195" s="15"/>
      <c r="J195" s="205"/>
      <c r="K195" s="9"/>
      <c r="L195" s="15"/>
      <c r="M195" s="15"/>
      <c r="N195" s="218"/>
      <c r="O195" s="9"/>
      <c r="P195" s="9"/>
      <c r="Q195" s="9"/>
      <c r="R195" s="576"/>
      <c r="S195" s="576"/>
      <c r="T195" s="576"/>
      <c r="U195" s="204" t="b">
        <v>0</v>
      </c>
      <c r="V195" s="205" t="s">
        <v>200</v>
      </c>
      <c r="W195" s="216"/>
      <c r="Y195" s="15"/>
      <c r="Z195" s="576"/>
      <c r="AA195" s="15"/>
      <c r="AB195" s="15"/>
      <c r="AC195" s="15"/>
      <c r="AD195" s="15"/>
      <c r="AE195" s="646"/>
      <c r="AF195" s="53"/>
      <c r="AG195" s="15"/>
    </row>
    <row r="196" spans="1:33" ht="30" customHeight="1" x14ac:dyDescent="0.35">
      <c r="A196" s="573"/>
      <c r="B196" s="286">
        <f t="shared" si="15"/>
        <v>167</v>
      </c>
      <c r="C196" s="634"/>
      <c r="E196"/>
      <c r="H196" s="15"/>
      <c r="I196" s="15"/>
      <c r="J196" s="373"/>
      <c r="K196" s="213"/>
      <c r="L196" s="213"/>
      <c r="M196" s="213"/>
      <c r="N196" s="213"/>
      <c r="O196" s="9"/>
      <c r="P196" s="9"/>
      <c r="Q196" s="9"/>
      <c r="R196" s="203" t="b">
        <v>0</v>
      </c>
      <c r="S196" s="9" t="s">
        <v>201</v>
      </c>
      <c r="T196" s="9" t="s">
        <v>135</v>
      </c>
      <c r="U196" s="576"/>
      <c r="V196" s="576"/>
      <c r="Y196" s="15"/>
      <c r="Z196" s="368"/>
      <c r="AA196" s="15"/>
      <c r="AB196" s="15"/>
      <c r="AC196" s="15"/>
      <c r="AD196" s="15"/>
      <c r="AE196" s="15"/>
      <c r="AF196" s="53"/>
      <c r="AG196" s="15"/>
    </row>
    <row r="197" spans="1:33" x14ac:dyDescent="0.35">
      <c r="A197" s="573"/>
      <c r="B197" s="286">
        <f t="shared" si="15"/>
        <v>168</v>
      </c>
      <c r="C197" s="634"/>
      <c r="E197"/>
      <c r="H197" s="212"/>
      <c r="I197" s="15"/>
      <c r="J197" s="373"/>
      <c r="K197" s="213"/>
      <c r="L197" s="213"/>
      <c r="M197" s="213"/>
      <c r="N197" s="213"/>
      <c r="O197" s="9"/>
      <c r="P197" s="9"/>
      <c r="Q197" s="9"/>
      <c r="R197" s="576"/>
      <c r="S197" s="576"/>
      <c r="T197" s="576"/>
      <c r="U197" s="204" t="b">
        <v>0</v>
      </c>
      <c r="V197" s="9" t="s">
        <v>202</v>
      </c>
      <c r="W197" s="9"/>
      <c r="Y197" s="15"/>
      <c r="Z197" s="368"/>
      <c r="AA197" s="15"/>
      <c r="AB197" s="15"/>
      <c r="AC197" s="15"/>
      <c r="AD197" s="15"/>
      <c r="AE197" s="15"/>
      <c r="AF197" s="53"/>
      <c r="AG197" s="15"/>
    </row>
    <row r="198" spans="1:33" ht="30" customHeight="1" thickBot="1" x14ac:dyDescent="0.4">
      <c r="A198" s="574"/>
      <c r="B198" s="286">
        <f t="shared" si="15"/>
        <v>169</v>
      </c>
      <c r="C198" s="635"/>
      <c r="D198" s="55"/>
      <c r="E198" s="55"/>
      <c r="F198" s="55"/>
      <c r="G198" s="55"/>
      <c r="H198" s="56"/>
      <c r="I198" s="56"/>
      <c r="J198" s="374"/>
      <c r="K198" s="57"/>
      <c r="L198" s="57"/>
      <c r="M198" s="57"/>
      <c r="N198" s="57"/>
      <c r="O198" s="58"/>
      <c r="P198" s="58"/>
      <c r="Q198" s="58"/>
      <c r="R198" s="576"/>
      <c r="S198" s="576"/>
      <c r="T198" s="576"/>
      <c r="U198" s="576"/>
      <c r="V198" s="576"/>
      <c r="W198" s="58"/>
      <c r="X198" s="392"/>
      <c r="Y198" s="56"/>
      <c r="Z198" s="369"/>
      <c r="AA198" s="56"/>
      <c r="AB198" s="56"/>
      <c r="AC198" s="56"/>
      <c r="AD198" s="56"/>
      <c r="AE198" s="56"/>
      <c r="AF198" s="59"/>
      <c r="AG198" s="15"/>
    </row>
    <row r="199" spans="1:33" ht="15" hidden="1" customHeight="1" thickBot="1" x14ac:dyDescent="0.4">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15" customHeight="1" thickBot="1" x14ac:dyDescent="0.4">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4">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5" customHeight="1" x14ac:dyDescent="0.35">
      <c r="A202" s="572">
        <f>A190+1</f>
        <v>17</v>
      </c>
      <c r="B202" s="286">
        <f>B190+10</f>
        <v>171</v>
      </c>
      <c r="C202" s="644" t="str">
        <f>VLOOKUP(A202,INputs!$G$3:$O$22,7,FALSE)</f>
        <v>Please fill out Sensitivity Labels Tab</v>
      </c>
      <c r="D202" s="47"/>
      <c r="E202" s="47"/>
      <c r="F202" s="603" t="s">
        <v>136</v>
      </c>
      <c r="G202" s="603"/>
      <c r="H202" s="603" t="s">
        <v>136</v>
      </c>
      <c r="I202" s="603"/>
      <c r="J202" s="605" t="str">
        <f>J$10</f>
        <v>Select a check box</v>
      </c>
      <c r="K202" s="605"/>
      <c r="L202" s="605" t="s">
        <v>136</v>
      </c>
      <c r="M202" s="605"/>
      <c r="N202" s="605"/>
      <c r="O202" s="605" t="s">
        <v>136</v>
      </c>
      <c r="P202" s="605"/>
      <c r="Q202" s="605"/>
      <c r="R202" s="607" t="s">
        <v>179</v>
      </c>
      <c r="S202" s="607"/>
      <c r="T202" s="397" t="s">
        <v>135</v>
      </c>
      <c r="U202" s="575" t="s">
        <v>180</v>
      </c>
      <c r="V202" s="575"/>
      <c r="W202" s="50"/>
      <c r="X202" s="391"/>
      <c r="Y202" s="581" t="s">
        <v>136</v>
      </c>
      <c r="Z202" s="581"/>
      <c r="AA202" s="51"/>
      <c r="AB202" s="603"/>
      <c r="AC202" s="603"/>
      <c r="AD202" s="48"/>
      <c r="AE202" s="49" t="s">
        <v>181</v>
      </c>
      <c r="AF202" s="52"/>
      <c r="AG202" s="20"/>
    </row>
    <row r="203" spans="1:33" x14ac:dyDescent="0.35">
      <c r="A203" s="573"/>
      <c r="B203" s="286">
        <f>B202+1</f>
        <v>172</v>
      </c>
      <c r="C203" s="634"/>
      <c r="D203" s="8"/>
      <c r="E203" s="8"/>
      <c r="F203" s="208"/>
      <c r="G203" s="208"/>
      <c r="H203" s="208"/>
      <c r="I203" s="208"/>
      <c r="J203" s="376"/>
      <c r="K203" s="376"/>
      <c r="L203" s="376"/>
      <c r="M203" s="376"/>
      <c r="N203" s="376"/>
      <c r="O203" s="376"/>
      <c r="P203" s="376"/>
      <c r="Q203" s="376"/>
      <c r="R203" s="576"/>
      <c r="S203" s="576"/>
      <c r="T203" s="576"/>
      <c r="U203" s="396"/>
      <c r="V203" s="390" t="s">
        <v>137</v>
      </c>
      <c r="W203" s="216"/>
      <c r="X203" s="393"/>
      <c r="Y203" s="395"/>
      <c r="Z203" s="395"/>
      <c r="AA203" s="20"/>
      <c r="AB203" s="208"/>
      <c r="AC203" s="530" t="s">
        <v>136</v>
      </c>
      <c r="AD203" s="208"/>
      <c r="AE203" s="611"/>
      <c r="AF203" s="54"/>
      <c r="AG203" s="20"/>
    </row>
    <row r="204" spans="1:33" ht="30.5" x14ac:dyDescent="0.35">
      <c r="A204" s="573"/>
      <c r="B204" s="286">
        <f t="shared" ref="B204:B210" si="16">B203+1</f>
        <v>173</v>
      </c>
      <c r="C204" s="634"/>
      <c r="E204" s="200" t="b">
        <v>0</v>
      </c>
      <c r="F204" s="3" t="s">
        <v>182</v>
      </c>
      <c r="H204" s="200" t="b">
        <v>0</v>
      </c>
      <c r="I204" s="210" t="s">
        <v>183</v>
      </c>
      <c r="J204" s="201" t="b">
        <v>0</v>
      </c>
      <c r="K204" s="202" t="s">
        <v>184</v>
      </c>
      <c r="L204" s="203" t="b">
        <v>0</v>
      </c>
      <c r="M204" s="9" t="s">
        <v>185</v>
      </c>
      <c r="N204" s="213"/>
      <c r="O204" s="203" t="b">
        <v>0</v>
      </c>
      <c r="P204" s="9" t="s">
        <v>186</v>
      </c>
      <c r="Q204" s="9"/>
      <c r="R204" s="576"/>
      <c r="S204" s="576"/>
      <c r="T204" s="576"/>
      <c r="U204" s="576"/>
      <c r="V204" s="576"/>
      <c r="W204" s="216"/>
      <c r="X204" s="204" t="b">
        <v>0</v>
      </c>
      <c r="Y204" s="205" t="s">
        <v>187</v>
      </c>
      <c r="Z204" s="371"/>
      <c r="AA204" s="15"/>
      <c r="AB204" s="529" t="b">
        <v>0</v>
      </c>
      <c r="AC204" s="389" t="s">
        <v>188</v>
      </c>
      <c r="AD204" s="15"/>
      <c r="AE204" s="611"/>
      <c r="AF204" s="53"/>
      <c r="AG204" s="15"/>
    </row>
    <row r="205" spans="1:33" ht="35.15" customHeight="1" x14ac:dyDescent="0.35">
      <c r="A205" s="573"/>
      <c r="B205" s="286">
        <f t="shared" si="16"/>
        <v>174</v>
      </c>
      <c r="C205" s="634"/>
      <c r="E205" s="200" t="b">
        <v>0</v>
      </c>
      <c r="F205" s="196" t="s">
        <v>189</v>
      </c>
      <c r="H205" s="15"/>
      <c r="I205" s="210"/>
      <c r="J205" s="204" t="b">
        <v>0</v>
      </c>
      <c r="K205" s="606"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5" customHeight="1" x14ac:dyDescent="0.35">
      <c r="A206" s="573"/>
      <c r="B206" s="286">
        <f t="shared" si="16"/>
        <v>175</v>
      </c>
      <c r="C206" s="634"/>
      <c r="E206" s="200" t="b">
        <v>0</v>
      </c>
      <c r="F206" s="609" t="s">
        <v>204</v>
      </c>
      <c r="H206" s="200" t="b">
        <v>0</v>
      </c>
      <c r="I206" s="210" t="s">
        <v>197</v>
      </c>
      <c r="J206" s="205"/>
      <c r="K206" s="606"/>
      <c r="L206" s="203" t="b">
        <v>0</v>
      </c>
      <c r="M206" s="44" t="s">
        <v>198</v>
      </c>
      <c r="N206" s="211">
        <v>6</v>
      </c>
      <c r="O206" s="203" t="b">
        <v>0</v>
      </c>
      <c r="P206" s="9" t="s">
        <v>198</v>
      </c>
      <c r="Q206" s="211">
        <v>0</v>
      </c>
      <c r="R206" s="576"/>
      <c r="S206" s="576"/>
      <c r="T206" s="576"/>
      <c r="U206" s="577" t="s">
        <v>136</v>
      </c>
      <c r="V206" s="577"/>
      <c r="W206" s="577"/>
      <c r="X206" s="204" t="b">
        <v>0</v>
      </c>
      <c r="Y206" s="9" t="s">
        <v>199</v>
      </c>
      <c r="Z206" s="576"/>
      <c r="AA206" s="15"/>
      <c r="AB206" s="217"/>
      <c r="AC206" s="22"/>
      <c r="AD206" s="15"/>
      <c r="AE206" s="646"/>
      <c r="AF206" s="53"/>
      <c r="AG206" s="15"/>
    </row>
    <row r="207" spans="1:33" x14ac:dyDescent="0.35">
      <c r="A207" s="573"/>
      <c r="B207" s="286">
        <f t="shared" si="16"/>
        <v>176</v>
      </c>
      <c r="C207" s="634"/>
      <c r="F207" s="609"/>
      <c r="H207" s="15"/>
      <c r="I207" s="15"/>
      <c r="J207" s="205"/>
      <c r="K207" s="9"/>
      <c r="L207" s="15"/>
      <c r="M207" s="15"/>
      <c r="N207" s="218"/>
      <c r="O207" s="9"/>
      <c r="P207" s="9"/>
      <c r="Q207" s="9"/>
      <c r="R207" s="576"/>
      <c r="S207" s="576"/>
      <c r="T207" s="576"/>
      <c r="U207" s="204" t="b">
        <v>0</v>
      </c>
      <c r="V207" s="205" t="s">
        <v>200</v>
      </c>
      <c r="W207" s="216"/>
      <c r="Y207" s="15"/>
      <c r="Z207" s="576"/>
      <c r="AA207" s="15"/>
      <c r="AB207" s="15"/>
      <c r="AC207" s="15"/>
      <c r="AD207" s="15"/>
      <c r="AE207" s="646"/>
      <c r="AF207" s="53"/>
      <c r="AG207" s="15"/>
    </row>
    <row r="208" spans="1:33" ht="30" customHeight="1" x14ac:dyDescent="0.35">
      <c r="A208" s="573"/>
      <c r="B208" s="286">
        <f t="shared" si="16"/>
        <v>177</v>
      </c>
      <c r="C208" s="634"/>
      <c r="E208"/>
      <c r="H208" s="15"/>
      <c r="I208" s="15"/>
      <c r="J208" s="373"/>
      <c r="K208" s="213"/>
      <c r="L208" s="213"/>
      <c r="M208" s="213"/>
      <c r="N208" s="213"/>
      <c r="O208" s="9"/>
      <c r="P208" s="9"/>
      <c r="Q208" s="9"/>
      <c r="R208" s="203" t="b">
        <v>0</v>
      </c>
      <c r="S208" s="9" t="s">
        <v>201</v>
      </c>
      <c r="T208" s="9" t="s">
        <v>135</v>
      </c>
      <c r="U208" s="576"/>
      <c r="V208" s="576"/>
      <c r="Y208" s="15"/>
      <c r="Z208" s="368"/>
      <c r="AA208" s="15"/>
      <c r="AB208" s="15"/>
      <c r="AC208" s="15"/>
      <c r="AD208" s="15"/>
      <c r="AE208" s="15"/>
      <c r="AF208" s="53"/>
      <c r="AG208" s="15"/>
    </row>
    <row r="209" spans="1:33" x14ac:dyDescent="0.35">
      <c r="A209" s="573"/>
      <c r="B209" s="286">
        <f t="shared" si="16"/>
        <v>178</v>
      </c>
      <c r="C209" s="634"/>
      <c r="E209"/>
      <c r="H209" s="212"/>
      <c r="I209" s="15"/>
      <c r="J209" s="373"/>
      <c r="K209" s="213"/>
      <c r="L209" s="213"/>
      <c r="M209" s="213"/>
      <c r="N209" s="213"/>
      <c r="O209" s="9"/>
      <c r="P209" s="9"/>
      <c r="Q209" s="9"/>
      <c r="R209" s="576"/>
      <c r="S209" s="576"/>
      <c r="T209" s="576"/>
      <c r="U209" s="204" t="b">
        <v>0</v>
      </c>
      <c r="V209" s="9" t="s">
        <v>202</v>
      </c>
      <c r="W209" s="9"/>
      <c r="Y209" s="15"/>
      <c r="Z209" s="368"/>
      <c r="AA209" s="15"/>
      <c r="AB209" s="15"/>
      <c r="AC209" s="15"/>
      <c r="AD209" s="15"/>
      <c r="AE209" s="15"/>
      <c r="AF209" s="53"/>
      <c r="AG209" s="15"/>
    </row>
    <row r="210" spans="1:33" ht="30" customHeight="1" thickBot="1" x14ac:dyDescent="0.4">
      <c r="A210" s="574"/>
      <c r="B210" s="286">
        <f t="shared" si="16"/>
        <v>179</v>
      </c>
      <c r="C210" s="635"/>
      <c r="D210" s="55"/>
      <c r="E210" s="55"/>
      <c r="F210" s="55"/>
      <c r="G210" s="55"/>
      <c r="H210" s="56"/>
      <c r="I210" s="56"/>
      <c r="J210" s="374"/>
      <c r="K210" s="57"/>
      <c r="L210" s="57"/>
      <c r="M210" s="57"/>
      <c r="N210" s="57"/>
      <c r="O210" s="58"/>
      <c r="P210" s="58"/>
      <c r="Q210" s="58"/>
      <c r="R210" s="576"/>
      <c r="S210" s="576"/>
      <c r="T210" s="576"/>
      <c r="U210" s="576"/>
      <c r="V210" s="576"/>
      <c r="W210" s="58"/>
      <c r="X210" s="392"/>
      <c r="Y210" s="56"/>
      <c r="Z210" s="369"/>
      <c r="AA210" s="56"/>
      <c r="AB210" s="56"/>
      <c r="AC210" s="56"/>
      <c r="AD210" s="56"/>
      <c r="AE210" s="56"/>
      <c r="AF210" s="59"/>
      <c r="AG210" s="15"/>
    </row>
    <row r="211" spans="1:33" ht="15" hidden="1" customHeight="1" thickBot="1" x14ac:dyDescent="0.4">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15" customHeight="1" thickBot="1" x14ac:dyDescent="0.4">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4">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5" customHeight="1" x14ac:dyDescent="0.35">
      <c r="A214" s="572">
        <f>A202+1</f>
        <v>18</v>
      </c>
      <c r="B214" s="286">
        <f>B202+10</f>
        <v>181</v>
      </c>
      <c r="C214" s="644" t="str">
        <f>VLOOKUP(A214,INputs!$G$3:$O$22,7,FALSE)</f>
        <v>Please fill out Sensitivity Labels Tab</v>
      </c>
      <c r="D214" s="47"/>
      <c r="E214" s="47"/>
      <c r="F214" s="603" t="s">
        <v>136</v>
      </c>
      <c r="G214" s="603"/>
      <c r="H214" s="603" t="s">
        <v>136</v>
      </c>
      <c r="I214" s="603"/>
      <c r="J214" s="605" t="str">
        <f>J$10</f>
        <v>Select a check box</v>
      </c>
      <c r="K214" s="605"/>
      <c r="L214" s="605" t="s">
        <v>136</v>
      </c>
      <c r="M214" s="605"/>
      <c r="N214" s="605"/>
      <c r="O214" s="605" t="s">
        <v>136</v>
      </c>
      <c r="P214" s="605"/>
      <c r="Q214" s="605"/>
      <c r="R214" s="607" t="s">
        <v>179</v>
      </c>
      <c r="S214" s="607"/>
      <c r="T214" s="397" t="s">
        <v>135</v>
      </c>
      <c r="U214" s="575" t="s">
        <v>180</v>
      </c>
      <c r="V214" s="575"/>
      <c r="W214" s="50"/>
      <c r="X214" s="391"/>
      <c r="Y214" s="581" t="s">
        <v>136</v>
      </c>
      <c r="Z214" s="581"/>
      <c r="AA214" s="51"/>
      <c r="AB214" s="603"/>
      <c r="AC214" s="603"/>
      <c r="AD214" s="48"/>
      <c r="AE214" s="49" t="s">
        <v>181</v>
      </c>
      <c r="AF214" s="52"/>
      <c r="AG214" s="20"/>
    </row>
    <row r="215" spans="1:33" x14ac:dyDescent="0.35">
      <c r="A215" s="573"/>
      <c r="B215" s="286">
        <f>B214+1</f>
        <v>182</v>
      </c>
      <c r="C215" s="634"/>
      <c r="D215" s="8"/>
      <c r="E215" s="8"/>
      <c r="F215" s="208"/>
      <c r="G215" s="208"/>
      <c r="H215" s="208"/>
      <c r="I215" s="208"/>
      <c r="J215" s="376"/>
      <c r="K215" s="376"/>
      <c r="L215" s="376"/>
      <c r="M215" s="376"/>
      <c r="N215" s="376"/>
      <c r="O215" s="376"/>
      <c r="P215" s="376"/>
      <c r="Q215" s="376"/>
      <c r="R215" s="576"/>
      <c r="S215" s="576"/>
      <c r="T215" s="576"/>
      <c r="U215" s="396"/>
      <c r="V215" s="390" t="s">
        <v>137</v>
      </c>
      <c r="W215" s="216"/>
      <c r="X215" s="393"/>
      <c r="Y215" s="395"/>
      <c r="Z215" s="395"/>
      <c r="AA215" s="20"/>
      <c r="AB215" s="208"/>
      <c r="AC215" s="530" t="s">
        <v>136</v>
      </c>
      <c r="AD215" s="208"/>
      <c r="AE215" s="611"/>
      <c r="AF215" s="54"/>
      <c r="AG215" s="20"/>
    </row>
    <row r="216" spans="1:33" ht="30.5" x14ac:dyDescent="0.35">
      <c r="A216" s="573"/>
      <c r="B216" s="286">
        <f t="shared" ref="B216:B222" si="17">B215+1</f>
        <v>183</v>
      </c>
      <c r="C216" s="634"/>
      <c r="E216" s="200" t="b">
        <v>0</v>
      </c>
      <c r="F216" s="3" t="s">
        <v>182</v>
      </c>
      <c r="H216" s="200" t="b">
        <v>0</v>
      </c>
      <c r="I216" s="210" t="s">
        <v>183</v>
      </c>
      <c r="J216" s="201" t="b">
        <v>0</v>
      </c>
      <c r="K216" s="202" t="s">
        <v>184</v>
      </c>
      <c r="L216" s="203" t="b">
        <v>0</v>
      </c>
      <c r="M216" s="9" t="s">
        <v>185</v>
      </c>
      <c r="N216" s="213"/>
      <c r="O216" s="203" t="b">
        <v>0</v>
      </c>
      <c r="P216" s="9" t="s">
        <v>186</v>
      </c>
      <c r="Q216" s="9"/>
      <c r="R216" s="576"/>
      <c r="S216" s="576"/>
      <c r="T216" s="576"/>
      <c r="U216" s="576"/>
      <c r="V216" s="576"/>
      <c r="W216" s="216"/>
      <c r="X216" s="204" t="b">
        <v>0</v>
      </c>
      <c r="Y216" s="205" t="s">
        <v>187</v>
      </c>
      <c r="Z216" s="371"/>
      <c r="AA216" s="15"/>
      <c r="AB216" s="529" t="b">
        <v>0</v>
      </c>
      <c r="AC216" s="389" t="s">
        <v>188</v>
      </c>
      <c r="AD216" s="15"/>
      <c r="AE216" s="611"/>
      <c r="AF216" s="53"/>
      <c r="AG216" s="15"/>
    </row>
    <row r="217" spans="1:33" ht="35.15" customHeight="1" x14ac:dyDescent="0.35">
      <c r="A217" s="573"/>
      <c r="B217" s="286">
        <f t="shared" si="17"/>
        <v>184</v>
      </c>
      <c r="C217" s="634"/>
      <c r="E217" s="200" t="b">
        <v>0</v>
      </c>
      <c r="F217" s="196" t="s">
        <v>189</v>
      </c>
      <c r="H217" s="15"/>
      <c r="I217" s="210"/>
      <c r="J217" s="204" t="b">
        <v>0</v>
      </c>
      <c r="K217" s="606"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5" customHeight="1" x14ac:dyDescent="0.35">
      <c r="A218" s="573"/>
      <c r="B218" s="286">
        <f t="shared" si="17"/>
        <v>185</v>
      </c>
      <c r="C218" s="634"/>
      <c r="E218" s="200" t="b">
        <v>0</v>
      </c>
      <c r="F218" s="609" t="s">
        <v>204</v>
      </c>
      <c r="H218" s="200" t="b">
        <v>0</v>
      </c>
      <c r="I218" s="210" t="s">
        <v>197</v>
      </c>
      <c r="J218" s="205"/>
      <c r="K218" s="606"/>
      <c r="L218" s="203" t="b">
        <v>0</v>
      </c>
      <c r="M218" s="44" t="s">
        <v>198</v>
      </c>
      <c r="N218" s="211">
        <v>6</v>
      </c>
      <c r="O218" s="203" t="b">
        <v>0</v>
      </c>
      <c r="P218" s="9" t="s">
        <v>198</v>
      </c>
      <c r="Q218" s="211">
        <v>0</v>
      </c>
      <c r="R218" s="576"/>
      <c r="S218" s="576"/>
      <c r="T218" s="576"/>
      <c r="U218" s="577" t="s">
        <v>136</v>
      </c>
      <c r="V218" s="577"/>
      <c r="W218" s="577"/>
      <c r="X218" s="204" t="b">
        <v>0</v>
      </c>
      <c r="Y218" s="9" t="s">
        <v>199</v>
      </c>
      <c r="Z218" s="576"/>
      <c r="AA218" s="15"/>
      <c r="AB218" s="217"/>
      <c r="AC218" s="22"/>
      <c r="AD218" s="15"/>
      <c r="AE218" s="646"/>
      <c r="AF218" s="53"/>
      <c r="AG218" s="15"/>
    </row>
    <row r="219" spans="1:33" x14ac:dyDescent="0.35">
      <c r="A219" s="573"/>
      <c r="B219" s="286">
        <f t="shared" si="17"/>
        <v>186</v>
      </c>
      <c r="C219" s="634"/>
      <c r="F219" s="609"/>
      <c r="H219" s="15"/>
      <c r="I219" s="15"/>
      <c r="J219" s="205"/>
      <c r="K219" s="9"/>
      <c r="L219" s="15"/>
      <c r="M219" s="15"/>
      <c r="N219" s="218"/>
      <c r="O219" s="9"/>
      <c r="P219" s="9"/>
      <c r="Q219" s="9"/>
      <c r="R219" s="576"/>
      <c r="S219" s="576"/>
      <c r="T219" s="576"/>
      <c r="U219" s="204" t="b">
        <v>0</v>
      </c>
      <c r="V219" s="205" t="s">
        <v>200</v>
      </c>
      <c r="W219" s="216"/>
      <c r="Y219" s="15"/>
      <c r="Z219" s="576"/>
      <c r="AA219" s="15"/>
      <c r="AB219" s="15"/>
      <c r="AC219" s="15"/>
      <c r="AD219" s="15"/>
      <c r="AE219" s="646"/>
      <c r="AF219" s="53"/>
      <c r="AG219" s="15"/>
    </row>
    <row r="220" spans="1:33" ht="30" customHeight="1" x14ac:dyDescent="0.35">
      <c r="A220" s="573"/>
      <c r="B220" s="286">
        <f t="shared" si="17"/>
        <v>187</v>
      </c>
      <c r="C220" s="634"/>
      <c r="E220"/>
      <c r="H220" s="15"/>
      <c r="I220" s="15"/>
      <c r="J220" s="373"/>
      <c r="K220" s="213"/>
      <c r="L220" s="213"/>
      <c r="M220" s="213"/>
      <c r="N220" s="213"/>
      <c r="O220" s="9"/>
      <c r="P220" s="9"/>
      <c r="Q220" s="9"/>
      <c r="R220" s="203" t="b">
        <v>0</v>
      </c>
      <c r="S220" s="9" t="s">
        <v>201</v>
      </c>
      <c r="T220" s="9" t="s">
        <v>135</v>
      </c>
      <c r="U220" s="576"/>
      <c r="V220" s="576"/>
      <c r="Y220" s="15"/>
      <c r="Z220" s="368"/>
      <c r="AA220" s="15"/>
      <c r="AB220" s="15"/>
      <c r="AC220" s="15"/>
      <c r="AD220" s="15"/>
      <c r="AE220" s="15"/>
      <c r="AF220" s="53"/>
      <c r="AG220" s="15"/>
    </row>
    <row r="221" spans="1:33" x14ac:dyDescent="0.35">
      <c r="A221" s="573"/>
      <c r="B221" s="286">
        <f t="shared" si="17"/>
        <v>188</v>
      </c>
      <c r="C221" s="634"/>
      <c r="E221"/>
      <c r="H221" s="212"/>
      <c r="I221" s="15"/>
      <c r="J221" s="373"/>
      <c r="K221" s="213"/>
      <c r="L221" s="213"/>
      <c r="M221" s="213"/>
      <c r="N221" s="213"/>
      <c r="O221" s="9"/>
      <c r="P221" s="9"/>
      <c r="Q221" s="9"/>
      <c r="R221" s="576"/>
      <c r="S221" s="576"/>
      <c r="T221" s="576"/>
      <c r="U221" s="204" t="b">
        <v>0</v>
      </c>
      <c r="V221" s="9" t="s">
        <v>202</v>
      </c>
      <c r="W221" s="9"/>
      <c r="Y221" s="15"/>
      <c r="Z221" s="368"/>
      <c r="AA221" s="15"/>
      <c r="AB221" s="15"/>
      <c r="AC221" s="15"/>
      <c r="AD221" s="15"/>
      <c r="AE221" s="15"/>
      <c r="AF221" s="53"/>
      <c r="AG221" s="15"/>
    </row>
    <row r="222" spans="1:33" ht="30" customHeight="1" thickBot="1" x14ac:dyDescent="0.4">
      <c r="A222" s="574"/>
      <c r="B222" s="286">
        <f t="shared" si="17"/>
        <v>189</v>
      </c>
      <c r="C222" s="635"/>
      <c r="D222" s="55"/>
      <c r="E222" s="55"/>
      <c r="F222" s="55"/>
      <c r="G222" s="55"/>
      <c r="H222" s="56"/>
      <c r="I222" s="56"/>
      <c r="J222" s="374"/>
      <c r="K222" s="57"/>
      <c r="L222" s="57"/>
      <c r="M222" s="57"/>
      <c r="N222" s="57"/>
      <c r="O222" s="58"/>
      <c r="P222" s="58"/>
      <c r="Q222" s="58"/>
      <c r="R222" s="576"/>
      <c r="S222" s="576"/>
      <c r="T222" s="576"/>
      <c r="U222" s="576"/>
      <c r="V222" s="576"/>
      <c r="W222" s="58"/>
      <c r="X222" s="392"/>
      <c r="Y222" s="56"/>
      <c r="Z222" s="369"/>
      <c r="AA222" s="56"/>
      <c r="AB222" s="56"/>
      <c r="AC222" s="56"/>
      <c r="AD222" s="56"/>
      <c r="AE222" s="56"/>
      <c r="AF222" s="59"/>
      <c r="AG222" s="15"/>
    </row>
    <row r="223" spans="1:33" ht="15" hidden="1" customHeight="1" thickBot="1" x14ac:dyDescent="0.4">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15" customHeight="1" thickBot="1" x14ac:dyDescent="0.4">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4">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5" customHeight="1" x14ac:dyDescent="0.35">
      <c r="A226" s="572">
        <f>A214+1</f>
        <v>19</v>
      </c>
      <c r="B226" s="286">
        <f>B214+10</f>
        <v>191</v>
      </c>
      <c r="C226" s="644" t="str">
        <f>VLOOKUP(A226,INputs!$G$3:$O$22,7,FALSE)</f>
        <v>Please fill out Sensitivity Labels Tab</v>
      </c>
      <c r="D226" s="47"/>
      <c r="E226" s="47"/>
      <c r="F226" s="603" t="s">
        <v>136</v>
      </c>
      <c r="G226" s="603"/>
      <c r="H226" s="603" t="s">
        <v>136</v>
      </c>
      <c r="I226" s="603"/>
      <c r="J226" s="605" t="str">
        <f>J$10</f>
        <v>Select a check box</v>
      </c>
      <c r="K226" s="605"/>
      <c r="L226" s="605" t="s">
        <v>136</v>
      </c>
      <c r="M226" s="605"/>
      <c r="N226" s="605"/>
      <c r="O226" s="605" t="s">
        <v>136</v>
      </c>
      <c r="P226" s="605"/>
      <c r="Q226" s="605"/>
      <c r="R226" s="607" t="s">
        <v>179</v>
      </c>
      <c r="S226" s="607"/>
      <c r="T226" s="397" t="s">
        <v>135</v>
      </c>
      <c r="U226" s="575" t="s">
        <v>180</v>
      </c>
      <c r="V226" s="575"/>
      <c r="W226" s="50"/>
      <c r="X226" s="391"/>
      <c r="Y226" s="581" t="s">
        <v>136</v>
      </c>
      <c r="Z226" s="581"/>
      <c r="AA226" s="51"/>
      <c r="AB226" s="603"/>
      <c r="AC226" s="603"/>
      <c r="AD226" s="48"/>
      <c r="AE226" s="49" t="s">
        <v>181</v>
      </c>
      <c r="AF226" s="52"/>
      <c r="AG226" s="20"/>
    </row>
    <row r="227" spans="1:33" x14ac:dyDescent="0.35">
      <c r="A227" s="573"/>
      <c r="B227" s="286">
        <f>B226+1</f>
        <v>192</v>
      </c>
      <c r="C227" s="634"/>
      <c r="D227" s="8"/>
      <c r="E227" s="8"/>
      <c r="F227" s="208"/>
      <c r="G227" s="208"/>
      <c r="H227" s="208"/>
      <c r="I227" s="208"/>
      <c r="J227" s="376"/>
      <c r="K227" s="376"/>
      <c r="L227" s="376"/>
      <c r="M227" s="376"/>
      <c r="N227" s="376"/>
      <c r="O227" s="376"/>
      <c r="P227" s="376"/>
      <c r="Q227" s="376"/>
      <c r="R227" s="576"/>
      <c r="S227" s="576"/>
      <c r="T227" s="576"/>
      <c r="U227" s="396"/>
      <c r="V227" s="390" t="s">
        <v>137</v>
      </c>
      <c r="W227" s="216"/>
      <c r="X227" s="393"/>
      <c r="Y227" s="395"/>
      <c r="Z227" s="395"/>
      <c r="AA227" s="20"/>
      <c r="AB227" s="208"/>
      <c r="AC227" s="530" t="s">
        <v>136</v>
      </c>
      <c r="AD227" s="208"/>
      <c r="AE227" s="611"/>
      <c r="AF227" s="54"/>
      <c r="AG227" s="20"/>
    </row>
    <row r="228" spans="1:33" ht="30.5" x14ac:dyDescent="0.35">
      <c r="A228" s="573"/>
      <c r="B228" s="286">
        <f t="shared" ref="B228:B234" si="18">B227+1</f>
        <v>193</v>
      </c>
      <c r="C228" s="634"/>
      <c r="E228" s="200" t="b">
        <v>0</v>
      </c>
      <c r="F228" s="3" t="s">
        <v>182</v>
      </c>
      <c r="H228" s="200" t="b">
        <v>0</v>
      </c>
      <c r="I228" s="210" t="s">
        <v>183</v>
      </c>
      <c r="J228" s="201" t="b">
        <v>0</v>
      </c>
      <c r="K228" s="202" t="s">
        <v>184</v>
      </c>
      <c r="L228" s="203" t="b">
        <v>0</v>
      </c>
      <c r="M228" s="9" t="s">
        <v>185</v>
      </c>
      <c r="N228" s="213"/>
      <c r="O228" s="203" t="b">
        <v>0</v>
      </c>
      <c r="P228" s="9" t="s">
        <v>186</v>
      </c>
      <c r="Q228" s="9"/>
      <c r="R228" s="576"/>
      <c r="S228" s="576"/>
      <c r="T228" s="576"/>
      <c r="U228" s="576"/>
      <c r="V228" s="576"/>
      <c r="W228" s="216"/>
      <c r="X228" s="204" t="b">
        <v>0</v>
      </c>
      <c r="Y228" s="205" t="s">
        <v>187</v>
      </c>
      <c r="Z228" s="371"/>
      <c r="AA228" s="15"/>
      <c r="AB228" s="529" t="b">
        <v>0</v>
      </c>
      <c r="AC228" s="389" t="s">
        <v>188</v>
      </c>
      <c r="AD228" s="15"/>
      <c r="AE228" s="611"/>
      <c r="AF228" s="53"/>
      <c r="AG228" s="15"/>
    </row>
    <row r="229" spans="1:33" ht="35.15" customHeight="1" x14ac:dyDescent="0.35">
      <c r="A229" s="573"/>
      <c r="B229" s="286">
        <f t="shared" si="18"/>
        <v>194</v>
      </c>
      <c r="C229" s="634"/>
      <c r="E229" s="200" t="b">
        <v>0</v>
      </c>
      <c r="F229" s="196" t="s">
        <v>189</v>
      </c>
      <c r="H229" s="15"/>
      <c r="I229" s="210"/>
      <c r="J229" s="204" t="b">
        <v>0</v>
      </c>
      <c r="K229" s="606"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5" customHeight="1" x14ac:dyDescent="0.35">
      <c r="A230" s="573"/>
      <c r="B230" s="286">
        <f t="shared" si="18"/>
        <v>195</v>
      </c>
      <c r="C230" s="634"/>
      <c r="E230" s="200" t="b">
        <v>0</v>
      </c>
      <c r="F230" s="609" t="s">
        <v>204</v>
      </c>
      <c r="H230" s="200" t="b">
        <v>0</v>
      </c>
      <c r="I230" s="210" t="s">
        <v>197</v>
      </c>
      <c r="J230" s="205"/>
      <c r="K230" s="606"/>
      <c r="L230" s="203" t="b">
        <v>0</v>
      </c>
      <c r="M230" s="44" t="s">
        <v>198</v>
      </c>
      <c r="N230" s="211">
        <v>6</v>
      </c>
      <c r="O230" s="203" t="b">
        <v>0</v>
      </c>
      <c r="P230" s="9" t="s">
        <v>198</v>
      </c>
      <c r="Q230" s="211">
        <v>0</v>
      </c>
      <c r="R230" s="576"/>
      <c r="S230" s="576"/>
      <c r="T230" s="576"/>
      <c r="U230" s="577" t="s">
        <v>136</v>
      </c>
      <c r="V230" s="577"/>
      <c r="W230" s="577"/>
      <c r="X230" s="204" t="b">
        <v>0</v>
      </c>
      <c r="Y230" s="9" t="s">
        <v>199</v>
      </c>
      <c r="Z230" s="576"/>
      <c r="AA230" s="15"/>
      <c r="AB230" s="217"/>
      <c r="AC230" s="22"/>
      <c r="AD230" s="15"/>
      <c r="AE230" s="646"/>
      <c r="AF230" s="53"/>
      <c r="AG230" s="15"/>
    </row>
    <row r="231" spans="1:33" x14ac:dyDescent="0.35">
      <c r="A231" s="573"/>
      <c r="B231" s="286">
        <f t="shared" si="18"/>
        <v>196</v>
      </c>
      <c r="C231" s="634"/>
      <c r="F231" s="609"/>
      <c r="H231" s="15"/>
      <c r="I231" s="15"/>
      <c r="J231" s="205"/>
      <c r="K231" s="9"/>
      <c r="L231" s="15"/>
      <c r="M231" s="15"/>
      <c r="N231" s="218"/>
      <c r="O231" s="9"/>
      <c r="P231" s="9"/>
      <c r="Q231" s="9"/>
      <c r="R231" s="576"/>
      <c r="S231" s="576"/>
      <c r="T231" s="576"/>
      <c r="U231" s="204" t="b">
        <v>0</v>
      </c>
      <c r="V231" s="205" t="s">
        <v>200</v>
      </c>
      <c r="W231" s="216"/>
      <c r="Y231" s="15"/>
      <c r="Z231" s="576"/>
      <c r="AA231" s="15"/>
      <c r="AB231" s="15"/>
      <c r="AC231" s="15"/>
      <c r="AD231" s="15"/>
      <c r="AE231" s="646"/>
      <c r="AF231" s="53"/>
      <c r="AG231" s="15"/>
    </row>
    <row r="232" spans="1:33" ht="30" customHeight="1" x14ac:dyDescent="0.35">
      <c r="A232" s="573"/>
      <c r="B232" s="286">
        <f t="shared" si="18"/>
        <v>197</v>
      </c>
      <c r="C232" s="634"/>
      <c r="E232"/>
      <c r="H232" s="15"/>
      <c r="I232" s="15"/>
      <c r="J232" s="373"/>
      <c r="K232" s="213"/>
      <c r="L232" s="213"/>
      <c r="M232" s="213"/>
      <c r="N232" s="213"/>
      <c r="O232" s="9"/>
      <c r="P232" s="9"/>
      <c r="Q232" s="9"/>
      <c r="R232" s="203" t="b">
        <v>0</v>
      </c>
      <c r="S232" s="9" t="s">
        <v>201</v>
      </c>
      <c r="T232" s="9" t="s">
        <v>135</v>
      </c>
      <c r="U232" s="576"/>
      <c r="V232" s="576"/>
      <c r="Y232" s="15"/>
      <c r="Z232" s="368"/>
      <c r="AA232" s="15"/>
      <c r="AB232" s="15"/>
      <c r="AC232" s="15"/>
      <c r="AD232" s="15"/>
      <c r="AE232" s="15"/>
      <c r="AF232" s="53"/>
      <c r="AG232" s="15"/>
    </row>
    <row r="233" spans="1:33" x14ac:dyDescent="0.35">
      <c r="A233" s="573"/>
      <c r="B233" s="286">
        <f t="shared" si="18"/>
        <v>198</v>
      </c>
      <c r="C233" s="634"/>
      <c r="E233"/>
      <c r="H233" s="212"/>
      <c r="I233" s="15"/>
      <c r="J233" s="373"/>
      <c r="K233" s="213"/>
      <c r="L233" s="213"/>
      <c r="M233" s="213"/>
      <c r="N233" s="213"/>
      <c r="O233" s="9"/>
      <c r="P233" s="9"/>
      <c r="Q233" s="9"/>
      <c r="R233" s="576"/>
      <c r="S233" s="576"/>
      <c r="T233" s="576"/>
      <c r="U233" s="204" t="b">
        <v>0</v>
      </c>
      <c r="V233" s="9" t="s">
        <v>202</v>
      </c>
      <c r="W233" s="9"/>
      <c r="Y233" s="15"/>
      <c r="Z233" s="368"/>
      <c r="AA233" s="15"/>
      <c r="AB233" s="15"/>
      <c r="AC233" s="15"/>
      <c r="AD233" s="15"/>
      <c r="AE233" s="15"/>
      <c r="AF233" s="53"/>
      <c r="AG233" s="15"/>
    </row>
    <row r="234" spans="1:33" ht="30" customHeight="1" thickBot="1" x14ac:dyDescent="0.4">
      <c r="A234" s="574"/>
      <c r="B234" s="286">
        <f t="shared" si="18"/>
        <v>199</v>
      </c>
      <c r="C234" s="635"/>
      <c r="D234" s="55"/>
      <c r="E234" s="55"/>
      <c r="F234" s="55"/>
      <c r="G234" s="55"/>
      <c r="H234" s="56"/>
      <c r="I234" s="56"/>
      <c r="J234" s="374"/>
      <c r="K234" s="57"/>
      <c r="L234" s="57"/>
      <c r="M234" s="57"/>
      <c r="N234" s="57"/>
      <c r="O234" s="58"/>
      <c r="P234" s="58"/>
      <c r="Q234" s="58"/>
      <c r="R234" s="576"/>
      <c r="S234" s="576"/>
      <c r="T234" s="576"/>
      <c r="U234" s="576"/>
      <c r="V234" s="576"/>
      <c r="W234" s="58"/>
      <c r="X234" s="392"/>
      <c r="Y234" s="56"/>
      <c r="Z234" s="369"/>
      <c r="AA234" s="56"/>
      <c r="AB234" s="56"/>
      <c r="AC234" s="56"/>
      <c r="AD234" s="56"/>
      <c r="AE234" s="56"/>
      <c r="AF234" s="59"/>
      <c r="AG234" s="15"/>
    </row>
    <row r="235" spans="1:33" ht="15" hidden="1" customHeight="1" thickBot="1" x14ac:dyDescent="0.4">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15" customHeight="1" thickBot="1" x14ac:dyDescent="0.4">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4">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5" customHeight="1" x14ac:dyDescent="0.35">
      <c r="A238" s="572">
        <f>A226+1</f>
        <v>20</v>
      </c>
      <c r="B238" s="286">
        <f>B226+10</f>
        <v>201</v>
      </c>
      <c r="C238" s="644" t="str">
        <f>VLOOKUP(A238,INputs!$G$3:$O$22,7,FALSE)</f>
        <v>Please fill out Sensitivity Labels Tab</v>
      </c>
      <c r="D238" s="47"/>
      <c r="E238" s="47"/>
      <c r="F238" s="603" t="s">
        <v>136</v>
      </c>
      <c r="G238" s="603"/>
      <c r="H238" s="603" t="s">
        <v>136</v>
      </c>
      <c r="I238" s="603"/>
      <c r="J238" s="605" t="str">
        <f>J$10</f>
        <v>Select a check box</v>
      </c>
      <c r="K238" s="605"/>
      <c r="L238" s="605" t="s">
        <v>136</v>
      </c>
      <c r="M238" s="605"/>
      <c r="N238" s="605"/>
      <c r="O238" s="605" t="s">
        <v>136</v>
      </c>
      <c r="P238" s="605"/>
      <c r="Q238" s="605"/>
      <c r="R238" s="607" t="s">
        <v>179</v>
      </c>
      <c r="S238" s="607"/>
      <c r="T238" s="397" t="s">
        <v>135</v>
      </c>
      <c r="U238" s="575" t="s">
        <v>180</v>
      </c>
      <c r="V238" s="575"/>
      <c r="W238" s="50"/>
      <c r="X238" s="391"/>
      <c r="Y238" s="581" t="s">
        <v>136</v>
      </c>
      <c r="Z238" s="581"/>
      <c r="AA238" s="51"/>
      <c r="AB238" s="603"/>
      <c r="AC238" s="603"/>
      <c r="AD238" s="48"/>
      <c r="AE238" s="49" t="s">
        <v>181</v>
      </c>
      <c r="AF238" s="52"/>
      <c r="AG238" s="20"/>
    </row>
    <row r="239" spans="1:33" x14ac:dyDescent="0.35">
      <c r="A239" s="573"/>
      <c r="B239" s="286">
        <f>B238+1</f>
        <v>202</v>
      </c>
      <c r="C239" s="634"/>
      <c r="D239" s="8"/>
      <c r="E239" s="8"/>
      <c r="F239" s="208"/>
      <c r="G239" s="208"/>
      <c r="H239" s="208"/>
      <c r="I239" s="208"/>
      <c r="J239" s="376"/>
      <c r="K239" s="376"/>
      <c r="L239" s="376"/>
      <c r="M239" s="376"/>
      <c r="N239" s="376"/>
      <c r="O239" s="376"/>
      <c r="P239" s="376"/>
      <c r="Q239" s="376"/>
      <c r="R239" s="576"/>
      <c r="S239" s="576"/>
      <c r="T239" s="576"/>
      <c r="U239" s="396"/>
      <c r="V239" s="390" t="s">
        <v>137</v>
      </c>
      <c r="W239" s="216"/>
      <c r="X239" s="393"/>
      <c r="Y239" s="395"/>
      <c r="Z239" s="395"/>
      <c r="AA239" s="20"/>
      <c r="AB239" s="208"/>
      <c r="AC239" s="530" t="s">
        <v>136</v>
      </c>
      <c r="AD239" s="208"/>
      <c r="AE239" s="611"/>
      <c r="AF239" s="54"/>
      <c r="AG239" s="20"/>
    </row>
    <row r="240" spans="1:33" ht="30.5" x14ac:dyDescent="0.35">
      <c r="A240" s="573"/>
      <c r="B240" s="286">
        <f t="shared" ref="B240:B246" si="19">B239+1</f>
        <v>203</v>
      </c>
      <c r="C240" s="634"/>
      <c r="E240" s="200" t="b">
        <v>0</v>
      </c>
      <c r="F240" s="3" t="s">
        <v>182</v>
      </c>
      <c r="H240" s="200" t="b">
        <v>0</v>
      </c>
      <c r="I240" s="210" t="s">
        <v>183</v>
      </c>
      <c r="J240" s="201" t="b">
        <v>0</v>
      </c>
      <c r="K240" s="202" t="s">
        <v>184</v>
      </c>
      <c r="L240" s="203" t="b">
        <v>0</v>
      </c>
      <c r="M240" s="9" t="s">
        <v>185</v>
      </c>
      <c r="N240" s="213"/>
      <c r="O240" s="203" t="b">
        <v>0</v>
      </c>
      <c r="P240" s="9" t="s">
        <v>186</v>
      </c>
      <c r="Q240" s="9"/>
      <c r="R240" s="576"/>
      <c r="S240" s="576"/>
      <c r="T240" s="576"/>
      <c r="U240" s="576"/>
      <c r="V240" s="576"/>
      <c r="W240" s="216"/>
      <c r="X240" s="204" t="b">
        <v>0</v>
      </c>
      <c r="Y240" s="205" t="s">
        <v>187</v>
      </c>
      <c r="Z240" s="371"/>
      <c r="AA240" s="15"/>
      <c r="AB240" s="529" t="b">
        <v>0</v>
      </c>
      <c r="AC240" s="389" t="s">
        <v>188</v>
      </c>
      <c r="AD240" s="15"/>
      <c r="AE240" s="611"/>
      <c r="AF240" s="53"/>
      <c r="AG240" s="15"/>
    </row>
    <row r="241" spans="1:33" ht="35.15" customHeight="1" x14ac:dyDescent="0.35">
      <c r="A241" s="573"/>
      <c r="B241" s="286">
        <f t="shared" si="19"/>
        <v>204</v>
      </c>
      <c r="C241" s="634"/>
      <c r="E241" s="200" t="b">
        <v>0</v>
      </c>
      <c r="F241" s="196" t="s">
        <v>189</v>
      </c>
      <c r="H241" s="15"/>
      <c r="I241" s="210"/>
      <c r="J241" s="204" t="b">
        <v>0</v>
      </c>
      <c r="K241" s="606"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49999999999999" customHeight="1" x14ac:dyDescent="0.35">
      <c r="A242" s="573"/>
      <c r="B242" s="286">
        <f t="shared" si="19"/>
        <v>205</v>
      </c>
      <c r="C242" s="634"/>
      <c r="E242" s="200" t="b">
        <v>0</v>
      </c>
      <c r="F242" s="609" t="s">
        <v>204</v>
      </c>
      <c r="H242" s="200" t="b">
        <v>0</v>
      </c>
      <c r="I242" s="210" t="s">
        <v>197</v>
      </c>
      <c r="J242" s="205"/>
      <c r="K242" s="606"/>
      <c r="L242" s="203" t="b">
        <v>0</v>
      </c>
      <c r="M242" s="44" t="s">
        <v>198</v>
      </c>
      <c r="N242" s="211">
        <v>6</v>
      </c>
      <c r="O242" s="203" t="b">
        <v>0</v>
      </c>
      <c r="P242" s="9" t="s">
        <v>198</v>
      </c>
      <c r="Q242" s="211">
        <v>1</v>
      </c>
      <c r="R242" s="576"/>
      <c r="S242" s="576"/>
      <c r="T242" s="576"/>
      <c r="U242" s="577" t="s">
        <v>136</v>
      </c>
      <c r="V242" s="577"/>
      <c r="W242" s="577"/>
      <c r="X242" s="204" t="b">
        <v>0</v>
      </c>
      <c r="Y242" s="9" t="s">
        <v>199</v>
      </c>
      <c r="Z242" s="576"/>
      <c r="AA242" s="15"/>
      <c r="AB242" s="217"/>
      <c r="AC242" s="22"/>
      <c r="AD242" s="15"/>
      <c r="AE242" s="646"/>
      <c r="AF242" s="53"/>
      <c r="AG242" s="15"/>
    </row>
    <row r="243" spans="1:33" ht="29.5" customHeight="1" x14ac:dyDescent="0.35">
      <c r="A243" s="573"/>
      <c r="B243" s="286">
        <f t="shared" si="19"/>
        <v>206</v>
      </c>
      <c r="C243" s="634"/>
      <c r="F243" s="609"/>
      <c r="H243" s="15"/>
      <c r="I243" s="15"/>
      <c r="J243" s="205"/>
      <c r="K243" s="9"/>
      <c r="L243" s="15"/>
      <c r="M243" s="15"/>
      <c r="N243" s="218"/>
      <c r="O243" s="9"/>
      <c r="P243" s="9"/>
      <c r="Q243" s="9"/>
      <c r="R243" s="576"/>
      <c r="S243" s="576"/>
      <c r="T243" s="576"/>
      <c r="U243" s="204" t="b">
        <v>0</v>
      </c>
      <c r="V243" s="205" t="s">
        <v>200</v>
      </c>
      <c r="W243" s="216"/>
      <c r="Y243" s="15"/>
      <c r="Z243" s="576"/>
      <c r="AA243" s="15"/>
      <c r="AB243" s="15"/>
      <c r="AC243" s="15"/>
      <c r="AD243" s="15"/>
      <c r="AE243" s="646"/>
      <c r="AF243" s="53"/>
      <c r="AG243" s="15"/>
    </row>
    <row r="244" spans="1:33" ht="30" customHeight="1" x14ac:dyDescent="0.35">
      <c r="A244" s="573"/>
      <c r="B244" s="286">
        <f t="shared" si="19"/>
        <v>207</v>
      </c>
      <c r="C244" s="634"/>
      <c r="E244"/>
      <c r="H244" s="15"/>
      <c r="I244" s="15"/>
      <c r="J244" s="373"/>
      <c r="K244" s="213"/>
      <c r="L244" s="213"/>
      <c r="M244" s="213"/>
      <c r="N244" s="213"/>
      <c r="O244" s="9"/>
      <c r="P244" s="9"/>
      <c r="Q244" s="9"/>
      <c r="R244" s="203" t="b">
        <v>0</v>
      </c>
      <c r="S244" s="9" t="s">
        <v>201</v>
      </c>
      <c r="T244" s="9" t="s">
        <v>135</v>
      </c>
      <c r="U244" s="576"/>
      <c r="V244" s="576"/>
      <c r="Y244" s="15"/>
      <c r="Z244" s="368"/>
      <c r="AA244" s="15"/>
      <c r="AB244" s="15"/>
      <c r="AC244" s="15"/>
      <c r="AD244" s="15"/>
      <c r="AE244" s="15"/>
      <c r="AF244" s="53"/>
      <c r="AG244" s="15"/>
    </row>
    <row r="245" spans="1:33" ht="14.5" customHeight="1" x14ac:dyDescent="0.35">
      <c r="A245" s="573"/>
      <c r="B245" s="286">
        <f t="shared" si="19"/>
        <v>208</v>
      </c>
      <c r="C245" s="634"/>
      <c r="E245"/>
      <c r="H245" s="212"/>
      <c r="I245" s="15"/>
      <c r="J245" s="373"/>
      <c r="K245" s="213"/>
      <c r="L245" s="213"/>
      <c r="M245" s="213"/>
      <c r="N245" s="213"/>
      <c r="O245" s="9"/>
      <c r="P245" s="9"/>
      <c r="Q245" s="9"/>
      <c r="R245" s="576"/>
      <c r="S245" s="576"/>
      <c r="T245" s="576"/>
      <c r="U245" s="204" t="b">
        <v>0</v>
      </c>
      <c r="V245" s="9" t="s">
        <v>202</v>
      </c>
      <c r="W245" s="9"/>
      <c r="Y245" s="15"/>
      <c r="Z245" s="368"/>
      <c r="AA245" s="15"/>
      <c r="AB245" s="15"/>
      <c r="AC245" s="15"/>
      <c r="AD245" s="15"/>
      <c r="AE245" s="15"/>
      <c r="AF245" s="53"/>
      <c r="AG245" s="15"/>
    </row>
    <row r="246" spans="1:33" ht="30" customHeight="1" thickBot="1" x14ac:dyDescent="0.4">
      <c r="A246" s="574"/>
      <c r="B246" s="286">
        <f t="shared" si="19"/>
        <v>209</v>
      </c>
      <c r="C246" s="635"/>
      <c r="D246" s="55"/>
      <c r="E246" s="55"/>
      <c r="F246" s="55"/>
      <c r="G246" s="55"/>
      <c r="H246" s="56"/>
      <c r="I246" s="56"/>
      <c r="J246" s="374"/>
      <c r="K246" s="57"/>
      <c r="L246" s="57"/>
      <c r="M246" s="57"/>
      <c r="N246" s="57"/>
      <c r="O246" s="58"/>
      <c r="P246" s="58"/>
      <c r="Q246" s="58"/>
      <c r="R246" s="576"/>
      <c r="S246" s="576"/>
      <c r="T246" s="576"/>
      <c r="U246" s="576"/>
      <c r="V246" s="576"/>
      <c r="W246" s="58"/>
      <c r="X246" s="392"/>
      <c r="Y246" s="56"/>
      <c r="Z246" s="369"/>
      <c r="AA246" s="56"/>
      <c r="AB246" s="56"/>
      <c r="AC246" s="56"/>
      <c r="AD246" s="56"/>
      <c r="AE246" s="56"/>
      <c r="AF246" s="59"/>
      <c r="AG246" s="15"/>
    </row>
    <row r="247" spans="1:33" ht="5.15" customHeight="1" thickBot="1" x14ac:dyDescent="0.4">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3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R218:T219"/>
    <mergeCell ref="R227:T228"/>
    <mergeCell ref="R233:T234"/>
    <mergeCell ref="R122:T123"/>
    <mergeCell ref="R131:T132"/>
    <mergeCell ref="R106:S106"/>
    <mergeCell ref="R110:T111"/>
    <mergeCell ref="R119:T120"/>
    <mergeCell ref="R214:S214"/>
    <mergeCell ref="R158:T159"/>
    <mergeCell ref="R142:S142"/>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C226:C234"/>
    <mergeCell ref="C238:C246"/>
    <mergeCell ref="C118:C126"/>
    <mergeCell ref="C130:C138"/>
    <mergeCell ref="C142:C150"/>
    <mergeCell ref="C154:C162"/>
    <mergeCell ref="C166:C174"/>
    <mergeCell ref="C178:C186"/>
    <mergeCell ref="C190:C198"/>
    <mergeCell ref="C202:C210"/>
    <mergeCell ref="C214:C222"/>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Y70:Z70"/>
    <mergeCell ref="U58:V58"/>
    <mergeCell ref="U60:V60"/>
    <mergeCell ref="U62:W62"/>
    <mergeCell ref="U64:V64"/>
    <mergeCell ref="U66:V66"/>
    <mergeCell ref="U70:V70"/>
    <mergeCell ref="Y58:Z58"/>
    <mergeCell ref="Z74:Z75"/>
    <mergeCell ref="U52:V52"/>
    <mergeCell ref="U54:V54"/>
    <mergeCell ref="F106:G106"/>
    <mergeCell ref="H106:I106"/>
    <mergeCell ref="J106:K106"/>
    <mergeCell ref="L106:N106"/>
    <mergeCell ref="O106:Q106"/>
    <mergeCell ref="F82:G82"/>
    <mergeCell ref="H82:I82"/>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A5:A9"/>
    <mergeCell ref="E5:F5"/>
    <mergeCell ref="E6:F6"/>
    <mergeCell ref="E7:F7"/>
    <mergeCell ref="E8:F8"/>
    <mergeCell ref="E9:F9"/>
    <mergeCell ref="H5:I5"/>
    <mergeCell ref="H6:I6"/>
    <mergeCell ref="A10:A18"/>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R3:T3"/>
    <mergeCell ref="H3:I3"/>
    <mergeCell ref="R7:S7"/>
    <mergeCell ref="R8:S8"/>
    <mergeCell ref="R9:S9"/>
    <mergeCell ref="L5:N5"/>
    <mergeCell ref="O5:Q5"/>
    <mergeCell ref="L6:N6"/>
    <mergeCell ref="O6:Q6"/>
    <mergeCell ref="O7:Q7"/>
    <mergeCell ref="L8:N8"/>
    <mergeCell ref="O8:Q8"/>
    <mergeCell ref="O9:Q9"/>
    <mergeCell ref="O3:Q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U142:V142"/>
    <mergeCell ref="U144:V144"/>
    <mergeCell ref="U146:W146"/>
    <mergeCell ref="R134:T135"/>
    <mergeCell ref="R143:T144"/>
    <mergeCell ref="R146:T147"/>
    <mergeCell ref="U170:W170"/>
    <mergeCell ref="U172:V172"/>
    <mergeCell ref="R170:T171"/>
    <mergeCell ref="R154:S154"/>
    <mergeCell ref="R155:T156"/>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2033">
      <formula>$J$12=TRUE</formula>
    </cfRule>
    <cfRule type="expression" dxfId="2893" priority="3657">
      <formula>H14=TRUE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2026">
      <formula>$J$48=TRUE</formula>
    </cfRule>
    <cfRule type="expression" dxfId="2884" priority="3465">
      <formula>H50=TRUE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2022">
      <formula>$J$72=TRUE</formula>
    </cfRule>
    <cfRule type="expression" dxfId="2878" priority="3341">
      <formula>H74=TRUE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2018">
      <formula>$J$96=TRUE</formula>
    </cfRule>
    <cfRule type="expression" dxfId="2872" priority="3217">
      <formula>H98=TRUE</formula>
    </cfRule>
  </conditionalFormatting>
  <conditionalFormatting sqref="J108">
    <cfRule type="expression" dxfId="2871" priority="3128">
      <formula>H110=TRUE</formula>
    </cfRule>
  </conditionalFormatting>
  <conditionalFormatting sqref="J109">
    <cfRule type="expression" dxfId="2870" priority="2016">
      <formula>$J$108=TRUE</formula>
    </cfRule>
    <cfRule type="expression" dxfId="2869" priority="3129">
      <formula>H110=TRUE</formula>
    </cfRule>
  </conditionalFormatting>
  <conditionalFormatting sqref="J120">
    <cfRule type="expression" dxfId="2868" priority="3066">
      <formula>H122=TRUE</formula>
    </cfRule>
  </conditionalFormatting>
  <conditionalFormatting sqref="J121">
    <cfRule type="expression" dxfId="2867" priority="2014">
      <formula>$J$120=TRUE</formula>
    </cfRule>
    <cfRule type="expression" dxfId="2866" priority="3067">
      <formula>H122=TRUE</formula>
    </cfRule>
  </conditionalFormatting>
  <conditionalFormatting sqref="J132">
    <cfRule type="expression" dxfId="2865" priority="3004">
      <formula>H134=TRUE</formula>
    </cfRule>
  </conditionalFormatting>
  <conditionalFormatting sqref="J133">
    <cfRule type="expression" dxfId="2864" priority="2012">
      <formula>$J$132=TRUE</formula>
    </cfRule>
    <cfRule type="expression" dxfId="2863" priority="3005">
      <formula>H134=TRUE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001">
      <formula>$J$204=TRUE</formula>
    </cfRule>
    <cfRule type="expression" dxfId="2846" priority="2633">
      <formula>H206=TRUE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1994">
      <formula>$J$240=TRUE</formula>
    </cfRule>
    <cfRule type="expression" dxfId="2837" priority="2447">
      <formula>H242=TRUE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97">
      <formula>$H$146=FALSE</formula>
    </cfRule>
    <cfRule type="expression" dxfId="2812" priority="2942">
      <formula>$J$145=TRUE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2029">
      <formula>$J$36=TRUE</formula>
    </cfRule>
    <cfRule type="expression" dxfId="2787" priority="3528">
      <formula>H38=TRUE</formula>
    </cfRule>
  </conditionalFormatting>
  <conditionalFormatting sqref="K48">
    <cfRule type="expression" dxfId="2786" priority="3467">
      <formula>H50=TRUE</formula>
    </cfRule>
  </conditionalFormatting>
  <conditionalFormatting sqref="K49:K50">
    <cfRule type="expression" dxfId="2785" priority="2027">
      <formula>$J$48=TRUE</formula>
    </cfRule>
    <cfRule type="expression" dxfId="2784" priority="3466">
      <formula>H50=TRUE</formula>
    </cfRule>
  </conditionalFormatting>
  <conditionalFormatting sqref="K60">
    <cfRule type="expression" dxfId="2783" priority="3405">
      <formula>H62=TRUE</formula>
    </cfRule>
  </conditionalFormatting>
  <conditionalFormatting sqref="K61:K62">
    <cfRule type="expression" dxfId="2782" priority="2025">
      <formula>$J$60=TRUE</formula>
    </cfRule>
    <cfRule type="expression" dxfId="2781" priority="3404">
      <formula>H62=TRUE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2021">
      <formula>$J$84=TRUE</formula>
    </cfRule>
    <cfRule type="expression" dxfId="2775" priority="3280">
      <formula>H86=TRUE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1999">
      <formula>$J$216=TRUE</formula>
    </cfRule>
    <cfRule type="expression" dxfId="2743" priority="2572">
      <formula>H218=TRUE</formula>
    </cfRule>
  </conditionalFormatting>
  <conditionalFormatting sqref="K228">
    <cfRule type="expression" dxfId="2742" priority="2511">
      <formula>H230=TRUE</formula>
    </cfRule>
  </conditionalFormatting>
  <conditionalFormatting sqref="K229:K230">
    <cfRule type="expression" dxfId="2741" priority="1997">
      <formula>$J$228=TRUE</formula>
    </cfRule>
    <cfRule type="expression" dxfId="2740" priority="2510">
      <formula>H230=TRUE</formula>
    </cfRule>
  </conditionalFormatting>
  <conditionalFormatting sqref="K240">
    <cfRule type="expression" dxfId="2739" priority="2449">
      <formula>H242=TRUE</formula>
    </cfRule>
  </conditionalFormatting>
  <conditionalFormatting sqref="K241:K242">
    <cfRule type="expression" dxfId="2738" priority="1995">
      <formula>$J$240=TRUE</formula>
    </cfRule>
    <cfRule type="expression" dxfId="2737" priority="2448">
      <formula>H242=TRUE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7">
      <formula>AND(H27=TRUE,J25=TRUE)</formula>
    </cfRule>
    <cfRule type="expression" dxfId="2507" priority="568">
      <formula>AND(H26=TRUE,J24=TRUE)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0">
      <formula>AND(H75=TRUE,J73=TRUE)</formula>
    </cfRule>
    <cfRule type="expression" dxfId="2497" priority="491">
      <formula>AND(H74=TRUE,J72=TRUE)</formula>
    </cfRule>
  </conditionalFormatting>
  <conditionalFormatting sqref="S85">
    <cfRule type="expression" dxfId="2496" priority="471">
      <formula>AND(H87=TRUE,J85=TRUE)</formula>
    </cfRule>
    <cfRule type="expression" dxfId="2495" priority="472">
      <formula>AND(H86=TRUE,J84=TRUE)</formula>
    </cfRule>
  </conditionalFormatting>
  <conditionalFormatting sqref="S97">
    <cfRule type="expression" dxfId="2494" priority="456">
      <formula>AND(H99=TRUE,J97=TRUE)</formula>
    </cfRule>
    <cfRule type="expression" dxfId="2493" priority="457">
      <formula>AND(H98=TRUE,J96=TRUE)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8">
      <formula>AND(H123=TRUE,J121=TRUE)</formula>
    </cfRule>
    <cfRule type="expression" dxfId="2489" priority="419">
      <formula>AND(H122=TRUE,J120=TRUE)</formula>
    </cfRule>
  </conditionalFormatting>
  <conditionalFormatting sqref="S133">
    <cfRule type="expression" dxfId="2488" priority="1362">
      <formula>AND(H135=TRUE,J133=TRUE)</formula>
    </cfRule>
    <cfRule type="expression" dxfId="2487" priority="1363">
      <formula>AND(H134=TRUE,J132=TRUE)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4">
      <formula>AND(H195=TRUE,J193=TRUE)</formula>
    </cfRule>
    <cfRule type="expression" dxfId="2477" priority="305">
      <formula>AND(H194=TRUE,J192=TRUE)</formula>
    </cfRule>
  </conditionalFormatting>
  <conditionalFormatting sqref="S205">
    <cfRule type="expression" dxfId="2476" priority="285">
      <formula>AND(H207=TRUE,J205=TRUE)</formula>
    </cfRule>
    <cfRule type="expression" dxfId="2475" priority="286">
      <formula>AND(H206=TRUE,J204=TRUE)</formula>
    </cfRule>
  </conditionalFormatting>
  <conditionalFormatting sqref="S208">
    <cfRule type="expression" dxfId="2474" priority="277">
      <formula>AND(H206=TRUE,J204=TRUE)</formula>
    </cfRule>
  </conditionalFormatting>
  <conditionalFormatting sqref="S217">
    <cfRule type="expression" dxfId="2473" priority="264">
      <formula>AND(H219=TRUE,J217=TRUE)</formula>
    </cfRule>
    <cfRule type="expression" dxfId="2472" priority="265">
      <formula>AND(H218=TRUE,J216=TRUE)</formula>
    </cfRule>
  </conditionalFormatting>
  <conditionalFormatting sqref="S229">
    <cfRule type="expression" dxfId="2471" priority="245">
      <formula>AND(H231=TRUE,J229=TRUE)</formula>
    </cfRule>
    <cfRule type="expression" dxfId="2470" priority="246">
      <formula>AND(H230=TRUE,J228=TRUE)</formula>
    </cfRule>
  </conditionalFormatting>
  <conditionalFormatting sqref="S241">
    <cfRule type="expression" dxfId="2469" priority="226">
      <formula>AND(H243=TRUE,J241=TRUE)</formula>
    </cfRule>
    <cfRule type="expression" dxfId="2468" priority="227">
      <formula>AND(H242=TRUE,J240=TRUE)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4"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8" priority="3482">
      <formula>AC48=TRUE</formula>
    </cfRule>
  </conditionalFormatting>
  <conditionalFormatting sqref="AF60">
    <cfRule type="expression" dxfId="1816"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6"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0"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4" priority="2712">
      <formula>AC192=TRUE</formula>
    </cfRule>
  </conditionalFormatting>
  <conditionalFormatting sqref="AF204">
    <cfRule type="expression" dxfId="1792" priority="2650">
      <formula>AC204=TRUE</formula>
    </cfRule>
  </conditionalFormatting>
  <conditionalFormatting sqref="AF216">
    <cfRule type="expression" dxfId="1790" priority="2588">
      <formula>AC216=TRUE</formula>
    </cfRule>
  </conditionalFormatting>
  <conditionalFormatting sqref="AF228">
    <cfRule type="expression" dxfId="1788" priority="2526">
      <formula>AC228=TRUE</formula>
    </cfRule>
  </conditionalFormatting>
  <conditionalFormatting sqref="AF240">
    <cfRule type="expression" dxfId="1786"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07" id="{EA8942A0-91F4-4AB6-8237-0A34C747BBDC}">
            <xm:f>$C10=INputs!$P$4</xm:f>
            <x14:dxf>
              <font>
                <color theme="2" tint="-0.24994659260841701"/>
              </font>
            </x14:dxf>
          </x14:cfRule>
          <x14:cfRule type="expression" priority="2126" id="{18BE2822-ED04-4D2C-867E-2A3BD55D5A25}">
            <xm:f>$C10=INputs!$P$3</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Q55" sqref="Q55"/>
    </sheetView>
  </sheetViews>
  <sheetFormatPr defaultRowHeight="14.5" outlineLevelRow="1" x14ac:dyDescent="0.35"/>
  <cols>
    <col min="1" max="1" width="3.26953125" style="87" customWidth="1"/>
    <col min="2" max="2" width="80.08984375" style="3" customWidth="1"/>
    <col min="3" max="3" width="1.1796875" customWidth="1"/>
    <col min="4" max="4" width="38.453125" customWidth="1"/>
    <col min="5" max="5" width="0.81640625" customWidth="1"/>
    <col min="6" max="6" width="4.54296875" customWidth="1"/>
    <col min="7" max="7" width="35.7265625" customWidth="1"/>
    <col min="8" max="8" width="1.1796875" customWidth="1"/>
    <col min="9" max="9" width="41.26953125" customWidth="1"/>
    <col min="10" max="10" width="1.1796875" customWidth="1"/>
    <col min="11" max="11" width="34.453125" customWidth="1"/>
    <col min="12" max="12" width="1.1796875" customWidth="1"/>
    <col min="13" max="13" width="39" customWidth="1"/>
    <col min="14" max="14" width="1.1796875" customWidth="1"/>
    <col min="15" max="15" width="41.26953125" customWidth="1"/>
    <col min="16" max="16" width="1.1796875" customWidth="1"/>
    <col min="17" max="17" width="34.54296875" customWidth="1"/>
    <col min="18" max="18" width="1.26953125" customWidth="1"/>
    <col min="19" max="19" width="38.7265625" customWidth="1"/>
    <col min="20" max="20" width="1.1796875" customWidth="1"/>
    <col min="21" max="21" width="28.81640625" customWidth="1"/>
    <col min="22" max="22" width="1.1796875" customWidth="1"/>
    <col min="23" max="23" width="28.81640625" customWidth="1"/>
    <col min="24" max="24" width="1.1796875" customWidth="1"/>
    <col min="25" max="25" width="40.54296875" customWidth="1"/>
    <col min="26" max="26" width="1.1796875" customWidth="1"/>
  </cols>
  <sheetData>
    <row r="1" spans="1:26" ht="39.65" customHeight="1" thickBot="1" x14ac:dyDescent="0.4">
      <c r="B1" s="608" t="s">
        <v>91</v>
      </c>
      <c r="C1" s="608"/>
      <c r="D1" s="608"/>
    </row>
    <row r="2" spans="1:26" s="13" customFormat="1" ht="37.5" thickBot="1" x14ac:dyDescent="0.4">
      <c r="A2" s="90"/>
      <c r="B2" s="97" t="s">
        <v>145</v>
      </c>
      <c r="C2" s="41"/>
      <c r="D2" s="616" t="s">
        <v>205</v>
      </c>
      <c r="E2" s="648"/>
      <c r="F2" s="648"/>
      <c r="G2" s="617"/>
      <c r="H2" s="41"/>
      <c r="I2" s="97" t="s">
        <v>206</v>
      </c>
      <c r="J2" s="41"/>
      <c r="K2" s="97" t="s">
        <v>207</v>
      </c>
      <c r="L2" s="41"/>
      <c r="M2" s="97" t="s">
        <v>208</v>
      </c>
      <c r="N2" s="41"/>
      <c r="O2" s="97" t="s">
        <v>209</v>
      </c>
      <c r="P2" s="41"/>
      <c r="Q2" s="616" t="s">
        <v>210</v>
      </c>
      <c r="R2" s="648"/>
      <c r="S2" s="617"/>
      <c r="T2" s="41"/>
      <c r="U2" s="97" t="s">
        <v>211</v>
      </c>
      <c r="V2" s="41"/>
      <c r="W2" s="97" t="s">
        <v>212</v>
      </c>
      <c r="X2" s="41"/>
      <c r="Y2" s="97" t="s">
        <v>213</v>
      </c>
    </row>
    <row r="3" spans="1:26" ht="230.15" hidden="1" customHeight="1" outlineLevel="1" x14ac:dyDescent="0.35">
      <c r="A3" s="362" t="s">
        <v>119</v>
      </c>
      <c r="B3" s="155" t="s">
        <v>155</v>
      </c>
      <c r="C3" s="150"/>
      <c r="D3" s="652" t="s">
        <v>214</v>
      </c>
      <c r="E3" s="652"/>
      <c r="F3" s="652"/>
      <c r="G3" s="652"/>
      <c r="H3" s="150"/>
      <c r="I3" s="156"/>
      <c r="J3" s="150"/>
      <c r="K3" s="158" t="s">
        <v>215</v>
      </c>
      <c r="L3" s="154"/>
      <c r="M3" s="159" t="s">
        <v>216</v>
      </c>
      <c r="N3" s="154"/>
      <c r="O3" s="159" t="s">
        <v>217</v>
      </c>
      <c r="P3" s="154"/>
      <c r="Q3" s="649" t="s">
        <v>218</v>
      </c>
      <c r="R3" s="650"/>
      <c r="S3" s="651"/>
      <c r="T3" s="177"/>
      <c r="U3" s="176" t="s">
        <v>219</v>
      </c>
      <c r="V3" s="154"/>
      <c r="W3" s="152"/>
      <c r="X3" s="154"/>
      <c r="Y3" s="152" t="s">
        <v>220</v>
      </c>
      <c r="Z3" s="143"/>
    </row>
    <row r="4" spans="1:26" ht="29" hidden="1" outlineLevel="1" x14ac:dyDescent="0.35">
      <c r="A4" s="654" t="s">
        <v>127</v>
      </c>
      <c r="B4" s="359" t="s">
        <v>221</v>
      </c>
      <c r="C4" s="162"/>
      <c r="D4" s="589" t="s">
        <v>222</v>
      </c>
      <c r="E4" s="589"/>
      <c r="F4" s="589"/>
      <c r="G4" s="589"/>
      <c r="H4" s="162"/>
      <c r="I4" s="161"/>
      <c r="J4" s="162"/>
      <c r="K4" s="161"/>
      <c r="L4" s="124"/>
      <c r="M4" s="163"/>
      <c r="N4" s="124"/>
      <c r="O4" s="163"/>
      <c r="P4" s="124"/>
      <c r="Q4" s="591"/>
      <c r="R4" s="591"/>
      <c r="S4" s="591"/>
      <c r="T4" s="124"/>
      <c r="U4" s="163"/>
      <c r="V4" s="124"/>
      <c r="W4" s="163"/>
      <c r="X4" s="124"/>
      <c r="Y4" s="160" t="s">
        <v>223</v>
      </c>
    </row>
    <row r="5" spans="1:26" ht="15" hidden="1" customHeight="1" outlineLevel="1" x14ac:dyDescent="0.35">
      <c r="A5" s="654"/>
      <c r="B5" s="360"/>
      <c r="C5" s="162"/>
      <c r="D5" s="625"/>
      <c r="E5" s="625"/>
      <c r="F5" s="625"/>
      <c r="G5" s="625"/>
      <c r="H5" s="162"/>
      <c r="I5" s="161"/>
      <c r="J5" s="162"/>
      <c r="K5" s="161"/>
      <c r="L5" s="124"/>
      <c r="M5" s="163"/>
      <c r="N5" s="124"/>
      <c r="O5" s="163"/>
      <c r="P5" s="124"/>
      <c r="Q5" s="591"/>
      <c r="R5" s="591"/>
      <c r="S5" s="591"/>
      <c r="T5" s="124"/>
      <c r="U5" s="163"/>
      <c r="V5" s="124"/>
      <c r="W5" s="163"/>
      <c r="X5" s="124"/>
      <c r="Y5" s="163"/>
    </row>
    <row r="6" spans="1:26" ht="15" hidden="1" customHeight="1" outlineLevel="1" x14ac:dyDescent="0.35">
      <c r="A6" s="654"/>
      <c r="B6" s="360"/>
      <c r="C6" s="162"/>
      <c r="D6" s="625"/>
      <c r="E6" s="625"/>
      <c r="F6" s="625"/>
      <c r="G6" s="625"/>
      <c r="H6" s="162"/>
      <c r="I6" s="161"/>
      <c r="J6" s="162"/>
      <c r="K6" s="161"/>
      <c r="L6" s="124"/>
      <c r="M6" s="163"/>
      <c r="N6" s="124"/>
      <c r="O6" s="163"/>
      <c r="P6" s="124"/>
      <c r="Q6" s="591"/>
      <c r="R6" s="591"/>
      <c r="S6" s="591"/>
      <c r="T6" s="124"/>
      <c r="U6" s="163"/>
      <c r="V6" s="124"/>
      <c r="W6" s="163"/>
      <c r="X6" s="124"/>
      <c r="Y6" s="163"/>
    </row>
    <row r="7" spans="1:26" ht="15" hidden="1" customHeight="1" outlineLevel="1" x14ac:dyDescent="0.35">
      <c r="A7" s="654"/>
      <c r="B7" s="360"/>
      <c r="C7" s="162"/>
      <c r="D7" s="625"/>
      <c r="E7" s="625"/>
      <c r="F7" s="625"/>
      <c r="G7" s="625"/>
      <c r="H7" s="162"/>
      <c r="I7" s="161"/>
      <c r="J7" s="162"/>
      <c r="K7" s="161"/>
      <c r="L7" s="124"/>
      <c r="M7" s="163"/>
      <c r="N7" s="124"/>
      <c r="O7" s="163"/>
      <c r="P7" s="124"/>
      <c r="Q7" s="591"/>
      <c r="R7" s="591"/>
      <c r="S7" s="591"/>
      <c r="T7" s="124"/>
      <c r="U7" s="163"/>
      <c r="V7" s="124"/>
      <c r="W7" s="163"/>
      <c r="X7" s="124"/>
      <c r="Y7" s="163"/>
    </row>
    <row r="8" spans="1:26" ht="15" hidden="1" customHeight="1" outlineLevel="1" x14ac:dyDescent="0.35">
      <c r="A8" s="654"/>
      <c r="B8" s="360"/>
      <c r="C8" s="162"/>
      <c r="D8" s="625"/>
      <c r="E8" s="625"/>
      <c r="F8" s="625"/>
      <c r="G8" s="625"/>
      <c r="H8" s="162"/>
      <c r="I8" s="161"/>
      <c r="J8" s="162"/>
      <c r="K8" s="161"/>
      <c r="L8" s="124"/>
      <c r="M8" s="163"/>
      <c r="N8" s="124"/>
      <c r="O8" s="163"/>
      <c r="P8" s="124"/>
      <c r="Q8" s="591"/>
      <c r="R8" s="591"/>
      <c r="S8" s="591"/>
      <c r="T8" s="124"/>
      <c r="U8" s="163"/>
      <c r="V8" s="124"/>
      <c r="W8" s="163"/>
      <c r="X8" s="124"/>
      <c r="Y8" s="163"/>
    </row>
    <row r="9" spans="1:26" s="13" customFormat="1" ht="15" customHeight="1" collapsed="1" x14ac:dyDescent="0.35">
      <c r="A9" s="90"/>
      <c r="B9" s="8"/>
      <c r="D9" s="8" t="s">
        <v>137</v>
      </c>
      <c r="E9" s="8"/>
      <c r="F9" s="653" t="s">
        <v>136</v>
      </c>
      <c r="G9" s="653"/>
      <c r="I9" s="8" t="s">
        <v>137</v>
      </c>
      <c r="K9" s="8" t="s">
        <v>137</v>
      </c>
      <c r="M9" s="8" t="s">
        <v>137</v>
      </c>
      <c r="O9" s="8" t="s">
        <v>137</v>
      </c>
      <c r="Q9" s="8" t="s">
        <v>137</v>
      </c>
      <c r="R9" s="8"/>
      <c r="S9" s="8" t="s">
        <v>137</v>
      </c>
      <c r="U9" s="8" t="s">
        <v>137</v>
      </c>
      <c r="W9" s="8" t="s">
        <v>137</v>
      </c>
      <c r="Y9" s="8" t="s">
        <v>137</v>
      </c>
    </row>
    <row r="10" spans="1:26" ht="6" customHeight="1" thickBot="1" x14ac:dyDescent="0.4">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 thickBot="1" x14ac:dyDescent="0.4">
      <c r="A11" s="100">
        <v>1</v>
      </c>
      <c r="B11" s="375" t="str">
        <f>VLOOKUP(A11,INputs!$G$3:$O$22,8,FALSE)</f>
        <v>Label-Public - Pending checkbox selection on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4">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4">
      <c r="A13" s="100">
        <v>2</v>
      </c>
      <c r="B13" s="375" t="str">
        <f>VLOOKUP(A13,INputs!$G$3:$O$22,8,FALSE)</f>
        <v>Label-General</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4">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4">
      <c r="A15" s="100">
        <v>3</v>
      </c>
      <c r="B15" s="375" t="str">
        <f>VLOOKUP(A15,INputs!$G$3:$O$22,8,FALSE)</f>
        <v>Parent Label-Confidential</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4">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4">
      <c r="A17" s="100">
        <v>4</v>
      </c>
      <c r="B17" s="375" t="str">
        <f>VLOOKUP(A17,INputs!$G$3:$O$22,8,FALSE)</f>
        <v>Sub Label-All Employees</v>
      </c>
      <c r="C17" s="178"/>
      <c r="D17" s="10" t="s">
        <v>55</v>
      </c>
      <c r="E17" s="178"/>
      <c r="F17" s="179" t="b">
        <v>0</v>
      </c>
      <c r="G17" s="178" t="s">
        <v>224</v>
      </c>
      <c r="H17" s="178"/>
      <c r="I17" s="10"/>
      <c r="J17" s="178"/>
      <c r="K17" s="10" t="s">
        <v>13</v>
      </c>
      <c r="L17" s="178"/>
      <c r="M17" s="10"/>
      <c r="N17" s="178"/>
      <c r="O17" s="10"/>
      <c r="P17" s="178"/>
      <c r="Q17" s="10"/>
      <c r="R17" s="178"/>
      <c r="S17" s="10"/>
      <c r="T17" s="178"/>
      <c r="U17" s="10"/>
      <c r="V17" s="178"/>
      <c r="W17" s="10"/>
      <c r="X17" s="178"/>
      <c r="Y17" s="10"/>
    </row>
    <row r="18" spans="1:25" ht="6" customHeight="1" thickBot="1" x14ac:dyDescent="0.4">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 thickBot="1" x14ac:dyDescent="0.4">
      <c r="A19" s="100">
        <v>5</v>
      </c>
      <c r="B19" s="375" t="str">
        <f>VLOOKUP(A19,INputs!$G$3:$O$22,8,FALSE)</f>
        <v>Sub Label-Specific People</v>
      </c>
      <c r="C19" s="178"/>
      <c r="D19" s="10" t="s">
        <v>30</v>
      </c>
      <c r="E19" s="178"/>
      <c r="F19" s="179" t="b">
        <v>0</v>
      </c>
      <c r="G19" s="178" t="s">
        <v>224</v>
      </c>
      <c r="H19" s="178"/>
      <c r="I19" s="10"/>
      <c r="J19" s="178"/>
      <c r="K19" s="10" t="s">
        <v>13</v>
      </c>
      <c r="L19" s="178"/>
      <c r="M19" s="10"/>
      <c r="N19" s="178"/>
      <c r="O19" s="10"/>
      <c r="P19" s="178"/>
      <c r="Q19" s="10"/>
      <c r="R19" s="178"/>
      <c r="S19" s="10"/>
      <c r="T19" s="178"/>
      <c r="U19" s="10"/>
      <c r="V19" s="178"/>
      <c r="W19" s="10"/>
      <c r="X19" s="178"/>
      <c r="Y19" s="10"/>
    </row>
    <row r="20" spans="1:25" ht="6" customHeight="1" thickBot="1" x14ac:dyDescent="0.4">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 thickBot="1" x14ac:dyDescent="0.4">
      <c r="A21" s="100">
        <v>6</v>
      </c>
      <c r="B21" s="375" t="str">
        <f>VLOOKUP(A21,INputs!$G$3:$O$22,8,FALSE)</f>
        <v>Sub Label-Internal exception</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4">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 thickBot="1" x14ac:dyDescent="0.4">
      <c r="A23" s="100">
        <v>7</v>
      </c>
      <c r="B23" s="375" t="str">
        <f>VLOOKUP(A23,INputs!$G$3:$O$22,8,FALSE)</f>
        <v>Parent Label-Highly Confidential</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4">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 thickBot="1" x14ac:dyDescent="0.4">
      <c r="A25" s="100">
        <v>8</v>
      </c>
      <c r="B25" s="375" t="str">
        <f>VLOOKUP(A25,INputs!$G$3:$O$22,8,FALSE)</f>
        <v>Sub Label-All Employees</v>
      </c>
      <c r="C25" s="178"/>
      <c r="D25" s="10" t="s">
        <v>58</v>
      </c>
      <c r="E25" s="178"/>
      <c r="F25" s="179" t="b">
        <v>0</v>
      </c>
      <c r="G25" s="178" t="s">
        <v>224</v>
      </c>
      <c r="H25" s="178"/>
      <c r="I25" s="10"/>
      <c r="J25" s="178"/>
      <c r="K25" s="10" t="s">
        <v>13</v>
      </c>
      <c r="L25" s="178"/>
      <c r="M25" s="10"/>
      <c r="N25" s="178"/>
      <c r="O25" s="10"/>
      <c r="P25" s="178"/>
      <c r="Q25" s="10" t="s">
        <v>16</v>
      </c>
      <c r="R25" s="178"/>
      <c r="S25" s="10" t="s">
        <v>59</v>
      </c>
      <c r="T25" s="178"/>
      <c r="U25" s="10" t="s">
        <v>18</v>
      </c>
      <c r="V25" s="178"/>
      <c r="W25" s="10"/>
      <c r="X25" s="178"/>
      <c r="Y25" s="10" t="s">
        <v>18</v>
      </c>
    </row>
    <row r="26" spans="1:25" ht="6" customHeight="1" thickBot="1" x14ac:dyDescent="0.4">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 thickBot="1" x14ac:dyDescent="0.4">
      <c r="A27" s="100">
        <v>9</v>
      </c>
      <c r="B27" s="375" t="str">
        <f>VLOOKUP(A27,INputs!$G$3:$O$22,8,FALSE)</f>
        <v>Sub Label-Specific People</v>
      </c>
      <c r="C27" s="178"/>
      <c r="D27" s="10" t="s">
        <v>58</v>
      </c>
      <c r="E27" s="178"/>
      <c r="F27" s="179" t="b">
        <v>0</v>
      </c>
      <c r="G27" s="178" t="s">
        <v>224</v>
      </c>
      <c r="H27" s="178"/>
      <c r="I27" s="10"/>
      <c r="J27" s="178"/>
      <c r="K27" s="10" t="s">
        <v>31</v>
      </c>
      <c r="L27" s="178"/>
      <c r="M27" s="10"/>
      <c r="N27" s="178"/>
      <c r="O27" s="10"/>
      <c r="P27" s="178"/>
      <c r="Q27" s="10" t="s">
        <v>16</v>
      </c>
      <c r="R27" s="178"/>
      <c r="S27" s="10" t="s">
        <v>59</v>
      </c>
      <c r="T27" s="178"/>
      <c r="U27" s="10" t="s">
        <v>18</v>
      </c>
      <c r="V27" s="178"/>
      <c r="W27" s="10"/>
      <c r="X27" s="178"/>
      <c r="Y27" s="10" t="s">
        <v>18</v>
      </c>
    </row>
    <row r="28" spans="1:25" ht="6" customHeight="1" thickBot="1" x14ac:dyDescent="0.4">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 thickBot="1" x14ac:dyDescent="0.4">
      <c r="A29" s="100">
        <v>10</v>
      </c>
      <c r="B29" s="375" t="str">
        <f>VLOOKUP(A29,INputs!$G$3:$O$22,8,FALSE)</f>
        <v>Sub Label-Internal exception</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4">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 thickBot="1" x14ac:dyDescent="0.4">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4">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 thickBot="1" x14ac:dyDescent="0.4">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4">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 thickBot="1" x14ac:dyDescent="0.4">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4">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 thickBot="1" x14ac:dyDescent="0.4">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4">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 thickBot="1" x14ac:dyDescent="0.4">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4">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 thickBot="1" x14ac:dyDescent="0.4">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4">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 thickBot="1" x14ac:dyDescent="0.4">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4">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 thickBot="1" x14ac:dyDescent="0.4">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4">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 thickBot="1" x14ac:dyDescent="0.4">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4">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 thickBot="1" x14ac:dyDescent="0.4">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3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84" priority="553">
      <formula>$U11="yes"</formula>
    </cfRule>
  </conditionalFormatting>
  <conditionalFormatting sqref="O13">
    <cfRule type="expression" dxfId="1579" priority="429">
      <formula>$U13="yes"</formula>
    </cfRule>
  </conditionalFormatting>
  <conditionalFormatting sqref="O15">
    <cfRule type="expression" dxfId="1574"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49" priority="399">
      <formula>$U25="yes"</formula>
    </cfRule>
  </conditionalFormatting>
  <conditionalFormatting sqref="O27">
    <cfRule type="expression" dxfId="1544" priority="394">
      <formula>$U27="yes"</formula>
    </cfRule>
  </conditionalFormatting>
  <conditionalFormatting sqref="O29">
    <cfRule type="expression" dxfId="1539" priority="389">
      <formula>$U29="yes"</formula>
    </cfRule>
  </conditionalFormatting>
  <conditionalFormatting sqref="O31">
    <cfRule type="expression" dxfId="1534" priority="384">
      <formula>$U31="yes"</formula>
    </cfRule>
  </conditionalFormatting>
  <conditionalFormatting sqref="O33">
    <cfRule type="expression" dxfId="1529" priority="379">
      <formula>$U33="yes"</formula>
    </cfRule>
  </conditionalFormatting>
  <conditionalFormatting sqref="O35">
    <cfRule type="expression" dxfId="1524" priority="374">
      <formula>$U35="yes"</formula>
    </cfRule>
  </conditionalFormatting>
  <conditionalFormatting sqref="O37">
    <cfRule type="expression" dxfId="1519" priority="369">
      <formula>$U37="yes"</formula>
    </cfRule>
  </conditionalFormatting>
  <conditionalFormatting sqref="O39">
    <cfRule type="expression" dxfId="1514" priority="364">
      <formula>$U39="yes"</formula>
    </cfRule>
  </conditionalFormatting>
  <conditionalFormatting sqref="O41">
    <cfRule type="expression" dxfId="1509" priority="359">
      <formula>$U41="yes"</formula>
    </cfRule>
  </conditionalFormatting>
  <conditionalFormatting sqref="O43">
    <cfRule type="expression" dxfId="1504" priority="354">
      <formula>$U43="yes"</formula>
    </cfRule>
  </conditionalFormatting>
  <conditionalFormatting sqref="O45">
    <cfRule type="expression" dxfId="1499" priority="349">
      <formula>$U45="yes"</formula>
    </cfRule>
  </conditionalFormatting>
  <conditionalFormatting sqref="O47">
    <cfRule type="expression" dxfId="1494" priority="344">
      <formula>$U47="yes"</formula>
    </cfRule>
  </conditionalFormatting>
  <conditionalFormatting sqref="O49">
    <cfRule type="expression" dxfId="1489"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79" id="{CF3DC6ED-8088-467D-8DCD-DD01D3620830}">
            <xm:f>$B15=INputs!$P$4</xm:f>
            <x14:dxf>
              <font>
                <color theme="2" tint="-0.24994659260841701"/>
              </font>
            </x14:dxf>
          </x14:cfRule>
          <x14:cfRule type="expression" priority="80" id="{165D9218-E7BA-4E1F-94C9-15EABD43B8FF}">
            <xm:f>$B15=INputs!$P$3</xm:f>
            <x14:dxf>
              <font>
                <color theme="2" tint="-0.24994659260841701"/>
              </font>
            </x14:dxf>
          </x14:cfRule>
          <xm:sqref>B15</xm:sqref>
        </x14:conditionalFormatting>
        <x14:conditionalFormatting xmlns:xm="http://schemas.microsoft.com/office/excel/2006/main">
          <x14:cfRule type="expression" priority="76" id="{B6F4F92C-539A-4F42-B917-E16CDB9FB686}">
            <xm:f>$B17=INputs!$P$4</xm:f>
            <x14:dxf>
              <font>
                <color theme="2" tint="-0.24994659260841701"/>
              </font>
            </x14:dxf>
          </x14:cfRule>
          <x14:cfRule type="expression" priority="77" id="{AE9664F9-C98F-4A50-A2B1-0132BF558EDC}">
            <xm:f>$B17=INputs!$P$3</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0" id="{E3078FB5-0FF3-4AC4-AB9D-78953336FEC4}">
            <xm:f>$B21=INputs!$P$4</xm:f>
            <x14:dxf>
              <font>
                <color theme="2" tint="-0.24994659260841701"/>
              </font>
            </x14:dxf>
          </x14:cfRule>
          <x14:cfRule type="expression" priority="71" id="{C3E2B02C-BD6D-4F01-B22D-E922B9F3F15B}">
            <xm:f>$B21=INputs!$P$3</xm:f>
            <x14:dxf>
              <font>
                <color theme="2" tint="-0.24994659260841701"/>
              </font>
            </x14:dxf>
          </x14:cfRule>
          <xm:sqref>B21</xm:sqref>
        </x14:conditionalFormatting>
        <x14:conditionalFormatting xmlns:xm="http://schemas.microsoft.com/office/excel/2006/main">
          <x14:cfRule type="expression" priority="61" id="{6986C262-5E49-4BDE-BD59-1AC73447AA35}">
            <xm:f>$B23=INputs!$P$4</xm:f>
            <x14:dxf>
              <font>
                <color theme="2" tint="-0.24994659260841701"/>
              </font>
            </x14:dxf>
          </x14:cfRule>
          <x14:cfRule type="expression" priority="62" id="{88F1EDC0-20D2-455F-87B7-4EE216FBC86E}">
            <xm:f>$B23=INputs!$P$3</xm:f>
            <x14:dxf>
              <font>
                <color theme="2" tint="-0.24994659260841701"/>
              </font>
            </x14:dxf>
          </x14:cfRule>
          <xm:sqref>B23</xm:sqref>
        </x14:conditionalFormatting>
        <x14:conditionalFormatting xmlns:xm="http://schemas.microsoft.com/office/excel/2006/main">
          <x14:cfRule type="expression" priority="58" id="{24DF76D5-A654-4A3E-BD25-CC31E6E7B72D}">
            <xm:f>$B25=INputs!$P$4</xm:f>
            <x14:dxf>
              <font>
                <color theme="2" tint="-0.24994659260841701"/>
              </font>
            </x14:dxf>
          </x14:cfRule>
          <x14:cfRule type="expression" priority="59" id="{D2801CA6-20FE-4204-9E23-E4DF202B276B}">
            <xm:f>$B25=INputs!$P$3</xm:f>
            <x14:dxf>
              <font>
                <color theme="2" tint="-0.24994659260841701"/>
              </font>
            </x14:dxf>
          </x14:cfRule>
          <xm:sqref>B25</xm:sqref>
        </x14:conditionalFormatting>
        <x14:conditionalFormatting xmlns:xm="http://schemas.microsoft.com/office/excel/2006/main">
          <x14:cfRule type="expression" priority="55" id="{A3D68865-F603-49EE-807F-A9E6A3057C6D}">
            <xm:f>$B27=INputs!$P$4</xm:f>
            <x14:dxf>
              <font>
                <color theme="2" tint="-0.24994659260841701"/>
              </font>
            </x14:dxf>
          </x14:cfRule>
          <x14:cfRule type="expression" priority="56" id="{F25AFE49-8D12-4534-977E-D89280287C82}">
            <xm:f>$B27=INputs!$P$3</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49" id="{12C1C490-B618-4187-B767-D0A7611008D8}">
            <xm:f>$B31=INputs!$P$4</xm:f>
            <x14:dxf>
              <font>
                <color theme="2" tint="-0.24994659260841701"/>
              </font>
            </x14:dxf>
          </x14:cfRule>
          <x14:cfRule type="expression" priority="50" id="{C4ACCD8F-2A9D-40BE-9B7F-FB77421DBF0E}">
            <xm:f>$B31=INputs!$P$3</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3" id="{84869F3F-AE5B-44B6-AE74-450E81D86D09}">
            <xm:f>$B35=INputs!$P$4</xm:f>
            <x14:dxf>
              <font>
                <color theme="2" tint="-0.24994659260841701"/>
              </font>
            </x14:dxf>
          </x14:cfRule>
          <x14:cfRule type="expression" priority="44" id="{110034F6-820B-40B7-8F3C-D7AF157DBB2E}">
            <xm:f>$B35=INputs!$P$3</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2" id="{99049A78-E626-49B2-928E-2D1516FE8D97}">
            <xm:f>$B49=INputs!$P$4</xm:f>
            <x14:dxf>
              <font>
                <color theme="2" tint="-0.24994659260841701"/>
              </font>
            </x14:dxf>
          </x14:cfRule>
          <x14:cfRule type="expression" priority="23" id="{6604531A-B5B7-4D91-881A-DDB321237C7F}">
            <xm:f>$B49=INputs!$P$3</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m:sqref>C15:Y15</xm:sqref>
        </x14:conditionalFormatting>
        <x14:conditionalFormatting xmlns:xm="http://schemas.microsoft.com/office/excel/2006/main">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m:sqref>C17:Y17</xm:sqref>
        </x14:conditionalFormatting>
        <x14:conditionalFormatting xmlns:xm="http://schemas.microsoft.com/office/excel/2006/main">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m:sqref>C29:Y29</xm:sqref>
        </x14:conditionalFormatting>
        <x14:conditionalFormatting xmlns:xm="http://schemas.microsoft.com/office/excel/2006/main">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m:sqref>C31:Y31</xm:sqref>
        </x14:conditionalFormatting>
        <x14:conditionalFormatting xmlns:xm="http://schemas.microsoft.com/office/excel/2006/main">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m:sqref>C47:Y47</xm:sqref>
        </x14:conditionalFormatting>
        <x14:conditionalFormatting xmlns:xm="http://schemas.microsoft.com/office/excel/2006/main">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4" id="{D6B84F38-513F-463C-88CC-ECACB2FD377B}">
            <xm:f>K13=INputs!$AB$4</xm:f>
            <x14:dxf>
              <font>
                <color theme="2" tint="-0.24994659260841701"/>
              </font>
              <fill>
                <patternFill>
                  <bgColor theme="2" tint="-0.24994659260841701"/>
                </patternFill>
              </fill>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M13</xm:sqref>
        </x14:conditionalFormatting>
        <x14:conditionalFormatting xmlns:xm="http://schemas.microsoft.com/office/excel/2006/main">
          <x14:cfRule type="expression" priority="311" id="{4B31E47A-DDD4-43CB-86A6-B75A021B6BE8}">
            <xm:f>K15=INputs!$AB$4</xm:f>
            <x14:dxf>
              <font>
                <color theme="2" tint="-0.24994659260841701"/>
              </font>
              <fill>
                <patternFill>
                  <bgColor theme="2" tint="-0.24994659260841701"/>
                </patternFill>
              </fill>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M15</xm:sqref>
        </x14:conditionalFormatting>
        <x14:conditionalFormatting xmlns:xm="http://schemas.microsoft.com/office/excel/2006/main">
          <x14:cfRule type="expression" priority="308" id="{8750F12D-54F1-4205-8228-AF56B494DC24}">
            <xm:f>K17=INputs!$AB$4</xm:f>
            <x14:dxf>
              <font>
                <color theme="2" tint="-0.24994659260841701"/>
              </font>
              <fill>
                <patternFill>
                  <bgColor theme="2" tint="-0.24994659260841701"/>
                </patternFill>
              </fill>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M17</xm:sqref>
        </x14:conditionalFormatting>
        <x14:conditionalFormatting xmlns:xm="http://schemas.microsoft.com/office/excel/2006/main">
          <x14:cfRule type="expression" priority="305" id="{2600AC97-8035-4ED6-B0C5-46CD6D1FAD82}">
            <xm:f>K19=INputs!$AB$4</xm:f>
            <x14:dxf>
              <font>
                <color theme="2" tint="-0.24994659260841701"/>
              </font>
              <fill>
                <patternFill>
                  <bgColor theme="2" tint="-0.24994659260841701"/>
                </patternFill>
              </fill>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M19</xm:sqref>
        </x14:conditionalFormatting>
        <x14:conditionalFormatting xmlns:xm="http://schemas.microsoft.com/office/excel/2006/main">
          <x14:cfRule type="expression" priority="302" id="{D879F0B6-29E3-4394-A5F4-D276A53116A9}">
            <xm:f>K21=INputs!$AB$4</xm:f>
            <x14:dxf>
              <font>
                <color theme="2" tint="-0.24994659260841701"/>
              </font>
              <fill>
                <patternFill>
                  <bgColor theme="2" tint="-0.24994659260841701"/>
                </patternFill>
              </fill>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M21</xm:sqref>
        </x14:conditionalFormatting>
        <x14:conditionalFormatting xmlns:xm="http://schemas.microsoft.com/office/excel/2006/main">
          <x14:cfRule type="expression" priority="299" id="{F44467AA-D0F6-4DE9-9047-3D6C0E512BAE}">
            <xm:f>K23=INputs!$AB$4</xm:f>
            <x14:dxf>
              <font>
                <color theme="2" tint="-0.24994659260841701"/>
              </font>
              <fill>
                <patternFill>
                  <bgColor theme="2" tint="-0.24994659260841701"/>
                </patternFill>
              </fill>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M23</xm:sqref>
        </x14:conditionalFormatting>
        <x14:conditionalFormatting xmlns:xm="http://schemas.microsoft.com/office/excel/2006/main">
          <x14:cfRule type="expression" priority="296" id="{BDDAA6D5-B5B0-4C20-87AE-0BAFB3A77FCB}">
            <xm:f>K25=INputs!$AB$4</xm:f>
            <x14:dxf>
              <font>
                <color theme="2" tint="-0.24994659260841701"/>
              </font>
              <fill>
                <patternFill>
                  <bgColor theme="2" tint="-0.24994659260841701"/>
                </patternFill>
              </fill>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M25</xm:sqref>
        </x14:conditionalFormatting>
        <x14:conditionalFormatting xmlns:xm="http://schemas.microsoft.com/office/excel/2006/main">
          <x14:cfRule type="expression" priority="293" id="{08EFB2B1-590D-4880-B4AE-D6EF2DCF6623}">
            <xm:f>K27=INputs!$AB$4</xm:f>
            <x14:dxf>
              <font>
                <color theme="2" tint="-0.24994659260841701"/>
              </font>
              <fill>
                <patternFill>
                  <bgColor theme="2" tint="-0.24994659260841701"/>
                </patternFill>
              </fill>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M27</xm:sqref>
        </x14:conditionalFormatting>
        <x14:conditionalFormatting xmlns:xm="http://schemas.microsoft.com/office/excel/2006/main">
          <x14:cfRule type="expression" priority="290" id="{4178F043-1728-404D-913F-9F90D8267C07}">
            <xm:f>K29=INputs!$AB$4</xm:f>
            <x14:dxf>
              <font>
                <color theme="2" tint="-0.24994659260841701"/>
              </font>
              <fill>
                <patternFill>
                  <bgColor theme="2" tint="-0.24994659260841701"/>
                </patternFill>
              </fill>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M29</xm:sqref>
        </x14:conditionalFormatting>
        <x14:conditionalFormatting xmlns:xm="http://schemas.microsoft.com/office/excel/2006/main">
          <x14:cfRule type="expression" priority="287" id="{AD28C35C-52F2-4680-84B0-8FEC0877BC23}">
            <xm:f>K31=INputs!$AB$4</xm:f>
            <x14:dxf>
              <font>
                <color theme="2" tint="-0.24994659260841701"/>
              </font>
              <fill>
                <patternFill>
                  <bgColor theme="2" tint="-0.24994659260841701"/>
                </patternFill>
              </fill>
            </x14:dxf>
          </x14:cfRule>
          <x14:cfRule type="expression" priority="288" id="{D6F42F17-42F9-4DC0-9036-D5C979A9E889}">
            <xm:f>K31=INputs!$AB$3</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4" id="{1B60E38A-F7DF-45F2-94B2-844B69B88757}">
            <xm:f>K33=INputs!$AB$4</xm:f>
            <x14:dxf>
              <font>
                <color theme="2" tint="-0.24994659260841701"/>
              </font>
              <fill>
                <patternFill>
                  <bgColor theme="2" tint="-0.24994659260841701"/>
                </patternFill>
              </fill>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69" id="{1D42F897-E99C-40ED-8BA9-3B41B286BD7C}">
            <xm:f>K43=INputs!$AB$4</xm:f>
            <x14:dxf>
              <font>
                <color theme="2" tint="-0.24994659260841701"/>
              </font>
              <fill>
                <patternFill>
                  <bgColor theme="2" tint="-0.24994659260841701"/>
                </patternFill>
              </fill>
            </x14:dxf>
          </x14:cfRule>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M43</xm:sqref>
        </x14:conditionalFormatting>
        <x14:conditionalFormatting xmlns:xm="http://schemas.microsoft.com/office/excel/2006/main">
          <x14:cfRule type="expression" priority="266" id="{227F732A-6305-41D1-AA95-3965AC1EF786}">
            <xm:f>K45=INputs!$AB$4</xm:f>
            <x14:dxf>
              <font>
                <color theme="2" tint="-0.24994659260841701"/>
              </font>
              <fill>
                <patternFill>
                  <bgColor theme="2" tint="-0.24994659260841701"/>
                </patternFill>
              </fill>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M45</xm:sqref>
        </x14:conditionalFormatting>
        <x14:conditionalFormatting xmlns:xm="http://schemas.microsoft.com/office/excel/2006/main">
          <x14:cfRule type="expression" priority="263" id="{C97330BD-49B5-4319-9D2A-1DF80708D027}">
            <xm:f>K47=INputs!$AB$4</xm:f>
            <x14:dxf>
              <font>
                <color theme="2" tint="-0.24994659260841701"/>
              </font>
              <fill>
                <patternFill>
                  <bgColor theme="2" tint="-0.24994659260841701"/>
                </patternFill>
              </fill>
            </x14:dxf>
          </x14:cfRule>
          <x14:cfRule type="expression" priority="264" id="{4316372E-14B3-40C1-95E3-ED39C37F8255}">
            <xm:f>K47=INputs!$AB$3</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0" id="{540F0393-6F20-486F-82C0-BC432B82C4BB}">
            <xm:f>K49=INputs!$AB$4</xm:f>
            <x14:dxf>
              <font>
                <color theme="2" tint="-0.24994659260841701"/>
              </font>
              <fill>
                <patternFill>
                  <bgColor theme="2" tint="-0.24994659260841701"/>
                </patternFill>
              </fill>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M49</xm:sqref>
        </x14:conditionalFormatting>
        <x14:conditionalFormatting xmlns:xm="http://schemas.microsoft.com/office/excel/2006/main">
          <x14:cfRule type="expression" priority="436" id="{6115F0E1-6AED-4633-8681-9A808329547C}">
            <xm:f>K11=INputs!$AB$4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554" id="{7466FE83-A79F-439B-A1AB-5FC1A9D9C1ED}">
            <xm:f>$M11=INputs!$AD$3</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26" id="{1DD889ED-068C-4672-BE2A-3D912F33931B}">
            <xm:f>K13=INputs!$AB$4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30" id="{46628ED0-6EE8-4F5D-A5BB-9FE38BBB247C}">
            <xm:f>$M13=INputs!$AD$3</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396" id="{CCB1ACAD-7E6B-4146-83E0-0ADDADB2E9BC}">
            <xm:f>K25=INputs!$AB$4</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400" id="{7C3F7432-97F2-4AD6-952E-3CB285A2A1F6}">
            <xm:f>$M25=INputs!$AD$3</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1" id="{39577506-6803-4602-B1AB-FFE459E6A688}">
            <xm:f>K27=INputs!$AB$4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5" id="{37A40A57-ED24-4F35-AE8E-6D9A7572070F}">
            <xm:f>$M27=INputs!$AD$3</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6" id="{11C7D194-C4EC-4B05-AC5B-D4415C2E7958}">
            <xm:f>K29=INputs!$AB$4</xm:f>
            <x14:dxf>
              <font>
                <color theme="2" tint="-0.24994659260841701"/>
              </font>
              <fill>
                <patternFill>
                  <bgColor theme="2" tint="-0.24994659260841701"/>
                </patternFill>
              </fill>
            </x14:dxf>
          </x14:cfRule>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1" id="{B83D9F77-1F56-43CB-BB73-5FFBCFF18C87}">
            <xm:f>K31=INputs!$AB$4</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14:cfRule type="expression" priority="385" id="{6392CE8C-F481-4CC8-9F3F-7DFFB4C0262D}">
            <xm:f>$M31=INputs!$AD$3</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6" id="{D2091834-7A04-4748-8451-13E5F2BFF53B}">
            <xm:f>K33=INputs!$AB$4</xm:f>
            <x14:dxf>
              <font>
                <color theme="2" tint="-0.24994659260841701"/>
              </font>
              <fill>
                <patternFill>
                  <bgColor theme="2" tint="-0.24994659260841701"/>
                </patternFill>
              </fill>
            </x14:dxf>
          </x14:cfRule>
          <x14:cfRule type="expression" priority="377" id="{D821A992-535B-4A66-AAB5-0CFF2A90A528}">
            <xm:f>$K33=INputs!$AB$3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66" id="{30439E21-BB8C-40CF-AB31-D550CF58B46D}">
            <xm:f>K37=INputs!$AB$4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70" id="{9A5FEB5F-CD74-4D82-BFAD-D429FFF927E1}">
            <xm:f>$M37=INputs!$AD$3</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1" id="{3C3DCCF5-21EB-4BC2-83E4-F3F9C171CBDA}">
            <xm:f>K39=INputs!$AB$4</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6" id="{7CFB8963-D569-44A7-8633-3FE0F381D610}">
            <xm:f>K41=INputs!$AB$4</xm:f>
            <x14:dxf>
              <font>
                <color theme="2" tint="-0.24994659260841701"/>
              </font>
              <fill>
                <patternFill>
                  <bgColor theme="2" tint="-0.24994659260841701"/>
                </patternFill>
              </fill>
            </x14:dxf>
          </x14:cfRule>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1" id="{E0458448-5A95-4A79-973B-B8D45E78F4C4}">
            <xm:f>K43=INputs!$AB$4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3" id="{07E17FD5-071F-45F6-9B9F-6D90EDD2509A}">
            <xm:f>$M43=INputs!$AD$4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1" id="{1D170F34-1647-4BED-A464-916BF43E1007}">
            <xm:f>K47=INputs!$AB$4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5" id="{07DEC570-6110-4D51-B89D-297CEF379199}">
            <xm:f>$M47=INputs!$AD$3</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36" id="{E4B9D2DF-66A3-48DB-85A1-2BC04FC4234E}">
            <xm:f>K49=INputs!$AB$4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40" id="{439197A7-B82A-4027-9F84-C15D8B53385F}">
            <xm:f>$M49=INputs!$AD$3</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Q95" sqref="Q95"/>
    </sheetView>
  </sheetViews>
  <sheetFormatPr defaultRowHeight="14.5" outlineLevelRow="1" x14ac:dyDescent="0.35"/>
  <cols>
    <col min="1" max="1" width="3.7265625" style="87" customWidth="1"/>
    <col min="2" max="2" width="9.1796875" style="87" hidden="1" customWidth="1"/>
    <col min="3" max="3" width="34.1796875" customWidth="1"/>
    <col min="4" max="4" width="1.1796875" customWidth="1"/>
    <col min="5" max="5" width="5" customWidth="1"/>
    <col min="6" max="6" width="63.7265625" customWidth="1"/>
    <col min="7" max="7" width="2.1796875" customWidth="1"/>
    <col min="8" max="8" width="5.1796875" customWidth="1"/>
    <col min="9" max="9" width="51.7265625" customWidth="1"/>
    <col min="10" max="10" width="2.26953125" customWidth="1"/>
    <col min="11" max="11" width="5" customWidth="1"/>
    <col min="12" max="12" width="45.26953125" customWidth="1"/>
    <col min="13" max="13" width="2.1796875" customWidth="1"/>
    <col min="14" max="14" width="49.1796875" customWidth="1"/>
    <col min="15" max="15" width="2.1796875" customWidth="1"/>
    <col min="16" max="16" width="5" customWidth="1"/>
    <col min="17" max="17" width="69.81640625" customWidth="1"/>
    <col min="18" max="18" width="2.1796875" customWidth="1"/>
    <col min="19" max="19" width="5" customWidth="1"/>
    <col min="20" max="20" width="64.453125" customWidth="1"/>
  </cols>
  <sheetData>
    <row r="1" spans="1:21" ht="23.5" x14ac:dyDescent="0.35">
      <c r="C1" s="42" t="s">
        <v>93</v>
      </c>
      <c r="D1" s="42"/>
      <c r="E1" s="42"/>
      <c r="F1" s="42"/>
      <c r="G1" s="42"/>
      <c r="H1" s="42"/>
      <c r="I1" s="42"/>
      <c r="J1" s="42"/>
      <c r="K1" s="42"/>
      <c r="L1" s="42"/>
      <c r="M1" s="42"/>
      <c r="N1" s="42"/>
      <c r="O1" s="42"/>
      <c r="P1" s="42"/>
      <c r="Q1" s="42"/>
      <c r="R1" s="42"/>
      <c r="S1" s="42"/>
      <c r="T1" s="42"/>
    </row>
    <row r="2" spans="1:21" ht="15" thickBot="1" x14ac:dyDescent="0.4">
      <c r="C2" s="1"/>
    </row>
    <row r="3" spans="1:21" ht="19" thickBot="1" x14ac:dyDescent="0.4">
      <c r="C3" s="96" t="s">
        <v>145</v>
      </c>
      <c r="E3" s="678" t="s">
        <v>225</v>
      </c>
      <c r="F3" s="679"/>
      <c r="H3" s="669" t="s">
        <v>226</v>
      </c>
      <c r="I3" s="670"/>
      <c r="K3" s="669" t="s">
        <v>227</v>
      </c>
      <c r="L3" s="670"/>
      <c r="N3" s="98" t="s">
        <v>228</v>
      </c>
      <c r="P3" s="669" t="s">
        <v>229</v>
      </c>
      <c r="Q3" s="670"/>
      <c r="S3" s="669" t="s">
        <v>230</v>
      </c>
      <c r="T3" s="670"/>
    </row>
    <row r="4" spans="1:21" s="3" customFormat="1" ht="189" hidden="1" customHeight="1" outlineLevel="1" x14ac:dyDescent="0.35">
      <c r="A4" s="225" t="s">
        <v>119</v>
      </c>
      <c r="B4" s="147"/>
      <c r="C4" s="155" t="s">
        <v>155</v>
      </c>
      <c r="D4" s="154"/>
      <c r="E4" s="658" t="s">
        <v>95</v>
      </c>
      <c r="F4" s="658"/>
      <c r="G4" s="154"/>
      <c r="H4" s="658" t="s">
        <v>231</v>
      </c>
      <c r="I4" s="658"/>
      <c r="J4" s="154"/>
      <c r="K4" s="658" t="s">
        <v>232</v>
      </c>
      <c r="L4" s="658"/>
      <c r="M4" s="154"/>
      <c r="N4" s="157" t="s">
        <v>233</v>
      </c>
      <c r="O4" s="154"/>
      <c r="P4" s="658" t="s">
        <v>234</v>
      </c>
      <c r="Q4" s="658"/>
      <c r="R4" s="154"/>
      <c r="S4" s="658" t="s">
        <v>235</v>
      </c>
      <c r="T4" s="627"/>
    </row>
    <row r="5" spans="1:21" s="3" customFormat="1" ht="43.5" hidden="1" outlineLevel="1" x14ac:dyDescent="0.35">
      <c r="A5" s="655" t="s">
        <v>127</v>
      </c>
      <c r="B5" s="225"/>
      <c r="C5" s="160" t="s">
        <v>236</v>
      </c>
      <c r="D5" s="124"/>
      <c r="E5" s="591"/>
      <c r="F5" s="591"/>
      <c r="G5" s="124"/>
      <c r="H5" s="591"/>
      <c r="I5" s="591"/>
      <c r="J5" s="124"/>
      <c r="K5" s="591"/>
      <c r="L5" s="591"/>
      <c r="M5" s="124"/>
      <c r="N5" s="163"/>
      <c r="O5" s="124"/>
      <c r="P5" s="591"/>
      <c r="Q5" s="591"/>
      <c r="R5" s="124"/>
      <c r="S5" s="589" t="s">
        <v>237</v>
      </c>
      <c r="T5" s="589"/>
    </row>
    <row r="6" spans="1:21" s="3" customFormat="1" hidden="1" outlineLevel="1" x14ac:dyDescent="0.35">
      <c r="A6" s="655"/>
      <c r="B6" s="225"/>
      <c r="C6" s="163"/>
      <c r="D6" s="124"/>
      <c r="E6" s="591"/>
      <c r="F6" s="591"/>
      <c r="G6" s="124"/>
      <c r="H6" s="591"/>
      <c r="I6" s="591"/>
      <c r="J6" s="124"/>
      <c r="K6" s="591"/>
      <c r="L6" s="591"/>
      <c r="M6" s="124"/>
      <c r="N6" s="163"/>
      <c r="O6" s="124"/>
      <c r="P6" s="591"/>
      <c r="Q6" s="591"/>
      <c r="R6" s="124"/>
      <c r="S6" s="591"/>
      <c r="T6" s="591"/>
    </row>
    <row r="7" spans="1:21" s="3" customFormat="1" hidden="1" outlineLevel="1" x14ac:dyDescent="0.35">
      <c r="A7" s="655"/>
      <c r="B7" s="225"/>
      <c r="C7" s="163"/>
      <c r="D7" s="124"/>
      <c r="E7" s="591"/>
      <c r="F7" s="591"/>
      <c r="G7" s="124"/>
      <c r="H7" s="591"/>
      <c r="I7" s="591"/>
      <c r="J7" s="124"/>
      <c r="K7" s="591"/>
      <c r="L7" s="591"/>
      <c r="M7" s="124"/>
      <c r="N7" s="163"/>
      <c r="O7" s="124"/>
      <c r="P7" s="591"/>
      <c r="Q7" s="591"/>
      <c r="R7" s="124"/>
      <c r="S7" s="591"/>
      <c r="T7" s="591"/>
    </row>
    <row r="8" spans="1:21" s="3" customFormat="1" hidden="1" outlineLevel="1" x14ac:dyDescent="0.35">
      <c r="A8" s="655"/>
      <c r="B8" s="225"/>
      <c r="C8" s="163"/>
      <c r="D8" s="124"/>
      <c r="E8" s="579"/>
      <c r="F8" s="579"/>
      <c r="G8" s="124"/>
      <c r="H8" s="591"/>
      <c r="I8" s="591"/>
      <c r="J8" s="124"/>
      <c r="K8" s="591"/>
      <c r="L8" s="591"/>
      <c r="M8" s="124"/>
      <c r="N8" s="163"/>
      <c r="O8" s="124"/>
      <c r="P8" s="591"/>
      <c r="Q8" s="591"/>
      <c r="R8" s="124"/>
      <c r="S8" s="591"/>
      <c r="T8" s="591"/>
    </row>
    <row r="9" spans="1:21" s="3" customFormat="1" hidden="1" outlineLevel="1" x14ac:dyDescent="0.35">
      <c r="A9" s="655"/>
      <c r="B9" s="225"/>
      <c r="C9" s="163"/>
      <c r="D9" s="124"/>
      <c r="E9" s="656"/>
      <c r="F9" s="657"/>
      <c r="G9" s="124"/>
      <c r="H9" s="591"/>
      <c r="I9" s="579"/>
      <c r="J9" s="124"/>
      <c r="K9" s="591"/>
      <c r="L9" s="591"/>
      <c r="M9" s="124"/>
      <c r="N9" s="163"/>
      <c r="O9" s="124"/>
      <c r="P9" s="591"/>
      <c r="Q9" s="591"/>
      <c r="R9" s="124"/>
      <c r="S9" s="591"/>
      <c r="T9" s="591"/>
    </row>
    <row r="10" spans="1:21" ht="15" collapsed="1" thickBot="1" x14ac:dyDescent="0.4">
      <c r="C10" s="8"/>
      <c r="E10" s="683" t="s">
        <v>136</v>
      </c>
      <c r="F10" s="683"/>
      <c r="G10" s="175"/>
      <c r="H10" s="37"/>
      <c r="I10" s="174" t="s">
        <v>137</v>
      </c>
      <c r="K10" s="36"/>
      <c r="L10" s="24" t="s">
        <v>136</v>
      </c>
      <c r="M10" s="24"/>
      <c r="N10" s="16"/>
      <c r="P10" s="38"/>
      <c r="Q10" s="24" t="s">
        <v>136</v>
      </c>
      <c r="R10" s="24"/>
      <c r="S10" s="604" t="s">
        <v>136</v>
      </c>
      <c r="T10" s="604"/>
      <c r="U10" s="29"/>
    </row>
    <row r="11" spans="1:21" ht="3.65" customHeight="1" thickBot="1" x14ac:dyDescent="0.4">
      <c r="C11" s="301"/>
      <c r="D11" s="229"/>
      <c r="E11" s="229"/>
      <c r="F11" s="229"/>
      <c r="G11" s="229"/>
      <c r="H11" s="229"/>
      <c r="I11" s="229"/>
      <c r="J11" s="229"/>
      <c r="K11" s="229"/>
      <c r="L11" s="229"/>
      <c r="M11" s="229"/>
      <c r="N11" s="229"/>
      <c r="O11" s="229"/>
      <c r="P11" s="229"/>
      <c r="Q11" s="229"/>
      <c r="R11" s="229"/>
      <c r="S11" s="229"/>
      <c r="T11" s="302"/>
    </row>
    <row r="12" spans="1:21" hidden="1" x14ac:dyDescent="0.35">
      <c r="C12" s="30"/>
      <c r="D12" s="30"/>
      <c r="E12" s="30"/>
      <c r="F12" s="30"/>
      <c r="G12" s="30"/>
      <c r="H12" s="30"/>
      <c r="I12" s="30"/>
      <c r="J12" s="30"/>
      <c r="K12" s="30"/>
      <c r="L12" s="30"/>
      <c r="M12" s="30"/>
      <c r="N12" s="30"/>
      <c r="O12" s="30"/>
      <c r="P12" s="30"/>
      <c r="Q12" s="30"/>
      <c r="R12" s="30"/>
      <c r="S12" s="30"/>
      <c r="T12" s="30"/>
    </row>
    <row r="13" spans="1:21" ht="16.5" thickBot="1" x14ac:dyDescent="0.4">
      <c r="A13" s="675">
        <v>1</v>
      </c>
      <c r="B13" s="13">
        <f>A13+10</f>
        <v>11</v>
      </c>
      <c r="C13" s="666" t="str">
        <f>VLOOKUP(A13,INputs!$G$3:$O$22,9,FALSE)</f>
        <v>Label-Public - Pending checkbox selection on Sensitivity Labels Tab</v>
      </c>
      <c r="D13" s="507"/>
      <c r="E13" s="508" t="b">
        <v>0</v>
      </c>
      <c r="F13" s="509" t="s">
        <v>238</v>
      </c>
      <c r="G13" s="510"/>
      <c r="H13" s="680"/>
      <c r="I13" s="680"/>
      <c r="J13" s="511"/>
      <c r="K13" s="512" t="b">
        <v>0</v>
      </c>
      <c r="L13" s="511" t="s">
        <v>239</v>
      </c>
      <c r="M13" s="510"/>
      <c r="N13" s="513" t="s">
        <v>240</v>
      </c>
      <c r="O13" s="510"/>
      <c r="P13" s="681" t="s">
        <v>241</v>
      </c>
      <c r="Q13" s="681"/>
      <c r="R13" s="510"/>
      <c r="S13" s="672" t="s">
        <v>242</v>
      </c>
      <c r="T13" s="673"/>
    </row>
    <row r="14" spans="1:21" ht="16" x14ac:dyDescent="0.35">
      <c r="A14" s="676"/>
      <c r="B14" s="241">
        <f>B13+1</f>
        <v>12</v>
      </c>
      <c r="C14" s="667"/>
      <c r="D14" s="514"/>
      <c r="E14" s="64" t="b">
        <v>0</v>
      </c>
      <c r="F14" s="65" t="s">
        <v>243</v>
      </c>
      <c r="H14" s="44"/>
      <c r="I14" s="611" t="s">
        <v>136</v>
      </c>
      <c r="J14" s="611"/>
      <c r="K14" s="663" t="b">
        <v>0</v>
      </c>
      <c r="L14" s="647" t="s">
        <v>241</v>
      </c>
      <c r="N14" s="40" t="s">
        <v>137</v>
      </c>
      <c r="P14" s="45" t="b">
        <v>0</v>
      </c>
      <c r="Q14" s="44" t="s">
        <v>244</v>
      </c>
      <c r="S14" s="45" t="b">
        <v>0</v>
      </c>
      <c r="T14" s="515" t="s">
        <v>245</v>
      </c>
    </row>
    <row r="15" spans="1:21" ht="16" x14ac:dyDescent="0.35">
      <c r="A15" s="676"/>
      <c r="B15" s="241">
        <f>B14+1</f>
        <v>13</v>
      </c>
      <c r="C15" s="667"/>
      <c r="D15" s="514"/>
      <c r="E15" s="64" t="b">
        <v>0</v>
      </c>
      <c r="F15" s="65" t="s">
        <v>246</v>
      </c>
      <c r="H15" s="45" t="b">
        <v>0</v>
      </c>
      <c r="I15" s="647" t="s">
        <v>247</v>
      </c>
      <c r="J15" s="44"/>
      <c r="K15" s="663"/>
      <c r="L15" s="647"/>
      <c r="N15" s="44"/>
      <c r="P15" s="44"/>
      <c r="Q15" s="46"/>
      <c r="S15" s="664" t="s">
        <v>248</v>
      </c>
      <c r="T15" s="671"/>
    </row>
    <row r="16" spans="1:21" x14ac:dyDescent="0.35">
      <c r="A16" s="676"/>
      <c r="B16" s="241">
        <f>B15+1</f>
        <v>14</v>
      </c>
      <c r="C16" s="667"/>
      <c r="D16" s="514"/>
      <c r="H16" s="44"/>
      <c r="I16" s="647"/>
      <c r="J16" s="44"/>
      <c r="P16" s="45" t="b">
        <v>0</v>
      </c>
      <c r="Q16" s="44" t="s">
        <v>249</v>
      </c>
      <c r="S16" s="45" t="b">
        <v>0</v>
      </c>
      <c r="T16" s="515" t="s">
        <v>250</v>
      </c>
    </row>
    <row r="17" spans="1:20" x14ac:dyDescent="0.35">
      <c r="A17" s="676"/>
      <c r="B17" s="241">
        <f>B16+1</f>
        <v>15</v>
      </c>
      <c r="C17" s="667"/>
      <c r="D17" s="514"/>
      <c r="H17" s="44"/>
      <c r="I17" s="44"/>
      <c r="J17" s="44"/>
      <c r="Q17" s="23" t="s">
        <v>135</v>
      </c>
      <c r="S17" s="45" t="b">
        <v>0</v>
      </c>
      <c r="T17" s="515" t="s">
        <v>251</v>
      </c>
    </row>
    <row r="18" spans="1:20" ht="15" thickBot="1" x14ac:dyDescent="0.4">
      <c r="A18" s="677"/>
      <c r="B18" s="241">
        <f>B17+1</f>
        <v>16</v>
      </c>
      <c r="C18" s="668"/>
      <c r="D18" s="516"/>
      <c r="E18" s="517"/>
      <c r="F18" s="517"/>
      <c r="G18" s="517"/>
      <c r="H18" s="518"/>
      <c r="I18" s="518"/>
      <c r="J18" s="518"/>
      <c r="K18" s="517"/>
      <c r="L18" s="517"/>
      <c r="M18" s="517"/>
      <c r="N18" s="517"/>
      <c r="O18" s="517"/>
      <c r="P18" s="517"/>
      <c r="Q18" s="519"/>
      <c r="R18" s="517"/>
      <c r="S18" s="520" t="b">
        <v>0</v>
      </c>
      <c r="T18" s="521" t="s">
        <v>252</v>
      </c>
    </row>
    <row r="19" spans="1:20" hidden="1" x14ac:dyDescent="0.35">
      <c r="C19" s="301"/>
      <c r="D19" s="220"/>
      <c r="E19" s="220"/>
      <c r="F19" s="220"/>
      <c r="G19" s="220"/>
      <c r="H19" s="220"/>
      <c r="I19" s="220"/>
      <c r="J19" s="220"/>
      <c r="K19" s="220"/>
      <c r="L19" s="220"/>
      <c r="M19" s="220"/>
      <c r="N19" s="220"/>
      <c r="O19" s="220"/>
      <c r="P19" s="220"/>
      <c r="Q19" s="220"/>
      <c r="R19" s="220"/>
      <c r="S19" s="220"/>
      <c r="T19" s="221"/>
    </row>
    <row r="20" spans="1:20" ht="3.65" customHeight="1" thickBot="1" x14ac:dyDescent="0.4">
      <c r="C20" s="301"/>
      <c r="D20" s="229"/>
      <c r="E20" s="229"/>
      <c r="F20" s="229"/>
      <c r="G20" s="229"/>
      <c r="H20" s="229"/>
      <c r="I20" s="229"/>
      <c r="J20" s="229"/>
      <c r="K20" s="229"/>
      <c r="L20" s="229"/>
      <c r="M20" s="229"/>
      <c r="N20" s="229"/>
      <c r="O20" s="229"/>
      <c r="P20" s="229"/>
      <c r="Q20" s="229"/>
      <c r="R20" s="229"/>
      <c r="S20" s="229"/>
      <c r="T20" s="302"/>
    </row>
    <row r="21" spans="1:20" ht="15" hidden="1" thickBot="1" x14ac:dyDescent="0.4">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4">
      <c r="A22" s="569">
        <f>A13+1</f>
        <v>2</v>
      </c>
      <c r="B22" s="13">
        <f>B13+10</f>
        <v>21</v>
      </c>
      <c r="C22" s="666" t="str">
        <f>VLOOKUP(A22,INputs!$G$3:$O$22,9,FALSE)</f>
        <v>Label-General</v>
      </c>
      <c r="D22" s="62"/>
      <c r="E22" s="60" t="b">
        <v>0</v>
      </c>
      <c r="F22" s="61" t="s">
        <v>238</v>
      </c>
      <c r="G22" s="62"/>
      <c r="H22" s="659"/>
      <c r="I22" s="674"/>
      <c r="J22" s="63"/>
      <c r="K22" s="77" t="b">
        <v>0</v>
      </c>
      <c r="L22" s="63" t="s">
        <v>239</v>
      </c>
      <c r="M22" s="62"/>
      <c r="N22" s="470" t="s">
        <v>240</v>
      </c>
      <c r="O22" s="62"/>
      <c r="P22" s="660" t="s">
        <v>241</v>
      </c>
      <c r="Q22" s="660"/>
      <c r="R22" s="62"/>
      <c r="S22" s="661" t="s">
        <v>242</v>
      </c>
      <c r="T22" s="662"/>
    </row>
    <row r="23" spans="1:20" ht="16" x14ac:dyDescent="0.35">
      <c r="A23" s="570"/>
      <c r="B23" s="233">
        <f>B22+1</f>
        <v>22</v>
      </c>
      <c r="C23" s="667"/>
      <c r="E23" s="64" t="b">
        <v>0</v>
      </c>
      <c r="F23" s="65" t="s">
        <v>243</v>
      </c>
      <c r="H23" s="44"/>
      <c r="I23" s="611" t="s">
        <v>136</v>
      </c>
      <c r="J23" s="611"/>
      <c r="K23" s="663" t="b">
        <v>0</v>
      </c>
      <c r="L23" s="647" t="s">
        <v>241</v>
      </c>
      <c r="N23" s="40" t="s">
        <v>137</v>
      </c>
      <c r="P23" s="45" t="b">
        <v>0</v>
      </c>
      <c r="Q23" s="44" t="s">
        <v>244</v>
      </c>
      <c r="S23" s="45" t="b">
        <v>0</v>
      </c>
      <c r="T23" s="72" t="s">
        <v>245</v>
      </c>
    </row>
    <row r="24" spans="1:20" ht="16" x14ac:dyDescent="0.35">
      <c r="A24" s="570"/>
      <c r="B24" s="233">
        <f>B23+1</f>
        <v>23</v>
      </c>
      <c r="C24" s="667"/>
      <c r="E24" s="64" t="b">
        <v>0</v>
      </c>
      <c r="F24" s="65" t="s">
        <v>246</v>
      </c>
      <c r="H24" s="45" t="b">
        <v>0</v>
      </c>
      <c r="I24" s="647" t="s">
        <v>247</v>
      </c>
      <c r="J24" s="44"/>
      <c r="K24" s="663"/>
      <c r="L24" s="647"/>
      <c r="N24" s="44"/>
      <c r="P24" s="44"/>
      <c r="Q24" s="46"/>
      <c r="S24" s="664" t="s">
        <v>248</v>
      </c>
      <c r="T24" s="665"/>
    </row>
    <row r="25" spans="1:20" x14ac:dyDescent="0.35">
      <c r="A25" s="570"/>
      <c r="B25" s="233">
        <f>B24+1</f>
        <v>24</v>
      </c>
      <c r="C25" s="667"/>
      <c r="H25" s="44"/>
      <c r="I25" s="647"/>
      <c r="J25" s="44"/>
      <c r="P25" s="45" t="b">
        <v>0</v>
      </c>
      <c r="Q25" s="44" t="s">
        <v>249</v>
      </c>
      <c r="S25" s="45" t="b">
        <v>0</v>
      </c>
      <c r="T25" s="72" t="s">
        <v>250</v>
      </c>
    </row>
    <row r="26" spans="1:20" x14ac:dyDescent="0.35">
      <c r="A26" s="570"/>
      <c r="B26" s="233">
        <f>B25+1</f>
        <v>25</v>
      </c>
      <c r="C26" s="667"/>
      <c r="H26" s="44"/>
      <c r="I26" s="44"/>
      <c r="J26" s="44"/>
      <c r="Q26" s="23" t="s">
        <v>135</v>
      </c>
      <c r="S26" s="45" t="b">
        <v>0</v>
      </c>
      <c r="T26" s="72" t="s">
        <v>251</v>
      </c>
    </row>
    <row r="27" spans="1:20" ht="15" thickBot="1" x14ac:dyDescent="0.4">
      <c r="A27" s="571"/>
      <c r="B27" s="233">
        <f>B26+1</f>
        <v>26</v>
      </c>
      <c r="C27" s="668"/>
      <c r="D27" s="67"/>
      <c r="E27" s="67"/>
      <c r="F27" s="67"/>
      <c r="G27" s="67"/>
      <c r="H27" s="74"/>
      <c r="I27" s="74"/>
      <c r="J27" s="74"/>
      <c r="K27" s="67"/>
      <c r="L27" s="67"/>
      <c r="M27" s="67"/>
      <c r="N27" s="67"/>
      <c r="O27" s="67"/>
      <c r="P27" s="67"/>
      <c r="Q27" s="68"/>
      <c r="R27" s="67"/>
      <c r="S27" s="117" t="b">
        <v>0</v>
      </c>
      <c r="T27" s="118" t="s">
        <v>252</v>
      </c>
    </row>
    <row r="28" spans="1:20" ht="15" hidden="1" thickBot="1" x14ac:dyDescent="0.4">
      <c r="C28" s="301"/>
      <c r="D28" s="229"/>
      <c r="E28" s="229"/>
      <c r="F28" s="229"/>
      <c r="G28" s="229"/>
      <c r="H28" s="229"/>
      <c r="I28" s="229"/>
      <c r="J28" s="229"/>
      <c r="K28" s="229"/>
      <c r="L28" s="229"/>
      <c r="M28" s="229"/>
      <c r="N28" s="229"/>
      <c r="O28" s="229"/>
      <c r="P28" s="229"/>
      <c r="Q28" s="229"/>
      <c r="R28" s="229"/>
      <c r="S28" s="229"/>
      <c r="T28" s="302"/>
    </row>
    <row r="29" spans="1:20" ht="3.65" customHeight="1" thickBot="1" x14ac:dyDescent="0.4">
      <c r="C29" s="301"/>
      <c r="D29" s="229"/>
      <c r="E29" s="229"/>
      <c r="F29" s="229"/>
      <c r="G29" s="229"/>
      <c r="H29" s="229"/>
      <c r="I29" s="229"/>
      <c r="J29" s="229"/>
      <c r="K29" s="229"/>
      <c r="L29" s="229"/>
      <c r="M29" s="229"/>
      <c r="N29" s="229"/>
      <c r="O29" s="229"/>
      <c r="P29" s="229"/>
      <c r="Q29" s="229"/>
      <c r="R29" s="229"/>
      <c r="S29" s="229"/>
      <c r="T29" s="302"/>
    </row>
    <row r="30" spans="1:20" ht="15" hidden="1" thickBot="1" x14ac:dyDescent="0.4">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4">
      <c r="A31" s="569">
        <f>A22+1</f>
        <v>3</v>
      </c>
      <c r="B31" s="13">
        <f>B22+10</f>
        <v>31</v>
      </c>
      <c r="C31" s="666" t="str">
        <f>VLOOKUP(A31,INputs!$G$3:$O$22,9,FALSE)</f>
        <v>Parent Label-Confidential</v>
      </c>
      <c r="D31" s="62"/>
      <c r="E31" s="60" t="b">
        <v>0</v>
      </c>
      <c r="F31" s="61" t="s">
        <v>238</v>
      </c>
      <c r="G31" s="62"/>
      <c r="H31" s="659"/>
      <c r="I31" s="659"/>
      <c r="J31" s="63"/>
      <c r="K31" s="77" t="b">
        <v>0</v>
      </c>
      <c r="L31" s="63" t="s">
        <v>239</v>
      </c>
      <c r="M31" s="62"/>
      <c r="N31" s="470" t="s">
        <v>240</v>
      </c>
      <c r="O31" s="62"/>
      <c r="P31" s="660" t="s">
        <v>241</v>
      </c>
      <c r="Q31" s="660"/>
      <c r="R31" s="62"/>
      <c r="S31" s="661" t="s">
        <v>242</v>
      </c>
      <c r="T31" s="662"/>
    </row>
    <row r="32" spans="1:20" ht="16" x14ac:dyDescent="0.35">
      <c r="A32" s="570"/>
      <c r="B32" s="233">
        <f>B31+1</f>
        <v>32</v>
      </c>
      <c r="C32" s="667"/>
      <c r="E32" s="64" t="b">
        <v>0</v>
      </c>
      <c r="F32" s="65" t="s">
        <v>243</v>
      </c>
      <c r="H32" s="44"/>
      <c r="I32" s="611" t="s">
        <v>136</v>
      </c>
      <c r="J32" s="611"/>
      <c r="K32" s="663" t="b">
        <v>0</v>
      </c>
      <c r="L32" s="647" t="s">
        <v>241</v>
      </c>
      <c r="N32" s="40" t="s">
        <v>137</v>
      </c>
      <c r="P32" s="45" t="b">
        <v>0</v>
      </c>
      <c r="Q32" s="44" t="s">
        <v>244</v>
      </c>
      <c r="S32" s="45" t="b">
        <v>0</v>
      </c>
      <c r="T32" s="72" t="s">
        <v>245</v>
      </c>
    </row>
    <row r="33" spans="1:20" ht="16" x14ac:dyDescent="0.35">
      <c r="A33" s="570"/>
      <c r="B33" s="233">
        <f>B32+1</f>
        <v>33</v>
      </c>
      <c r="C33" s="667"/>
      <c r="E33" s="64" t="b">
        <v>0</v>
      </c>
      <c r="F33" s="65" t="s">
        <v>246</v>
      </c>
      <c r="H33" s="45" t="b">
        <v>0</v>
      </c>
      <c r="I33" s="647" t="s">
        <v>247</v>
      </c>
      <c r="J33" s="44"/>
      <c r="K33" s="663"/>
      <c r="L33" s="647"/>
      <c r="N33" s="44"/>
      <c r="P33" s="44"/>
      <c r="Q33" s="46"/>
      <c r="S33" s="664" t="s">
        <v>248</v>
      </c>
      <c r="T33" s="665"/>
    </row>
    <row r="34" spans="1:20" x14ac:dyDescent="0.35">
      <c r="A34" s="570"/>
      <c r="B34" s="233">
        <f>B33+1</f>
        <v>34</v>
      </c>
      <c r="C34" s="667"/>
      <c r="H34" s="44"/>
      <c r="I34" s="647"/>
      <c r="J34" s="44"/>
      <c r="P34" s="45" t="b">
        <v>0</v>
      </c>
      <c r="Q34" s="44" t="s">
        <v>249</v>
      </c>
      <c r="S34" s="45" t="b">
        <v>0</v>
      </c>
      <c r="T34" s="72" t="s">
        <v>250</v>
      </c>
    </row>
    <row r="35" spans="1:20" x14ac:dyDescent="0.35">
      <c r="A35" s="570"/>
      <c r="B35" s="233">
        <f>B34+1</f>
        <v>35</v>
      </c>
      <c r="C35" s="667"/>
      <c r="H35" s="44"/>
      <c r="I35" s="44"/>
      <c r="J35" s="44"/>
      <c r="Q35" s="23" t="s">
        <v>135</v>
      </c>
      <c r="S35" s="45" t="b">
        <v>0</v>
      </c>
      <c r="T35" s="72" t="s">
        <v>251</v>
      </c>
    </row>
    <row r="36" spans="1:20" ht="15" thickBot="1" x14ac:dyDescent="0.4">
      <c r="A36" s="571"/>
      <c r="B36" s="233">
        <f>B35+1</f>
        <v>36</v>
      </c>
      <c r="C36" s="668"/>
      <c r="D36" s="67"/>
      <c r="E36" s="67"/>
      <c r="F36" s="67"/>
      <c r="G36" s="67"/>
      <c r="H36" s="74"/>
      <c r="I36" s="74"/>
      <c r="J36" s="74"/>
      <c r="K36" s="67"/>
      <c r="L36" s="67"/>
      <c r="M36" s="67"/>
      <c r="N36" s="67"/>
      <c r="O36" s="67"/>
      <c r="P36" s="67"/>
      <c r="Q36" s="68"/>
      <c r="R36" s="67"/>
      <c r="S36" s="117" t="b">
        <v>0</v>
      </c>
      <c r="T36" s="118" t="s">
        <v>252</v>
      </c>
    </row>
    <row r="37" spans="1:20" ht="15" hidden="1" thickBot="1" x14ac:dyDescent="0.4">
      <c r="C37" s="301"/>
      <c r="D37" s="229"/>
      <c r="E37" s="229"/>
      <c r="F37" s="229"/>
      <c r="G37" s="229"/>
      <c r="H37" s="229"/>
      <c r="I37" s="229"/>
      <c r="J37" s="229"/>
      <c r="K37" s="229"/>
      <c r="L37" s="229"/>
      <c r="M37" s="229"/>
      <c r="N37" s="229"/>
      <c r="O37" s="229"/>
      <c r="P37" s="229"/>
      <c r="Q37" s="229"/>
      <c r="R37" s="229"/>
      <c r="S37" s="229"/>
      <c r="T37" s="302"/>
    </row>
    <row r="38" spans="1:20" ht="3.65" customHeight="1" thickBot="1" x14ac:dyDescent="0.4">
      <c r="C38" s="301"/>
      <c r="D38" s="229"/>
      <c r="E38" s="229"/>
      <c r="F38" s="229"/>
      <c r="G38" s="229"/>
      <c r="H38" s="229"/>
      <c r="I38" s="229"/>
      <c r="J38" s="229"/>
      <c r="K38" s="229"/>
      <c r="L38" s="229"/>
      <c r="M38" s="229"/>
      <c r="N38" s="229"/>
      <c r="O38" s="229"/>
      <c r="P38" s="229"/>
      <c r="Q38" s="229"/>
      <c r="R38" s="229"/>
      <c r="S38" s="229"/>
      <c r="T38" s="302"/>
    </row>
    <row r="39" spans="1:20" ht="15" hidden="1" thickBot="1" x14ac:dyDescent="0.4">
      <c r="C39" s="301"/>
      <c r="D39" s="229"/>
      <c r="E39" s="229"/>
      <c r="F39" s="229"/>
      <c r="G39" s="229"/>
      <c r="H39" s="229"/>
      <c r="I39" s="229"/>
      <c r="J39" s="229"/>
      <c r="K39" s="229"/>
      <c r="L39" s="229"/>
      <c r="M39" s="229"/>
      <c r="N39" s="229"/>
      <c r="O39" s="229"/>
      <c r="P39" s="229"/>
      <c r="Q39" s="229"/>
      <c r="R39" s="229"/>
      <c r="S39" s="229"/>
      <c r="T39" s="302"/>
    </row>
    <row r="40" spans="1:20" ht="16.5" thickBot="1" x14ac:dyDescent="0.4">
      <c r="A40" s="569">
        <f>A31+1</f>
        <v>4</v>
      </c>
      <c r="B40" s="13">
        <f>B31+10</f>
        <v>41</v>
      </c>
      <c r="C40" s="666" t="str">
        <f>VLOOKUP(A40,INputs!$G$3:$O$22,9,FALSE)</f>
        <v>Sub Label-All Employees</v>
      </c>
      <c r="E40" s="64" t="b">
        <v>1</v>
      </c>
      <c r="F40" s="65" t="s">
        <v>238</v>
      </c>
      <c r="H40" s="674" t="s">
        <v>37</v>
      </c>
      <c r="I40" s="674"/>
      <c r="J40" s="44"/>
      <c r="K40" s="45" t="b">
        <v>1</v>
      </c>
      <c r="L40" s="44" t="s">
        <v>239</v>
      </c>
      <c r="M40" s="62"/>
      <c r="N40" s="470" t="s">
        <v>240</v>
      </c>
      <c r="O40" s="62"/>
      <c r="P40" s="682" t="s">
        <v>241</v>
      </c>
      <c r="Q40" s="682"/>
      <c r="S40" s="664" t="s">
        <v>242</v>
      </c>
      <c r="T40" s="665"/>
    </row>
    <row r="41" spans="1:20" ht="16" x14ac:dyDescent="0.35">
      <c r="A41" s="570"/>
      <c r="B41" s="233">
        <f>B40+1</f>
        <v>42</v>
      </c>
      <c r="C41" s="667"/>
      <c r="E41" s="64" t="b">
        <v>1</v>
      </c>
      <c r="F41" s="65" t="s">
        <v>243</v>
      </c>
      <c r="H41" s="44"/>
      <c r="I41" s="611" t="s">
        <v>136</v>
      </c>
      <c r="J41" s="611"/>
      <c r="K41" s="663" t="b">
        <v>1</v>
      </c>
      <c r="L41" s="647" t="s">
        <v>241</v>
      </c>
      <c r="N41" s="40" t="s">
        <v>137</v>
      </c>
      <c r="P41" s="45" t="b">
        <v>1</v>
      </c>
      <c r="Q41" s="44" t="s">
        <v>244</v>
      </c>
      <c r="S41" s="45" t="b">
        <v>0</v>
      </c>
      <c r="T41" s="72" t="s">
        <v>245</v>
      </c>
    </row>
    <row r="42" spans="1:20" ht="16" x14ac:dyDescent="0.35">
      <c r="A42" s="570"/>
      <c r="B42" s="233">
        <f>B41+1</f>
        <v>43</v>
      </c>
      <c r="C42" s="667"/>
      <c r="E42" s="64" t="b">
        <v>0</v>
      </c>
      <c r="F42" s="65" t="s">
        <v>246</v>
      </c>
      <c r="H42" s="45" t="b">
        <v>0</v>
      </c>
      <c r="I42" s="647" t="s">
        <v>247</v>
      </c>
      <c r="J42" s="44"/>
      <c r="K42" s="663"/>
      <c r="L42" s="684"/>
      <c r="N42" s="44" t="s">
        <v>57</v>
      </c>
      <c r="P42" s="44"/>
      <c r="Q42" s="46" t="s">
        <v>39</v>
      </c>
      <c r="S42" s="664" t="s">
        <v>248</v>
      </c>
      <c r="T42" s="665"/>
    </row>
    <row r="43" spans="1:20" x14ac:dyDescent="0.35">
      <c r="A43" s="570"/>
      <c r="B43" s="233">
        <f>B42+1</f>
        <v>44</v>
      </c>
      <c r="C43" s="667"/>
      <c r="H43" s="44"/>
      <c r="I43" s="647"/>
      <c r="J43" s="44"/>
      <c r="P43" s="45" t="b">
        <v>0</v>
      </c>
      <c r="Q43" s="44" t="s">
        <v>249</v>
      </c>
      <c r="S43" s="45" t="b">
        <v>0</v>
      </c>
      <c r="T43" s="72" t="s">
        <v>250</v>
      </c>
    </row>
    <row r="44" spans="1:20" x14ac:dyDescent="0.35">
      <c r="A44" s="570"/>
      <c r="B44" s="233">
        <f>B43+1</f>
        <v>45</v>
      </c>
      <c r="C44" s="667"/>
      <c r="H44" s="44"/>
      <c r="I44" s="44"/>
      <c r="J44" s="44"/>
      <c r="Q44" s="23" t="s">
        <v>135</v>
      </c>
      <c r="S44" s="45" t="b">
        <v>0</v>
      </c>
      <c r="T44" s="72" t="s">
        <v>251</v>
      </c>
    </row>
    <row r="45" spans="1:20" ht="15" thickBot="1" x14ac:dyDescent="0.4">
      <c r="A45" s="571"/>
      <c r="B45" s="233">
        <f>B44+1</f>
        <v>46</v>
      </c>
      <c r="C45" s="668"/>
      <c r="D45" s="67"/>
      <c r="E45" s="67"/>
      <c r="F45" s="67"/>
      <c r="G45" s="67"/>
      <c r="H45" s="74"/>
      <c r="I45" s="74"/>
      <c r="J45" s="74"/>
      <c r="K45" s="67"/>
      <c r="L45" s="67"/>
      <c r="M45" s="67"/>
      <c r="N45" s="67"/>
      <c r="O45" s="67"/>
      <c r="P45" s="67"/>
      <c r="Q45" s="68"/>
      <c r="R45" s="67"/>
      <c r="S45" s="117" t="b">
        <v>0</v>
      </c>
      <c r="T45" s="118" t="s">
        <v>252</v>
      </c>
    </row>
    <row r="46" spans="1:20" ht="15" hidden="1" thickBot="1" x14ac:dyDescent="0.4">
      <c r="C46" s="301"/>
      <c r="D46" s="229"/>
      <c r="E46" s="229"/>
      <c r="F46" s="229"/>
      <c r="G46" s="229"/>
      <c r="H46" s="229"/>
      <c r="I46" s="229"/>
      <c r="J46" s="229"/>
      <c r="K46" s="229"/>
      <c r="L46" s="229"/>
      <c r="M46" s="229"/>
      <c r="N46" s="229"/>
      <c r="O46" s="229"/>
      <c r="P46" s="229"/>
      <c r="Q46" s="229"/>
      <c r="R46" s="229"/>
      <c r="S46" s="229"/>
      <c r="T46" s="302"/>
    </row>
    <row r="47" spans="1:20" ht="3.65" customHeight="1" thickBot="1" x14ac:dyDescent="0.4">
      <c r="C47" s="301"/>
      <c r="D47" s="229"/>
      <c r="E47" s="229"/>
      <c r="F47" s="229"/>
      <c r="G47" s="229"/>
      <c r="H47" s="229"/>
      <c r="I47" s="229"/>
      <c r="J47" s="229"/>
      <c r="K47" s="229"/>
      <c r="L47" s="229"/>
      <c r="M47" s="229"/>
      <c r="N47" s="229"/>
      <c r="O47" s="229"/>
      <c r="P47" s="229"/>
      <c r="Q47" s="229"/>
      <c r="R47" s="229"/>
      <c r="S47" s="229"/>
      <c r="T47" s="302"/>
    </row>
    <row r="48" spans="1:20" ht="15" hidden="1" thickBot="1" x14ac:dyDescent="0.4">
      <c r="C48" s="301"/>
      <c r="D48" s="229"/>
      <c r="E48" s="229"/>
      <c r="F48" s="229"/>
      <c r="G48" s="229"/>
      <c r="H48" s="229"/>
      <c r="I48" s="229"/>
      <c r="J48" s="229"/>
      <c r="K48" s="229"/>
      <c r="L48" s="229"/>
      <c r="M48" s="229"/>
      <c r="N48" s="229"/>
      <c r="O48" s="229"/>
      <c r="P48" s="229"/>
      <c r="Q48" s="229"/>
      <c r="R48" s="229"/>
      <c r="S48" s="229"/>
      <c r="T48" s="302"/>
    </row>
    <row r="49" spans="1:20" ht="16.5" thickBot="1" x14ac:dyDescent="0.4">
      <c r="A49" s="569">
        <f>A40+1</f>
        <v>5</v>
      </c>
      <c r="B49" s="13">
        <f>B40+10</f>
        <v>51</v>
      </c>
      <c r="C49" s="666" t="str">
        <f>VLOOKUP(A49,INputs!$G$3:$O$22,9,FALSE)</f>
        <v>Sub Label-Specific People</v>
      </c>
      <c r="D49" s="62"/>
      <c r="E49" s="60" t="b">
        <v>1</v>
      </c>
      <c r="F49" s="61" t="s">
        <v>238</v>
      </c>
      <c r="G49" s="62"/>
      <c r="H49" s="659" t="s">
        <v>37</v>
      </c>
      <c r="I49" s="659"/>
      <c r="J49" s="63"/>
      <c r="K49" s="77" t="b">
        <v>1</v>
      </c>
      <c r="L49" s="63" t="s">
        <v>239</v>
      </c>
      <c r="M49" s="62"/>
      <c r="N49" s="470" t="s">
        <v>240</v>
      </c>
      <c r="O49" s="62"/>
      <c r="P49" s="660" t="s">
        <v>241</v>
      </c>
      <c r="Q49" s="660"/>
      <c r="R49" s="62"/>
      <c r="S49" s="661" t="s">
        <v>242</v>
      </c>
      <c r="T49" s="662"/>
    </row>
    <row r="50" spans="1:20" ht="16" x14ac:dyDescent="0.35">
      <c r="A50" s="570"/>
      <c r="B50" s="233">
        <f>B49+1</f>
        <v>52</v>
      </c>
      <c r="C50" s="667"/>
      <c r="E50" s="64" t="b">
        <v>1</v>
      </c>
      <c r="F50" s="65" t="s">
        <v>243</v>
      </c>
      <c r="H50" s="44"/>
      <c r="I50" s="611" t="s">
        <v>136</v>
      </c>
      <c r="J50" s="611"/>
      <c r="K50" s="663" t="b">
        <v>1</v>
      </c>
      <c r="L50" s="647" t="s">
        <v>241</v>
      </c>
      <c r="N50" s="40" t="s">
        <v>137</v>
      </c>
      <c r="P50" s="45" t="b">
        <v>1</v>
      </c>
      <c r="Q50" s="44" t="s">
        <v>244</v>
      </c>
      <c r="S50" s="45" t="b">
        <v>0</v>
      </c>
      <c r="T50" s="72" t="s">
        <v>245</v>
      </c>
    </row>
    <row r="51" spans="1:20" ht="16" x14ac:dyDescent="0.35">
      <c r="A51" s="570"/>
      <c r="B51" s="233">
        <f>B50+1</f>
        <v>53</v>
      </c>
      <c r="C51" s="667"/>
      <c r="E51" s="64" t="b">
        <v>0</v>
      </c>
      <c r="F51" s="65" t="s">
        <v>246</v>
      </c>
      <c r="H51" s="45" t="b">
        <v>1</v>
      </c>
      <c r="I51" s="647" t="s">
        <v>247</v>
      </c>
      <c r="J51" s="44"/>
      <c r="K51" s="663"/>
      <c r="L51" s="647"/>
      <c r="N51" s="44" t="s">
        <v>38</v>
      </c>
      <c r="P51" s="44"/>
      <c r="Q51" s="46" t="s">
        <v>39</v>
      </c>
      <c r="S51" s="664" t="s">
        <v>248</v>
      </c>
      <c r="T51" s="665"/>
    </row>
    <row r="52" spans="1:20" x14ac:dyDescent="0.35">
      <c r="A52" s="570"/>
      <c r="B52" s="233">
        <f>B51+1</f>
        <v>54</v>
      </c>
      <c r="C52" s="667"/>
      <c r="H52" s="44"/>
      <c r="I52" s="647"/>
      <c r="J52" s="44"/>
      <c r="P52" s="45" t="b">
        <v>0</v>
      </c>
      <c r="Q52" s="44" t="s">
        <v>249</v>
      </c>
      <c r="S52" s="45" t="b">
        <v>0</v>
      </c>
      <c r="T52" s="72" t="s">
        <v>250</v>
      </c>
    </row>
    <row r="53" spans="1:20" x14ac:dyDescent="0.35">
      <c r="A53" s="570"/>
      <c r="B53" s="233">
        <f>B52+1</f>
        <v>55</v>
      </c>
      <c r="C53" s="667"/>
      <c r="H53" s="44"/>
      <c r="I53" s="44"/>
      <c r="J53" s="44"/>
      <c r="Q53" s="23" t="s">
        <v>135</v>
      </c>
      <c r="S53" s="45" t="b">
        <v>0</v>
      </c>
      <c r="T53" s="72" t="s">
        <v>251</v>
      </c>
    </row>
    <row r="54" spans="1:20" ht="15" thickBot="1" x14ac:dyDescent="0.4">
      <c r="A54" s="571"/>
      <c r="B54" s="233">
        <f>B53+1</f>
        <v>56</v>
      </c>
      <c r="C54" s="668"/>
      <c r="D54" s="67"/>
      <c r="E54" s="67"/>
      <c r="F54" s="67"/>
      <c r="G54" s="67"/>
      <c r="H54" s="74"/>
      <c r="I54" s="74"/>
      <c r="J54" s="74"/>
      <c r="K54" s="67"/>
      <c r="L54" s="67"/>
      <c r="M54" s="67"/>
      <c r="N54" s="67"/>
      <c r="O54" s="67"/>
      <c r="P54" s="67"/>
      <c r="Q54" s="68"/>
      <c r="R54" s="67"/>
      <c r="S54" s="117" t="b">
        <v>0</v>
      </c>
      <c r="T54" s="118" t="s">
        <v>252</v>
      </c>
    </row>
    <row r="55" spans="1:20" ht="15" hidden="1" thickBot="1" x14ac:dyDescent="0.4">
      <c r="C55" s="301"/>
      <c r="D55" s="229"/>
      <c r="E55" s="229"/>
      <c r="F55" s="229"/>
      <c r="G55" s="229"/>
      <c r="H55" s="229"/>
      <c r="I55" s="229"/>
      <c r="J55" s="229"/>
      <c r="K55" s="229"/>
      <c r="L55" s="229"/>
      <c r="M55" s="229"/>
      <c r="N55" s="229"/>
      <c r="O55" s="229"/>
      <c r="P55" s="229"/>
      <c r="Q55" s="229"/>
      <c r="R55" s="229"/>
      <c r="S55" s="229"/>
      <c r="T55" s="302"/>
    </row>
    <row r="56" spans="1:20" ht="3.65" customHeight="1" thickBot="1" x14ac:dyDescent="0.4">
      <c r="C56" s="301"/>
      <c r="D56" s="229"/>
      <c r="E56" s="229"/>
      <c r="F56" s="229"/>
      <c r="G56" s="229"/>
      <c r="H56" s="229"/>
      <c r="I56" s="229"/>
      <c r="J56" s="229"/>
      <c r="K56" s="229"/>
      <c r="L56" s="229"/>
      <c r="M56" s="229"/>
      <c r="N56" s="229"/>
      <c r="O56" s="229"/>
      <c r="P56" s="229"/>
      <c r="Q56" s="229"/>
      <c r="R56" s="229"/>
      <c r="S56" s="229"/>
      <c r="T56" s="302"/>
    </row>
    <row r="57" spans="1:20" ht="15" hidden="1" thickBot="1" x14ac:dyDescent="0.4">
      <c r="C57" s="301"/>
      <c r="D57" s="229"/>
      <c r="E57" s="229"/>
      <c r="F57" s="229"/>
      <c r="G57" s="229"/>
      <c r="H57" s="229"/>
      <c r="I57" s="229"/>
      <c r="J57" s="229"/>
      <c r="K57" s="229"/>
      <c r="L57" s="229"/>
      <c r="M57" s="229"/>
      <c r="N57" s="229"/>
      <c r="O57" s="229"/>
      <c r="P57" s="229"/>
      <c r="Q57" s="229"/>
      <c r="R57" s="229"/>
      <c r="S57" s="229"/>
      <c r="T57" s="302"/>
    </row>
    <row r="58" spans="1:20" ht="16.5" thickBot="1" x14ac:dyDescent="0.4">
      <c r="A58" s="569">
        <f>A49+1</f>
        <v>6</v>
      </c>
      <c r="B58" s="13">
        <f>B49+10</f>
        <v>61</v>
      </c>
      <c r="C58" s="666" t="str">
        <f>VLOOKUP(A58,INputs!$G$3:$O$22,9,FALSE)</f>
        <v>Sub Label-Internal exception</v>
      </c>
      <c r="D58" s="62"/>
      <c r="E58" s="60" t="b">
        <v>0</v>
      </c>
      <c r="F58" s="61" t="s">
        <v>238</v>
      </c>
      <c r="G58" s="62"/>
      <c r="H58" s="659"/>
      <c r="I58" s="659"/>
      <c r="J58" s="63"/>
      <c r="K58" s="77" t="b">
        <v>0</v>
      </c>
      <c r="L58" s="63" t="s">
        <v>239</v>
      </c>
      <c r="M58" s="62"/>
      <c r="N58" s="470" t="s">
        <v>240</v>
      </c>
      <c r="O58" s="62"/>
      <c r="P58" s="660" t="s">
        <v>241</v>
      </c>
      <c r="Q58" s="660"/>
      <c r="R58" s="62"/>
      <c r="S58" s="661" t="s">
        <v>242</v>
      </c>
      <c r="T58" s="662"/>
    </row>
    <row r="59" spans="1:20" ht="16" x14ac:dyDescent="0.35">
      <c r="A59" s="570"/>
      <c r="B59" s="233">
        <f>B58+1</f>
        <v>62</v>
      </c>
      <c r="C59" s="667"/>
      <c r="E59" s="64" t="b">
        <v>0</v>
      </c>
      <c r="F59" s="65" t="s">
        <v>243</v>
      </c>
      <c r="H59" s="44"/>
      <c r="I59" s="611" t="s">
        <v>136</v>
      </c>
      <c r="J59" s="611"/>
      <c r="K59" s="663" t="b">
        <v>0</v>
      </c>
      <c r="L59" s="647" t="s">
        <v>241</v>
      </c>
      <c r="N59" s="40" t="s">
        <v>137</v>
      </c>
      <c r="P59" s="45" t="b">
        <v>0</v>
      </c>
      <c r="Q59" s="44" t="s">
        <v>244</v>
      </c>
      <c r="S59" s="45" t="b">
        <v>0</v>
      </c>
      <c r="T59" s="72" t="s">
        <v>245</v>
      </c>
    </row>
    <row r="60" spans="1:20" ht="16" x14ac:dyDescent="0.35">
      <c r="A60" s="570"/>
      <c r="B60" s="233">
        <f>B59+1</f>
        <v>63</v>
      </c>
      <c r="C60" s="667"/>
      <c r="E60" s="64" t="b">
        <v>0</v>
      </c>
      <c r="F60" s="65" t="s">
        <v>246</v>
      </c>
      <c r="H60" s="45" t="b">
        <v>0</v>
      </c>
      <c r="I60" s="647" t="s">
        <v>247</v>
      </c>
      <c r="J60" s="44"/>
      <c r="K60" s="663"/>
      <c r="L60" s="647"/>
      <c r="N60" s="44"/>
      <c r="P60" s="44"/>
      <c r="Q60" s="46"/>
      <c r="S60" s="664" t="s">
        <v>248</v>
      </c>
      <c r="T60" s="665"/>
    </row>
    <row r="61" spans="1:20" x14ac:dyDescent="0.35">
      <c r="A61" s="570"/>
      <c r="B61" s="233">
        <f>B60+1</f>
        <v>64</v>
      </c>
      <c r="C61" s="667"/>
      <c r="H61" s="44"/>
      <c r="I61" s="647"/>
      <c r="J61" s="44"/>
      <c r="P61" s="45" t="b">
        <v>0</v>
      </c>
      <c r="Q61" s="44" t="s">
        <v>249</v>
      </c>
      <c r="S61" s="45" t="b">
        <v>0</v>
      </c>
      <c r="T61" s="72" t="s">
        <v>250</v>
      </c>
    </row>
    <row r="62" spans="1:20" x14ac:dyDescent="0.35">
      <c r="A62" s="570"/>
      <c r="B62" s="233">
        <f>B61+1</f>
        <v>65</v>
      </c>
      <c r="C62" s="667"/>
      <c r="H62" s="44"/>
      <c r="I62" s="44"/>
      <c r="J62" s="44"/>
      <c r="Q62" s="23" t="s">
        <v>135</v>
      </c>
      <c r="S62" s="45" t="b">
        <v>0</v>
      </c>
      <c r="T62" s="72" t="s">
        <v>251</v>
      </c>
    </row>
    <row r="63" spans="1:20" ht="15" thickBot="1" x14ac:dyDescent="0.4">
      <c r="A63" s="571"/>
      <c r="B63" s="233">
        <f>B62+1</f>
        <v>66</v>
      </c>
      <c r="C63" s="668"/>
      <c r="D63" s="67"/>
      <c r="E63" s="67"/>
      <c r="F63" s="67"/>
      <c r="G63" s="67"/>
      <c r="H63" s="74"/>
      <c r="I63" s="74"/>
      <c r="J63" s="74"/>
      <c r="K63" s="67"/>
      <c r="L63" s="67"/>
      <c r="M63" s="67"/>
      <c r="N63" s="67"/>
      <c r="O63" s="67"/>
      <c r="P63" s="67"/>
      <c r="Q63" s="68"/>
      <c r="R63" s="67"/>
      <c r="S63" s="117" t="b">
        <v>0</v>
      </c>
      <c r="T63" s="118" t="s">
        <v>252</v>
      </c>
    </row>
    <row r="64" spans="1:20" ht="15" hidden="1" thickBot="1" x14ac:dyDescent="0.4">
      <c r="C64" s="301"/>
      <c r="D64" s="229"/>
      <c r="E64" s="229"/>
      <c r="F64" s="229"/>
      <c r="G64" s="229"/>
      <c r="H64" s="229"/>
      <c r="I64" s="229"/>
      <c r="J64" s="229"/>
      <c r="K64" s="229"/>
      <c r="L64" s="229"/>
      <c r="M64" s="229"/>
      <c r="N64" s="229"/>
      <c r="O64" s="229"/>
      <c r="P64" s="229"/>
      <c r="Q64" s="229"/>
      <c r="R64" s="229"/>
      <c r="S64" s="229"/>
      <c r="T64" s="302"/>
    </row>
    <row r="65" spans="1:20" ht="3.65" customHeight="1" thickBot="1" x14ac:dyDescent="0.4">
      <c r="C65" s="301"/>
      <c r="D65" s="229"/>
      <c r="E65" s="229"/>
      <c r="F65" s="229"/>
      <c r="G65" s="229"/>
      <c r="H65" s="229"/>
      <c r="I65" s="229"/>
      <c r="J65" s="229"/>
      <c r="K65" s="229"/>
      <c r="L65" s="229"/>
      <c r="M65" s="229"/>
      <c r="N65" s="229"/>
      <c r="O65" s="229"/>
      <c r="P65" s="229"/>
      <c r="Q65" s="229"/>
      <c r="R65" s="229"/>
      <c r="S65" s="229"/>
      <c r="T65" s="302"/>
    </row>
    <row r="66" spans="1:20" ht="15" hidden="1" thickBot="1" x14ac:dyDescent="0.4">
      <c r="C66" s="301"/>
      <c r="D66" s="229"/>
      <c r="E66" s="229"/>
      <c r="F66" s="229"/>
      <c r="G66" s="229"/>
      <c r="H66" s="229"/>
      <c r="I66" s="229"/>
      <c r="J66" s="229"/>
      <c r="K66" s="229"/>
      <c r="L66" s="229"/>
      <c r="M66" s="229"/>
      <c r="N66" s="229"/>
      <c r="O66" s="229"/>
      <c r="P66" s="229"/>
      <c r="Q66" s="229"/>
      <c r="R66" s="229"/>
      <c r="S66" s="229"/>
      <c r="T66" s="302"/>
    </row>
    <row r="67" spans="1:20" ht="16.5" thickBot="1" x14ac:dyDescent="0.4">
      <c r="A67" s="569">
        <f>A58+1</f>
        <v>7</v>
      </c>
      <c r="B67" s="13">
        <f>B58+10</f>
        <v>71</v>
      </c>
      <c r="C67" s="666" t="str">
        <f>VLOOKUP(A67,INputs!$G$3:$O$22,9,FALSE)</f>
        <v>Parent Label-Highly Confidential</v>
      </c>
      <c r="D67" s="62"/>
      <c r="E67" s="60" t="b">
        <v>0</v>
      </c>
      <c r="F67" s="61" t="s">
        <v>238</v>
      </c>
      <c r="G67" s="62"/>
      <c r="H67" s="659" t="s">
        <v>48</v>
      </c>
      <c r="I67" s="659"/>
      <c r="J67" s="63"/>
      <c r="K67" s="77" t="b">
        <v>0</v>
      </c>
      <c r="L67" s="63" t="s">
        <v>239</v>
      </c>
      <c r="M67" s="62"/>
      <c r="N67" s="470" t="s">
        <v>240</v>
      </c>
      <c r="O67" s="62"/>
      <c r="P67" s="660" t="s">
        <v>241</v>
      </c>
      <c r="Q67" s="660"/>
      <c r="R67" s="62"/>
      <c r="S67" s="661" t="s">
        <v>242</v>
      </c>
      <c r="T67" s="662"/>
    </row>
    <row r="68" spans="1:20" ht="16" x14ac:dyDescent="0.35">
      <c r="A68" s="570"/>
      <c r="B68" s="233">
        <f>B67+1</f>
        <v>72</v>
      </c>
      <c r="C68" s="667"/>
      <c r="E68" s="64" t="b">
        <v>0</v>
      </c>
      <c r="F68" s="65" t="s">
        <v>243</v>
      </c>
      <c r="H68" s="44"/>
      <c r="I68" s="611" t="s">
        <v>136</v>
      </c>
      <c r="J68" s="611"/>
      <c r="K68" s="663" t="b">
        <v>0</v>
      </c>
      <c r="L68" s="647" t="s">
        <v>241</v>
      </c>
      <c r="N68" s="40" t="s">
        <v>137</v>
      </c>
      <c r="P68" s="45" t="b">
        <v>0</v>
      </c>
      <c r="Q68" s="44" t="s">
        <v>244</v>
      </c>
      <c r="S68" s="45" t="b">
        <v>0</v>
      </c>
      <c r="T68" s="72" t="s">
        <v>245</v>
      </c>
    </row>
    <row r="69" spans="1:20" ht="16" x14ac:dyDescent="0.35">
      <c r="A69" s="570"/>
      <c r="B69" s="233">
        <f>B68+1</f>
        <v>73</v>
      </c>
      <c r="C69" s="667"/>
      <c r="E69" s="64" t="b">
        <v>0</v>
      </c>
      <c r="F69" s="65" t="s">
        <v>246</v>
      </c>
      <c r="H69" s="45" t="b">
        <v>0</v>
      </c>
      <c r="I69" s="647" t="s">
        <v>247</v>
      </c>
      <c r="J69" s="44"/>
      <c r="K69" s="663"/>
      <c r="L69" s="647"/>
      <c r="N69" s="44"/>
      <c r="P69" s="44"/>
      <c r="Q69" s="46"/>
      <c r="S69" s="664" t="s">
        <v>248</v>
      </c>
      <c r="T69" s="665"/>
    </row>
    <row r="70" spans="1:20" x14ac:dyDescent="0.35">
      <c r="A70" s="570"/>
      <c r="B70" s="233">
        <f>B69+1</f>
        <v>74</v>
      </c>
      <c r="C70" s="667"/>
      <c r="H70" s="44"/>
      <c r="I70" s="647"/>
      <c r="J70" s="44"/>
      <c r="P70" s="45" t="b">
        <v>0</v>
      </c>
      <c r="Q70" s="44" t="s">
        <v>249</v>
      </c>
      <c r="S70" s="45" t="b">
        <v>0</v>
      </c>
      <c r="T70" s="72" t="s">
        <v>250</v>
      </c>
    </row>
    <row r="71" spans="1:20" x14ac:dyDescent="0.35">
      <c r="A71" s="570"/>
      <c r="B71" s="233">
        <f>B70+1</f>
        <v>75</v>
      </c>
      <c r="C71" s="667"/>
      <c r="H71" s="44"/>
      <c r="I71" s="44"/>
      <c r="J71" s="44"/>
      <c r="Q71" s="23" t="s">
        <v>135</v>
      </c>
      <c r="S71" s="45" t="b">
        <v>0</v>
      </c>
      <c r="T71" s="72" t="s">
        <v>251</v>
      </c>
    </row>
    <row r="72" spans="1:20" ht="15" thickBot="1" x14ac:dyDescent="0.4">
      <c r="A72" s="571"/>
      <c r="B72" s="233">
        <f>B71+1</f>
        <v>76</v>
      </c>
      <c r="C72" s="668"/>
      <c r="D72" s="67"/>
      <c r="E72" s="67"/>
      <c r="F72" s="67"/>
      <c r="G72" s="67"/>
      <c r="H72" s="74"/>
      <c r="I72" s="74"/>
      <c r="J72" s="74"/>
      <c r="K72" s="67"/>
      <c r="L72" s="67"/>
      <c r="M72" s="67"/>
      <c r="N72" s="67"/>
      <c r="O72" s="67"/>
      <c r="P72" s="67"/>
      <c r="Q72" s="68"/>
      <c r="R72" s="67"/>
      <c r="S72" s="117" t="b">
        <v>0</v>
      </c>
      <c r="T72" s="118" t="s">
        <v>252</v>
      </c>
    </row>
    <row r="73" spans="1:20" ht="15" hidden="1" thickBot="1" x14ac:dyDescent="0.4">
      <c r="C73" s="301"/>
      <c r="D73" s="229"/>
      <c r="E73" s="229"/>
      <c r="F73" s="229"/>
      <c r="G73" s="229"/>
      <c r="H73" s="229"/>
      <c r="I73" s="229"/>
      <c r="J73" s="229"/>
      <c r="K73" s="229"/>
      <c r="L73" s="229"/>
      <c r="M73" s="229"/>
      <c r="N73" s="229"/>
      <c r="O73" s="229"/>
      <c r="P73" s="229"/>
      <c r="Q73" s="229"/>
      <c r="R73" s="229"/>
      <c r="S73" s="229"/>
      <c r="T73" s="302"/>
    </row>
    <row r="74" spans="1:20" ht="3.65" customHeight="1" thickBot="1" x14ac:dyDescent="0.4">
      <c r="C74" s="301"/>
      <c r="D74" s="229"/>
      <c r="E74" s="229"/>
      <c r="F74" s="229"/>
      <c r="G74" s="229"/>
      <c r="H74" s="229"/>
      <c r="I74" s="229"/>
      <c r="J74" s="229"/>
      <c r="K74" s="229"/>
      <c r="L74" s="229"/>
      <c r="M74" s="229"/>
      <c r="N74" s="229"/>
      <c r="O74" s="229"/>
      <c r="P74" s="229"/>
      <c r="Q74" s="229"/>
      <c r="R74" s="229"/>
      <c r="S74" s="229"/>
      <c r="T74" s="302"/>
    </row>
    <row r="75" spans="1:20" ht="15" hidden="1" thickBot="1" x14ac:dyDescent="0.4">
      <c r="C75" s="301"/>
      <c r="D75" s="229"/>
      <c r="E75" s="229"/>
      <c r="F75" s="229"/>
      <c r="G75" s="229"/>
      <c r="H75" s="229"/>
      <c r="I75" s="229"/>
      <c r="J75" s="229"/>
      <c r="K75" s="229"/>
      <c r="L75" s="229"/>
      <c r="M75" s="229"/>
      <c r="N75" s="229"/>
      <c r="O75" s="229"/>
      <c r="P75" s="229"/>
      <c r="Q75" s="229"/>
      <c r="R75" s="229"/>
      <c r="S75" s="229"/>
      <c r="T75" s="302"/>
    </row>
    <row r="76" spans="1:20" ht="16.5" thickBot="1" x14ac:dyDescent="0.4">
      <c r="A76" s="569">
        <f>A67+1</f>
        <v>8</v>
      </c>
      <c r="B76" s="13">
        <f>B67+10</f>
        <v>81</v>
      </c>
      <c r="C76" s="666" t="str">
        <f>VLOOKUP(A76,INputs!$G$3:$O$22,9,FALSE)</f>
        <v>Sub Label-All Employees</v>
      </c>
      <c r="D76" s="62"/>
      <c r="E76" s="60" t="b">
        <v>1</v>
      </c>
      <c r="F76" s="61" t="s">
        <v>238</v>
      </c>
      <c r="G76" s="62"/>
      <c r="H76" s="659" t="s">
        <v>37</v>
      </c>
      <c r="I76" s="659"/>
      <c r="J76" s="63"/>
      <c r="K76" s="77" t="b">
        <v>1</v>
      </c>
      <c r="L76" s="63" t="s">
        <v>239</v>
      </c>
      <c r="M76" s="62"/>
      <c r="N76" s="470" t="s">
        <v>240</v>
      </c>
      <c r="O76" s="62"/>
      <c r="P76" s="660" t="s">
        <v>241</v>
      </c>
      <c r="Q76" s="660"/>
      <c r="R76" s="62"/>
      <c r="S76" s="661" t="s">
        <v>242</v>
      </c>
      <c r="T76" s="662"/>
    </row>
    <row r="77" spans="1:20" ht="16" x14ac:dyDescent="0.35">
      <c r="A77" s="570"/>
      <c r="B77" s="233">
        <f>B76+1</f>
        <v>82</v>
      </c>
      <c r="C77" s="667"/>
      <c r="E77" s="64" t="b">
        <v>1</v>
      </c>
      <c r="F77" s="65" t="s">
        <v>243</v>
      </c>
      <c r="H77" s="44"/>
      <c r="I77" s="611" t="s">
        <v>136</v>
      </c>
      <c r="J77" s="611"/>
      <c r="K77" s="663" t="b">
        <v>1</v>
      </c>
      <c r="L77" s="647" t="s">
        <v>241</v>
      </c>
      <c r="N77" s="40" t="s">
        <v>137</v>
      </c>
      <c r="P77" s="45" t="b">
        <v>1</v>
      </c>
      <c r="Q77" s="44" t="s">
        <v>244</v>
      </c>
      <c r="S77" s="45" t="b">
        <v>0</v>
      </c>
      <c r="T77" s="72" t="s">
        <v>245</v>
      </c>
    </row>
    <row r="78" spans="1:20" ht="16" x14ac:dyDescent="0.35">
      <c r="A78" s="570"/>
      <c r="B78" s="233">
        <f>B77+1</f>
        <v>83</v>
      </c>
      <c r="C78" s="667"/>
      <c r="E78" s="64" t="b">
        <v>0</v>
      </c>
      <c r="F78" s="65" t="s">
        <v>246</v>
      </c>
      <c r="H78" s="45" t="b">
        <v>0</v>
      </c>
      <c r="I78" s="647" t="s">
        <v>247</v>
      </c>
      <c r="J78" s="44"/>
      <c r="K78" s="663"/>
      <c r="L78" s="647"/>
      <c r="N78" s="44" t="s">
        <v>57</v>
      </c>
      <c r="P78" s="44"/>
      <c r="Q78" s="46" t="s">
        <v>50</v>
      </c>
      <c r="S78" s="664" t="s">
        <v>248</v>
      </c>
      <c r="T78" s="665"/>
    </row>
    <row r="79" spans="1:20" x14ac:dyDescent="0.35">
      <c r="A79" s="570"/>
      <c r="B79" s="233">
        <f>B78+1</f>
        <v>84</v>
      </c>
      <c r="C79" s="667"/>
      <c r="H79" s="44"/>
      <c r="I79" s="647"/>
      <c r="J79" s="44"/>
      <c r="P79" s="45" t="b">
        <v>0</v>
      </c>
      <c r="Q79" s="44" t="s">
        <v>249</v>
      </c>
      <c r="S79" s="45" t="b">
        <v>0</v>
      </c>
      <c r="T79" s="72" t="s">
        <v>250</v>
      </c>
    </row>
    <row r="80" spans="1:20" x14ac:dyDescent="0.35">
      <c r="A80" s="570"/>
      <c r="B80" s="233">
        <f>B79+1</f>
        <v>85</v>
      </c>
      <c r="C80" s="667"/>
      <c r="H80" s="44"/>
      <c r="I80" s="44"/>
      <c r="J80" s="44"/>
      <c r="Q80" s="23" t="s">
        <v>135</v>
      </c>
      <c r="S80" s="45" t="b">
        <v>0</v>
      </c>
      <c r="T80" s="72" t="s">
        <v>251</v>
      </c>
    </row>
    <row r="81" spans="1:20" ht="15" thickBot="1" x14ac:dyDescent="0.4">
      <c r="A81" s="571"/>
      <c r="B81" s="233">
        <f>B80+1</f>
        <v>86</v>
      </c>
      <c r="C81" s="668"/>
      <c r="D81" s="67"/>
      <c r="E81" s="67"/>
      <c r="F81" s="67"/>
      <c r="G81" s="67"/>
      <c r="H81" s="74"/>
      <c r="I81" s="74"/>
      <c r="J81" s="74"/>
      <c r="K81" s="67"/>
      <c r="L81" s="67"/>
      <c r="M81" s="67"/>
      <c r="N81" s="67"/>
      <c r="O81" s="67"/>
      <c r="P81" s="67"/>
      <c r="Q81" s="68"/>
      <c r="R81" s="67"/>
      <c r="S81" s="117" t="b">
        <v>0</v>
      </c>
      <c r="T81" s="118" t="s">
        <v>252</v>
      </c>
    </row>
    <row r="82" spans="1:20" ht="15" hidden="1" thickBot="1" x14ac:dyDescent="0.4">
      <c r="C82" s="301"/>
      <c r="D82" s="229"/>
      <c r="E82" s="229"/>
      <c r="F82" s="229"/>
      <c r="G82" s="229"/>
      <c r="H82" s="229"/>
      <c r="I82" s="229"/>
      <c r="J82" s="229"/>
      <c r="K82" s="229"/>
      <c r="L82" s="229"/>
      <c r="M82" s="229"/>
      <c r="N82" s="229"/>
      <c r="O82" s="229"/>
      <c r="P82" s="229"/>
      <c r="Q82" s="229"/>
      <c r="R82" s="229"/>
      <c r="S82" s="229"/>
      <c r="T82" s="302"/>
    </row>
    <row r="83" spans="1:20" ht="3.65" customHeight="1" thickBot="1" x14ac:dyDescent="0.4">
      <c r="C83" s="301"/>
      <c r="D83" s="229"/>
      <c r="E83" s="229"/>
      <c r="F83" s="229"/>
      <c r="G83" s="229"/>
      <c r="H83" s="229"/>
      <c r="I83" s="229"/>
      <c r="J83" s="229"/>
      <c r="K83" s="229"/>
      <c r="L83" s="229"/>
      <c r="M83" s="229"/>
      <c r="N83" s="229"/>
      <c r="O83" s="229"/>
      <c r="P83" s="229"/>
      <c r="Q83" s="229"/>
      <c r="R83" s="229"/>
      <c r="S83" s="229"/>
      <c r="T83" s="302"/>
    </row>
    <row r="84" spans="1:20" ht="15" hidden="1" thickBot="1" x14ac:dyDescent="0.4">
      <c r="C84" s="301"/>
      <c r="D84" s="229"/>
      <c r="E84" s="229"/>
      <c r="F84" s="229"/>
      <c r="G84" s="229"/>
      <c r="H84" s="229"/>
      <c r="I84" s="229"/>
      <c r="J84" s="229"/>
      <c r="K84" s="229"/>
      <c r="L84" s="229"/>
      <c r="M84" s="229"/>
      <c r="N84" s="229"/>
      <c r="O84" s="229"/>
      <c r="P84" s="229"/>
      <c r="Q84" s="229"/>
      <c r="R84" s="229"/>
      <c r="S84" s="229"/>
      <c r="T84" s="302"/>
    </row>
    <row r="85" spans="1:20" ht="16.5" thickBot="1" x14ac:dyDescent="0.4">
      <c r="A85" s="569">
        <f>A76+1</f>
        <v>9</v>
      </c>
      <c r="B85" s="13">
        <f>B76+10</f>
        <v>91</v>
      </c>
      <c r="C85" s="666" t="str">
        <f>VLOOKUP(A85,INputs!$G$3:$O$22,9,FALSE)</f>
        <v>Sub Label-Specific People</v>
      </c>
      <c r="D85" s="62"/>
      <c r="E85" s="60" t="b">
        <v>1</v>
      </c>
      <c r="F85" s="61" t="s">
        <v>238</v>
      </c>
      <c r="G85" s="62"/>
      <c r="H85" s="659" t="s">
        <v>37</v>
      </c>
      <c r="I85" s="659"/>
      <c r="J85" s="63"/>
      <c r="K85" s="77" t="b">
        <v>1</v>
      </c>
      <c r="L85" s="63" t="s">
        <v>239</v>
      </c>
      <c r="M85" s="62"/>
      <c r="N85" s="470" t="s">
        <v>240</v>
      </c>
      <c r="O85" s="62"/>
      <c r="P85" s="660" t="s">
        <v>241</v>
      </c>
      <c r="Q85" s="660"/>
      <c r="R85" s="62"/>
      <c r="S85" s="661" t="s">
        <v>242</v>
      </c>
      <c r="T85" s="662"/>
    </row>
    <row r="86" spans="1:20" ht="16" x14ac:dyDescent="0.35">
      <c r="A86" s="570"/>
      <c r="B86" s="233">
        <f>B85+1</f>
        <v>92</v>
      </c>
      <c r="C86" s="667"/>
      <c r="E86" s="64" t="b">
        <v>1</v>
      </c>
      <c r="F86" s="65" t="s">
        <v>243</v>
      </c>
      <c r="H86" s="44"/>
      <c r="I86" s="611" t="s">
        <v>136</v>
      </c>
      <c r="J86" s="611"/>
      <c r="K86" s="663" t="b">
        <v>1</v>
      </c>
      <c r="L86" s="647" t="s">
        <v>241</v>
      </c>
      <c r="N86" s="40" t="s">
        <v>137</v>
      </c>
      <c r="P86" s="45" t="b">
        <v>1</v>
      </c>
      <c r="Q86" s="44" t="s">
        <v>244</v>
      </c>
      <c r="S86" s="45" t="b">
        <v>0</v>
      </c>
      <c r="T86" s="72" t="s">
        <v>245</v>
      </c>
    </row>
    <row r="87" spans="1:20" ht="16" x14ac:dyDescent="0.35">
      <c r="A87" s="570"/>
      <c r="B87" s="233">
        <f>B86+1</f>
        <v>93</v>
      </c>
      <c r="C87" s="667"/>
      <c r="E87" s="64" t="b">
        <v>0</v>
      </c>
      <c r="F87" s="65" t="s">
        <v>246</v>
      </c>
      <c r="H87" s="45" t="b">
        <v>1</v>
      </c>
      <c r="I87" s="647" t="s">
        <v>247</v>
      </c>
      <c r="J87" s="44"/>
      <c r="K87" s="663"/>
      <c r="L87" s="647"/>
      <c r="N87" s="44" t="s">
        <v>38</v>
      </c>
      <c r="P87" s="44"/>
      <c r="Q87" s="46" t="s">
        <v>50</v>
      </c>
      <c r="S87" s="664" t="s">
        <v>248</v>
      </c>
      <c r="T87" s="665"/>
    </row>
    <row r="88" spans="1:20" x14ac:dyDescent="0.35">
      <c r="A88" s="570"/>
      <c r="B88" s="233">
        <f>B87+1</f>
        <v>94</v>
      </c>
      <c r="C88" s="667"/>
      <c r="H88" s="44"/>
      <c r="I88" s="647"/>
      <c r="J88" s="44"/>
      <c r="P88" s="45" t="b">
        <v>0</v>
      </c>
      <c r="Q88" s="44" t="s">
        <v>249</v>
      </c>
      <c r="S88" s="45" t="b">
        <v>0</v>
      </c>
      <c r="T88" s="72" t="s">
        <v>250</v>
      </c>
    </row>
    <row r="89" spans="1:20" x14ac:dyDescent="0.35">
      <c r="A89" s="570"/>
      <c r="B89" s="233">
        <f>B88+1</f>
        <v>95</v>
      </c>
      <c r="C89" s="667"/>
      <c r="H89" s="44"/>
      <c r="I89" s="44"/>
      <c r="J89" s="44"/>
      <c r="Q89" s="23" t="s">
        <v>135</v>
      </c>
      <c r="S89" s="45" t="b">
        <v>0</v>
      </c>
      <c r="T89" s="72" t="s">
        <v>251</v>
      </c>
    </row>
    <row r="90" spans="1:20" ht="15" thickBot="1" x14ac:dyDescent="0.4">
      <c r="A90" s="571"/>
      <c r="B90" s="233">
        <f>B89+1</f>
        <v>96</v>
      </c>
      <c r="C90" s="668"/>
      <c r="D90" s="67"/>
      <c r="E90" s="67"/>
      <c r="F90" s="67"/>
      <c r="G90" s="67"/>
      <c r="H90" s="74"/>
      <c r="I90" s="74"/>
      <c r="J90" s="74"/>
      <c r="K90" s="67"/>
      <c r="L90" s="67"/>
      <c r="M90" s="67"/>
      <c r="N90" s="67"/>
      <c r="O90" s="67"/>
      <c r="P90" s="67"/>
      <c r="Q90" s="68"/>
      <c r="R90" s="67"/>
      <c r="S90" s="117" t="b">
        <v>0</v>
      </c>
      <c r="T90" s="118" t="s">
        <v>252</v>
      </c>
    </row>
    <row r="91" spans="1:20" ht="15" hidden="1" thickBot="1" x14ac:dyDescent="0.4">
      <c r="C91" s="301"/>
      <c r="D91" s="229"/>
      <c r="E91" s="229"/>
      <c r="F91" s="229"/>
      <c r="G91" s="229"/>
      <c r="H91" s="229"/>
      <c r="I91" s="229"/>
      <c r="J91" s="229"/>
      <c r="K91" s="229"/>
      <c r="L91" s="229"/>
      <c r="M91" s="229"/>
      <c r="N91" s="229"/>
      <c r="O91" s="229"/>
      <c r="P91" s="229"/>
      <c r="Q91" s="229"/>
      <c r="R91" s="229"/>
      <c r="S91" s="229"/>
      <c r="T91" s="302"/>
    </row>
    <row r="92" spans="1:20" ht="3.65" customHeight="1" thickBot="1" x14ac:dyDescent="0.4">
      <c r="C92" s="301"/>
      <c r="D92" s="229"/>
      <c r="E92" s="229"/>
      <c r="F92" s="229"/>
      <c r="G92" s="229"/>
      <c r="H92" s="229"/>
      <c r="I92" s="229"/>
      <c r="J92" s="229"/>
      <c r="K92" s="229"/>
      <c r="L92" s="229"/>
      <c r="M92" s="229"/>
      <c r="N92" s="229"/>
      <c r="O92" s="229"/>
      <c r="P92" s="229"/>
      <c r="Q92" s="229"/>
      <c r="R92" s="229"/>
      <c r="S92" s="229"/>
      <c r="T92" s="302"/>
    </row>
    <row r="93" spans="1:20" ht="15" hidden="1" thickBot="1" x14ac:dyDescent="0.4">
      <c r="C93" s="301"/>
      <c r="D93" s="229"/>
      <c r="E93" s="229"/>
      <c r="F93" s="229"/>
      <c r="G93" s="229"/>
      <c r="H93" s="229"/>
      <c r="I93" s="229"/>
      <c r="J93" s="229"/>
      <c r="K93" s="229"/>
      <c r="L93" s="229"/>
      <c r="M93" s="229"/>
      <c r="N93" s="229"/>
      <c r="O93" s="229"/>
      <c r="P93" s="229"/>
      <c r="Q93" s="229"/>
      <c r="R93" s="229"/>
      <c r="S93" s="229"/>
      <c r="T93" s="302"/>
    </row>
    <row r="94" spans="1:20" ht="16.5" thickBot="1" x14ac:dyDescent="0.4">
      <c r="A94" s="569">
        <f>A85+1</f>
        <v>10</v>
      </c>
      <c r="B94" s="13">
        <f>B85+10</f>
        <v>101</v>
      </c>
      <c r="C94" s="666" t="str">
        <f>VLOOKUP(A94,INputs!$G$3:$O$22,9,FALSE)</f>
        <v>Sub Label-Internal exception</v>
      </c>
      <c r="D94" s="62"/>
      <c r="E94" s="60" t="b">
        <v>0</v>
      </c>
      <c r="F94" s="61" t="s">
        <v>238</v>
      </c>
      <c r="G94" s="62"/>
      <c r="H94" s="659"/>
      <c r="I94" s="659"/>
      <c r="J94" s="63"/>
      <c r="K94" s="77" t="b">
        <v>0</v>
      </c>
      <c r="L94" s="63" t="s">
        <v>239</v>
      </c>
      <c r="M94" s="62"/>
      <c r="N94" s="470" t="s">
        <v>240</v>
      </c>
      <c r="O94" s="62"/>
      <c r="P94" s="660" t="s">
        <v>241</v>
      </c>
      <c r="Q94" s="660"/>
      <c r="R94" s="62"/>
      <c r="S94" s="661" t="s">
        <v>242</v>
      </c>
      <c r="T94" s="662"/>
    </row>
    <row r="95" spans="1:20" ht="16" x14ac:dyDescent="0.35">
      <c r="A95" s="570"/>
      <c r="B95" s="233">
        <f>B94+1</f>
        <v>102</v>
      </c>
      <c r="C95" s="667"/>
      <c r="E95" s="64" t="b">
        <v>0</v>
      </c>
      <c r="F95" s="65" t="s">
        <v>243</v>
      </c>
      <c r="H95" s="44"/>
      <c r="I95" s="611" t="s">
        <v>136</v>
      </c>
      <c r="J95" s="611"/>
      <c r="K95" s="663" t="b">
        <v>0</v>
      </c>
      <c r="L95" s="647" t="s">
        <v>241</v>
      </c>
      <c r="N95" s="40" t="s">
        <v>137</v>
      </c>
      <c r="P95" s="45" t="b">
        <v>0</v>
      </c>
      <c r="Q95" s="44" t="s">
        <v>244</v>
      </c>
      <c r="S95" s="45" t="b">
        <v>0</v>
      </c>
      <c r="T95" s="72" t="s">
        <v>245</v>
      </c>
    </row>
    <row r="96" spans="1:20" ht="16" x14ac:dyDescent="0.35">
      <c r="A96" s="570"/>
      <c r="B96" s="233">
        <f>B95+1</f>
        <v>103</v>
      </c>
      <c r="C96" s="667"/>
      <c r="E96" s="64" t="b">
        <v>0</v>
      </c>
      <c r="F96" s="65" t="s">
        <v>246</v>
      </c>
      <c r="H96" s="45" t="b">
        <v>0</v>
      </c>
      <c r="I96" s="647" t="s">
        <v>247</v>
      </c>
      <c r="J96" s="44"/>
      <c r="K96" s="663"/>
      <c r="L96" s="647"/>
      <c r="N96" s="44"/>
      <c r="P96" s="44"/>
      <c r="Q96" s="46"/>
      <c r="S96" s="664" t="s">
        <v>248</v>
      </c>
      <c r="T96" s="665"/>
    </row>
    <row r="97" spans="1:20" x14ac:dyDescent="0.35">
      <c r="A97" s="570"/>
      <c r="B97" s="233">
        <f>B96+1</f>
        <v>104</v>
      </c>
      <c r="C97" s="667"/>
      <c r="H97" s="44"/>
      <c r="I97" s="647"/>
      <c r="J97" s="44"/>
      <c r="P97" s="45" t="b">
        <v>0</v>
      </c>
      <c r="Q97" s="44" t="s">
        <v>249</v>
      </c>
      <c r="S97" s="45" t="b">
        <v>0</v>
      </c>
      <c r="T97" s="72" t="s">
        <v>250</v>
      </c>
    </row>
    <row r="98" spans="1:20" x14ac:dyDescent="0.35">
      <c r="A98" s="570"/>
      <c r="B98" s="233">
        <f>B97+1</f>
        <v>105</v>
      </c>
      <c r="C98" s="667"/>
      <c r="H98" s="44"/>
      <c r="I98" s="44"/>
      <c r="J98" s="44"/>
      <c r="Q98" s="23" t="s">
        <v>135</v>
      </c>
      <c r="S98" s="45" t="b">
        <v>0</v>
      </c>
      <c r="T98" s="72" t="s">
        <v>251</v>
      </c>
    </row>
    <row r="99" spans="1:20" ht="15" thickBot="1" x14ac:dyDescent="0.4">
      <c r="A99" s="571"/>
      <c r="B99" s="233">
        <f>B98+1</f>
        <v>106</v>
      </c>
      <c r="C99" s="668"/>
      <c r="D99" s="67"/>
      <c r="E99" s="67"/>
      <c r="F99" s="67"/>
      <c r="G99" s="67"/>
      <c r="H99" s="74"/>
      <c r="I99" s="74"/>
      <c r="J99" s="74"/>
      <c r="K99" s="67"/>
      <c r="L99" s="67"/>
      <c r="M99" s="67"/>
      <c r="N99" s="67"/>
      <c r="O99" s="67"/>
      <c r="P99" s="67"/>
      <c r="Q99" s="68"/>
      <c r="R99" s="67"/>
      <c r="S99" s="117" t="b">
        <v>0</v>
      </c>
      <c r="T99" s="118" t="s">
        <v>252</v>
      </c>
    </row>
    <row r="100" spans="1:20" ht="15" hidden="1" thickBot="1" x14ac:dyDescent="0.4">
      <c r="C100" s="301"/>
      <c r="D100" s="229"/>
      <c r="E100" s="229"/>
      <c r="F100" s="229"/>
      <c r="G100" s="229"/>
      <c r="H100" s="229"/>
      <c r="I100" s="229"/>
      <c r="J100" s="229"/>
      <c r="K100" s="229"/>
      <c r="L100" s="229"/>
      <c r="M100" s="229"/>
      <c r="N100" s="229"/>
      <c r="O100" s="229"/>
      <c r="P100" s="229"/>
      <c r="Q100" s="229"/>
      <c r="R100" s="229"/>
      <c r="S100" s="229"/>
      <c r="T100" s="302"/>
    </row>
    <row r="101" spans="1:20" ht="3.65" customHeight="1" thickBot="1" x14ac:dyDescent="0.4">
      <c r="C101" s="301"/>
      <c r="D101" s="229"/>
      <c r="E101" s="229"/>
      <c r="F101" s="229"/>
      <c r="G101" s="229"/>
      <c r="H101" s="229"/>
      <c r="I101" s="229"/>
      <c r="J101" s="229"/>
      <c r="K101" s="229"/>
      <c r="L101" s="229"/>
      <c r="M101" s="229"/>
      <c r="N101" s="229"/>
      <c r="O101" s="229"/>
      <c r="P101" s="229"/>
      <c r="Q101" s="229"/>
      <c r="R101" s="229"/>
      <c r="S101" s="229"/>
      <c r="T101" s="302"/>
    </row>
    <row r="102" spans="1:20" ht="15" hidden="1" thickBot="1" x14ac:dyDescent="0.4">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4">
      <c r="A103" s="569">
        <f>A94+1</f>
        <v>11</v>
      </c>
      <c r="B103" s="13">
        <f>B94+10</f>
        <v>111</v>
      </c>
      <c r="C103" s="666" t="str">
        <f>VLOOKUP(A103,INputs!$G$3:$O$22,9,FALSE)</f>
        <v>Please fill out Sensitivity Labels Tab</v>
      </c>
      <c r="D103" s="62"/>
      <c r="E103" s="60" t="b">
        <v>0</v>
      </c>
      <c r="F103" s="61" t="s">
        <v>238</v>
      </c>
      <c r="G103" s="62"/>
      <c r="H103" s="659"/>
      <c r="I103" s="659"/>
      <c r="J103" s="63"/>
      <c r="K103" s="77" t="b">
        <v>0</v>
      </c>
      <c r="L103" s="63" t="s">
        <v>239</v>
      </c>
      <c r="M103" s="62"/>
      <c r="N103" s="470" t="s">
        <v>240</v>
      </c>
      <c r="O103" s="62"/>
      <c r="P103" s="660" t="s">
        <v>241</v>
      </c>
      <c r="Q103" s="660"/>
      <c r="R103" s="62"/>
      <c r="S103" s="661" t="s">
        <v>242</v>
      </c>
      <c r="T103" s="662"/>
    </row>
    <row r="104" spans="1:20" ht="16" x14ac:dyDescent="0.35">
      <c r="A104" s="570"/>
      <c r="B104" s="233">
        <f>B103+1</f>
        <v>112</v>
      </c>
      <c r="C104" s="667"/>
      <c r="E104" s="64" t="b">
        <v>0</v>
      </c>
      <c r="F104" s="65" t="s">
        <v>243</v>
      </c>
      <c r="H104" s="44"/>
      <c r="I104" s="611" t="s">
        <v>136</v>
      </c>
      <c r="J104" s="611"/>
      <c r="K104" s="663" t="b">
        <v>0</v>
      </c>
      <c r="L104" s="647" t="s">
        <v>241</v>
      </c>
      <c r="N104" s="40" t="s">
        <v>137</v>
      </c>
      <c r="P104" s="45" t="b">
        <v>0</v>
      </c>
      <c r="Q104" s="44" t="s">
        <v>244</v>
      </c>
      <c r="S104" s="45" t="b">
        <v>0</v>
      </c>
      <c r="T104" s="72" t="s">
        <v>245</v>
      </c>
    </row>
    <row r="105" spans="1:20" ht="16" x14ac:dyDescent="0.35">
      <c r="A105" s="570"/>
      <c r="B105" s="233">
        <f>B104+1</f>
        <v>113</v>
      </c>
      <c r="C105" s="667"/>
      <c r="E105" s="64" t="b">
        <v>0</v>
      </c>
      <c r="F105" s="65" t="s">
        <v>246</v>
      </c>
      <c r="H105" s="45" t="b">
        <v>0</v>
      </c>
      <c r="I105" s="647" t="s">
        <v>247</v>
      </c>
      <c r="J105" s="44"/>
      <c r="K105" s="663"/>
      <c r="L105" s="647"/>
      <c r="N105" s="44"/>
      <c r="P105" s="44"/>
      <c r="Q105" s="46"/>
      <c r="S105" s="664" t="s">
        <v>248</v>
      </c>
      <c r="T105" s="665"/>
    </row>
    <row r="106" spans="1:20" x14ac:dyDescent="0.35">
      <c r="A106" s="570"/>
      <c r="B106" s="233">
        <f>B105+1</f>
        <v>114</v>
      </c>
      <c r="C106" s="667"/>
      <c r="H106" s="44"/>
      <c r="I106" s="647"/>
      <c r="J106" s="44"/>
      <c r="P106" s="45" t="b">
        <v>0</v>
      </c>
      <c r="Q106" s="44" t="s">
        <v>249</v>
      </c>
      <c r="S106" s="45" t="b">
        <v>0</v>
      </c>
      <c r="T106" s="72" t="s">
        <v>250</v>
      </c>
    </row>
    <row r="107" spans="1:20" x14ac:dyDescent="0.35">
      <c r="A107" s="570"/>
      <c r="B107" s="233">
        <f>B106+1</f>
        <v>115</v>
      </c>
      <c r="C107" s="667"/>
      <c r="H107" s="44"/>
      <c r="I107" s="44"/>
      <c r="J107" s="44"/>
      <c r="Q107" s="23" t="s">
        <v>135</v>
      </c>
      <c r="S107" s="45" t="b">
        <v>0</v>
      </c>
      <c r="T107" s="72" t="s">
        <v>251</v>
      </c>
    </row>
    <row r="108" spans="1:20" ht="15" thickBot="1" x14ac:dyDescent="0.4">
      <c r="A108" s="571"/>
      <c r="B108" s="233">
        <f>B107+1</f>
        <v>116</v>
      </c>
      <c r="C108" s="668"/>
      <c r="D108" s="67"/>
      <c r="E108" s="67"/>
      <c r="F108" s="67"/>
      <c r="G108" s="67"/>
      <c r="H108" s="74"/>
      <c r="I108" s="74"/>
      <c r="J108" s="74"/>
      <c r="K108" s="67"/>
      <c r="L108" s="67"/>
      <c r="M108" s="67"/>
      <c r="N108" s="67"/>
      <c r="O108" s="67"/>
      <c r="P108" s="67"/>
      <c r="Q108" s="68"/>
      <c r="R108" s="67"/>
      <c r="S108" s="117" t="b">
        <v>0</v>
      </c>
      <c r="T108" s="118" t="s">
        <v>252</v>
      </c>
    </row>
    <row r="109" spans="1:20" ht="15" hidden="1" thickBot="1" x14ac:dyDescent="0.4">
      <c r="C109" s="301"/>
      <c r="D109" s="229"/>
      <c r="E109" s="229"/>
      <c r="F109" s="229"/>
      <c r="G109" s="229"/>
      <c r="H109" s="229"/>
      <c r="I109" s="229"/>
      <c r="J109" s="229"/>
      <c r="K109" s="229"/>
      <c r="L109" s="229"/>
      <c r="M109" s="229"/>
      <c r="N109" s="229"/>
      <c r="O109" s="229"/>
      <c r="P109" s="229"/>
      <c r="Q109" s="229"/>
      <c r="R109" s="229"/>
      <c r="S109" s="229"/>
      <c r="T109" s="302"/>
    </row>
    <row r="110" spans="1:20" ht="3.65" customHeight="1" thickBot="1" x14ac:dyDescent="0.4">
      <c r="C110" s="301"/>
      <c r="D110" s="229"/>
      <c r="E110" s="229"/>
      <c r="F110" s="229"/>
      <c r="G110" s="229"/>
      <c r="H110" s="229"/>
      <c r="I110" s="229"/>
      <c r="J110" s="229"/>
      <c r="K110" s="229"/>
      <c r="L110" s="229"/>
      <c r="M110" s="229"/>
      <c r="N110" s="229"/>
      <c r="O110" s="229"/>
      <c r="P110" s="229"/>
      <c r="Q110" s="229"/>
      <c r="R110" s="229"/>
      <c r="S110" s="229"/>
      <c r="T110" s="302"/>
    </row>
    <row r="111" spans="1:20" ht="15" hidden="1" thickBot="1" x14ac:dyDescent="0.4">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4">
      <c r="A112" s="569">
        <f>A103+1</f>
        <v>12</v>
      </c>
      <c r="B112" s="13">
        <f>B103+10</f>
        <v>121</v>
      </c>
      <c r="C112" s="666" t="str">
        <f>VLOOKUP(A112,INputs!$G$3:$O$22,9,FALSE)</f>
        <v>Please fill out Sensitivity Labels Tab</v>
      </c>
      <c r="D112" s="62"/>
      <c r="E112" s="60" t="b">
        <v>0</v>
      </c>
      <c r="F112" s="61" t="s">
        <v>238</v>
      </c>
      <c r="G112" s="62"/>
      <c r="H112" s="659"/>
      <c r="I112" s="659"/>
      <c r="J112" s="63"/>
      <c r="K112" s="77" t="b">
        <v>0</v>
      </c>
      <c r="L112" s="63" t="s">
        <v>239</v>
      </c>
      <c r="M112" s="62"/>
      <c r="N112" s="470" t="s">
        <v>240</v>
      </c>
      <c r="O112" s="62"/>
      <c r="P112" s="660" t="s">
        <v>241</v>
      </c>
      <c r="Q112" s="660"/>
      <c r="R112" s="62"/>
      <c r="S112" s="661" t="s">
        <v>242</v>
      </c>
      <c r="T112" s="662"/>
    </row>
    <row r="113" spans="1:20" ht="16" x14ac:dyDescent="0.35">
      <c r="A113" s="570"/>
      <c r="B113" s="233">
        <f>B112+1</f>
        <v>122</v>
      </c>
      <c r="C113" s="667"/>
      <c r="E113" s="64" t="b">
        <v>0</v>
      </c>
      <c r="F113" s="65" t="s">
        <v>243</v>
      </c>
      <c r="H113" s="44"/>
      <c r="I113" s="611" t="s">
        <v>136</v>
      </c>
      <c r="J113" s="611"/>
      <c r="K113" s="663" t="b">
        <v>0</v>
      </c>
      <c r="L113" s="647" t="s">
        <v>241</v>
      </c>
      <c r="N113" s="40" t="s">
        <v>137</v>
      </c>
      <c r="P113" s="45" t="b">
        <v>0</v>
      </c>
      <c r="Q113" s="44" t="s">
        <v>244</v>
      </c>
      <c r="S113" s="45" t="b">
        <v>0</v>
      </c>
      <c r="T113" s="72" t="s">
        <v>245</v>
      </c>
    </row>
    <row r="114" spans="1:20" ht="16" x14ac:dyDescent="0.35">
      <c r="A114" s="570"/>
      <c r="B114" s="233">
        <f>B113+1</f>
        <v>123</v>
      </c>
      <c r="C114" s="667"/>
      <c r="E114" s="64" t="b">
        <v>0</v>
      </c>
      <c r="F114" s="65" t="s">
        <v>246</v>
      </c>
      <c r="H114" s="45" t="b">
        <v>0</v>
      </c>
      <c r="I114" s="647" t="s">
        <v>247</v>
      </c>
      <c r="J114" s="44"/>
      <c r="K114" s="663"/>
      <c r="L114" s="647"/>
      <c r="N114" s="44"/>
      <c r="P114" s="44"/>
      <c r="Q114" s="46"/>
      <c r="S114" s="664" t="s">
        <v>248</v>
      </c>
      <c r="T114" s="665"/>
    </row>
    <row r="115" spans="1:20" x14ac:dyDescent="0.35">
      <c r="A115" s="570"/>
      <c r="B115" s="233">
        <f>B114+1</f>
        <v>124</v>
      </c>
      <c r="C115" s="667"/>
      <c r="H115" s="44"/>
      <c r="I115" s="647"/>
      <c r="J115" s="44"/>
      <c r="P115" s="45" t="b">
        <v>0</v>
      </c>
      <c r="Q115" s="44" t="s">
        <v>249</v>
      </c>
      <c r="S115" s="45" t="b">
        <v>0</v>
      </c>
      <c r="T115" s="72" t="s">
        <v>250</v>
      </c>
    </row>
    <row r="116" spans="1:20" x14ac:dyDescent="0.35">
      <c r="A116" s="570"/>
      <c r="B116" s="233">
        <f>B115+1</f>
        <v>125</v>
      </c>
      <c r="C116" s="667"/>
      <c r="H116" s="44"/>
      <c r="I116" s="44"/>
      <c r="J116" s="44"/>
      <c r="Q116" s="23" t="s">
        <v>135</v>
      </c>
      <c r="S116" s="45" t="b">
        <v>0</v>
      </c>
      <c r="T116" s="72" t="s">
        <v>251</v>
      </c>
    </row>
    <row r="117" spans="1:20" ht="15" thickBot="1" x14ac:dyDescent="0.4">
      <c r="A117" s="571"/>
      <c r="B117" s="233">
        <f>B116+1</f>
        <v>126</v>
      </c>
      <c r="C117" s="668"/>
      <c r="D117" s="67"/>
      <c r="E117" s="67"/>
      <c r="F117" s="67"/>
      <c r="G117" s="67"/>
      <c r="H117" s="74"/>
      <c r="I117" s="74"/>
      <c r="J117" s="74"/>
      <c r="K117" s="67"/>
      <c r="L117" s="67"/>
      <c r="M117" s="67"/>
      <c r="N117" s="67"/>
      <c r="O117" s="67"/>
      <c r="P117" s="67"/>
      <c r="Q117" s="68"/>
      <c r="R117" s="67"/>
      <c r="S117" s="117" t="b">
        <v>0</v>
      </c>
      <c r="T117" s="118" t="s">
        <v>252</v>
      </c>
    </row>
    <row r="118" spans="1:20" ht="15" hidden="1" thickBot="1" x14ac:dyDescent="0.4">
      <c r="C118" s="301"/>
      <c r="D118" s="229"/>
      <c r="E118" s="229"/>
      <c r="F118" s="229"/>
      <c r="G118" s="229"/>
      <c r="H118" s="229"/>
      <c r="I118" s="229"/>
      <c r="J118" s="229"/>
      <c r="K118" s="229"/>
      <c r="L118" s="229"/>
      <c r="M118" s="229"/>
      <c r="N118" s="229"/>
      <c r="O118" s="229"/>
      <c r="P118" s="229"/>
      <c r="Q118" s="229"/>
      <c r="R118" s="229"/>
      <c r="S118" s="229"/>
      <c r="T118" s="302"/>
    </row>
    <row r="119" spans="1:20" ht="3.65" customHeight="1" thickBot="1" x14ac:dyDescent="0.4">
      <c r="C119" s="301"/>
      <c r="D119" s="229"/>
      <c r="E119" s="229"/>
      <c r="F119" s="229"/>
      <c r="G119" s="229"/>
      <c r="H119" s="229"/>
      <c r="I119" s="229"/>
      <c r="J119" s="229"/>
      <c r="K119" s="229"/>
      <c r="L119" s="229"/>
      <c r="M119" s="229"/>
      <c r="N119" s="229"/>
      <c r="O119" s="229"/>
      <c r="P119" s="229"/>
      <c r="Q119" s="229"/>
      <c r="R119" s="229"/>
      <c r="S119" s="229"/>
      <c r="T119" s="302"/>
    </row>
    <row r="120" spans="1:20" ht="15" hidden="1" thickBot="1" x14ac:dyDescent="0.4">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4">
      <c r="A121" s="569">
        <f>A112+1</f>
        <v>13</v>
      </c>
      <c r="B121" s="13">
        <f>B112+10</f>
        <v>131</v>
      </c>
      <c r="C121" s="666" t="str">
        <f>VLOOKUP(A121,INputs!$G$3:$O$22,9,FALSE)</f>
        <v>Please fill out Sensitivity Labels Tab</v>
      </c>
      <c r="D121" s="62"/>
      <c r="E121" s="60" t="b">
        <v>0</v>
      </c>
      <c r="F121" s="61" t="s">
        <v>238</v>
      </c>
      <c r="G121" s="62"/>
      <c r="H121" s="659"/>
      <c r="I121" s="659"/>
      <c r="J121" s="63"/>
      <c r="K121" s="77" t="b">
        <v>0</v>
      </c>
      <c r="L121" s="63" t="s">
        <v>239</v>
      </c>
      <c r="M121" s="62"/>
      <c r="N121" s="470" t="s">
        <v>240</v>
      </c>
      <c r="O121" s="62"/>
      <c r="P121" s="660" t="s">
        <v>241</v>
      </c>
      <c r="Q121" s="660"/>
      <c r="R121" s="62"/>
      <c r="S121" s="661" t="s">
        <v>242</v>
      </c>
      <c r="T121" s="662"/>
    </row>
    <row r="122" spans="1:20" ht="16" x14ac:dyDescent="0.35">
      <c r="A122" s="570"/>
      <c r="B122" s="233">
        <f>B121+1</f>
        <v>132</v>
      </c>
      <c r="C122" s="667"/>
      <c r="E122" s="64" t="b">
        <v>0</v>
      </c>
      <c r="F122" s="65" t="s">
        <v>243</v>
      </c>
      <c r="H122" s="44"/>
      <c r="I122" s="611" t="s">
        <v>136</v>
      </c>
      <c r="J122" s="611"/>
      <c r="K122" s="663" t="b">
        <v>0</v>
      </c>
      <c r="L122" s="647" t="s">
        <v>241</v>
      </c>
      <c r="N122" s="40" t="s">
        <v>137</v>
      </c>
      <c r="P122" s="45" t="b">
        <v>0</v>
      </c>
      <c r="Q122" s="44" t="s">
        <v>244</v>
      </c>
      <c r="S122" s="45" t="b">
        <v>0</v>
      </c>
      <c r="T122" s="72" t="s">
        <v>245</v>
      </c>
    </row>
    <row r="123" spans="1:20" ht="16" x14ac:dyDescent="0.35">
      <c r="A123" s="570"/>
      <c r="B123" s="233">
        <f>B122+1</f>
        <v>133</v>
      </c>
      <c r="C123" s="667"/>
      <c r="E123" s="64" t="b">
        <v>0</v>
      </c>
      <c r="F123" s="65" t="s">
        <v>246</v>
      </c>
      <c r="H123" s="45" t="b">
        <v>0</v>
      </c>
      <c r="I123" s="647" t="s">
        <v>247</v>
      </c>
      <c r="J123" s="44"/>
      <c r="K123" s="663"/>
      <c r="L123" s="647"/>
      <c r="N123" s="44"/>
      <c r="P123" s="44"/>
      <c r="Q123" s="46"/>
      <c r="S123" s="664" t="s">
        <v>248</v>
      </c>
      <c r="T123" s="665"/>
    </row>
    <row r="124" spans="1:20" x14ac:dyDescent="0.35">
      <c r="A124" s="570"/>
      <c r="B124" s="233">
        <f>B123+1</f>
        <v>134</v>
      </c>
      <c r="C124" s="667"/>
      <c r="H124" s="44"/>
      <c r="I124" s="647"/>
      <c r="J124" s="44"/>
      <c r="P124" s="45" t="b">
        <v>0</v>
      </c>
      <c r="Q124" s="44" t="s">
        <v>249</v>
      </c>
      <c r="S124" s="45" t="b">
        <v>0</v>
      </c>
      <c r="T124" s="72" t="s">
        <v>250</v>
      </c>
    </row>
    <row r="125" spans="1:20" x14ac:dyDescent="0.35">
      <c r="A125" s="570"/>
      <c r="B125" s="233">
        <f>B124+1</f>
        <v>135</v>
      </c>
      <c r="C125" s="667"/>
      <c r="H125" s="44"/>
      <c r="I125" s="44"/>
      <c r="J125" s="44"/>
      <c r="Q125" s="23" t="s">
        <v>135</v>
      </c>
      <c r="S125" s="45" t="b">
        <v>0</v>
      </c>
      <c r="T125" s="72" t="s">
        <v>251</v>
      </c>
    </row>
    <row r="126" spans="1:20" ht="15" thickBot="1" x14ac:dyDescent="0.4">
      <c r="A126" s="571"/>
      <c r="B126" s="233">
        <f>B125+1</f>
        <v>136</v>
      </c>
      <c r="C126" s="668"/>
      <c r="D126" s="67"/>
      <c r="E126" s="67"/>
      <c r="F126" s="67"/>
      <c r="G126" s="67"/>
      <c r="H126" s="74"/>
      <c r="I126" s="74"/>
      <c r="J126" s="74"/>
      <c r="K126" s="67"/>
      <c r="L126" s="67"/>
      <c r="M126" s="67"/>
      <c r="N126" s="67"/>
      <c r="O126" s="67"/>
      <c r="P126" s="67"/>
      <c r="Q126" s="68"/>
      <c r="R126" s="67"/>
      <c r="S126" s="117" t="b">
        <v>0</v>
      </c>
      <c r="T126" s="118" t="s">
        <v>252</v>
      </c>
    </row>
    <row r="127" spans="1:20" ht="15" hidden="1" thickBot="1" x14ac:dyDescent="0.4">
      <c r="C127" s="301"/>
      <c r="D127" s="229"/>
      <c r="E127" s="229"/>
      <c r="F127" s="229"/>
      <c r="G127" s="229"/>
      <c r="H127" s="229"/>
      <c r="I127" s="229"/>
      <c r="J127" s="229"/>
      <c r="K127" s="229"/>
      <c r="L127" s="229"/>
      <c r="M127" s="229"/>
      <c r="N127" s="229"/>
      <c r="O127" s="229"/>
      <c r="P127" s="229"/>
      <c r="Q127" s="229"/>
      <c r="R127" s="229"/>
      <c r="S127" s="229"/>
      <c r="T127" s="302"/>
    </row>
    <row r="128" spans="1:20" ht="3.65" customHeight="1" thickBot="1" x14ac:dyDescent="0.4">
      <c r="C128" s="301"/>
      <c r="D128" s="229"/>
      <c r="E128" s="229"/>
      <c r="F128" s="229"/>
      <c r="G128" s="229"/>
      <c r="H128" s="229"/>
      <c r="I128" s="229"/>
      <c r="J128" s="229"/>
      <c r="K128" s="229"/>
      <c r="L128" s="229"/>
      <c r="M128" s="229"/>
      <c r="N128" s="229"/>
      <c r="O128" s="229"/>
      <c r="P128" s="229"/>
      <c r="Q128" s="229"/>
      <c r="R128" s="229"/>
      <c r="S128" s="229"/>
      <c r="T128" s="302"/>
    </row>
    <row r="129" spans="1:20" ht="15" hidden="1" thickBot="1" x14ac:dyDescent="0.4">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4">
      <c r="A130" s="569">
        <f>A121+1</f>
        <v>14</v>
      </c>
      <c r="B130" s="13">
        <f>B121+10</f>
        <v>141</v>
      </c>
      <c r="C130" s="666" t="str">
        <f>VLOOKUP(A130,INputs!$G$3:$O$22,9,FALSE)</f>
        <v>Please fill out Sensitivity Labels Tab</v>
      </c>
      <c r="D130" s="62"/>
      <c r="E130" s="60" t="b">
        <v>0</v>
      </c>
      <c r="F130" s="61" t="s">
        <v>238</v>
      </c>
      <c r="G130" s="62"/>
      <c r="H130" s="659"/>
      <c r="I130" s="659"/>
      <c r="J130" s="63"/>
      <c r="K130" s="77" t="b">
        <v>0</v>
      </c>
      <c r="L130" s="63" t="s">
        <v>239</v>
      </c>
      <c r="M130" s="62"/>
      <c r="N130" s="470" t="s">
        <v>240</v>
      </c>
      <c r="O130" s="62"/>
      <c r="P130" s="660" t="s">
        <v>241</v>
      </c>
      <c r="Q130" s="660"/>
      <c r="R130" s="62"/>
      <c r="S130" s="661" t="s">
        <v>242</v>
      </c>
      <c r="T130" s="662"/>
    </row>
    <row r="131" spans="1:20" ht="16" x14ac:dyDescent="0.35">
      <c r="A131" s="570"/>
      <c r="B131" s="233">
        <f>B130+1</f>
        <v>142</v>
      </c>
      <c r="C131" s="667"/>
      <c r="E131" s="64" t="b">
        <v>0</v>
      </c>
      <c r="F131" s="65" t="s">
        <v>243</v>
      </c>
      <c r="H131" s="44"/>
      <c r="I131" s="611" t="s">
        <v>136</v>
      </c>
      <c r="J131" s="611"/>
      <c r="K131" s="663" t="b">
        <v>0</v>
      </c>
      <c r="L131" s="647" t="s">
        <v>241</v>
      </c>
      <c r="N131" s="40" t="s">
        <v>137</v>
      </c>
      <c r="P131" s="45" t="b">
        <v>0</v>
      </c>
      <c r="Q131" s="44" t="s">
        <v>244</v>
      </c>
      <c r="S131" s="45" t="b">
        <v>0</v>
      </c>
      <c r="T131" s="72" t="s">
        <v>245</v>
      </c>
    </row>
    <row r="132" spans="1:20" ht="16" x14ac:dyDescent="0.35">
      <c r="A132" s="570"/>
      <c r="B132" s="233">
        <f>B131+1</f>
        <v>143</v>
      </c>
      <c r="C132" s="667"/>
      <c r="E132" s="64" t="b">
        <v>0</v>
      </c>
      <c r="F132" s="65" t="s">
        <v>246</v>
      </c>
      <c r="H132" s="45" t="b">
        <v>0</v>
      </c>
      <c r="I132" s="647" t="s">
        <v>247</v>
      </c>
      <c r="J132" s="44"/>
      <c r="K132" s="663"/>
      <c r="L132" s="647"/>
      <c r="N132" s="44"/>
      <c r="P132" s="44"/>
      <c r="Q132" s="46"/>
      <c r="S132" s="664" t="s">
        <v>248</v>
      </c>
      <c r="T132" s="665"/>
    </row>
    <row r="133" spans="1:20" x14ac:dyDescent="0.35">
      <c r="A133" s="570"/>
      <c r="B133" s="233">
        <f>B132+1</f>
        <v>144</v>
      </c>
      <c r="C133" s="667"/>
      <c r="H133" s="44"/>
      <c r="I133" s="647"/>
      <c r="J133" s="44"/>
      <c r="P133" s="45" t="b">
        <v>0</v>
      </c>
      <c r="Q133" s="44" t="s">
        <v>249</v>
      </c>
      <c r="S133" s="45" t="b">
        <v>0</v>
      </c>
      <c r="T133" s="72" t="s">
        <v>250</v>
      </c>
    </row>
    <row r="134" spans="1:20" x14ac:dyDescent="0.35">
      <c r="A134" s="570"/>
      <c r="B134" s="233">
        <f>B133+1</f>
        <v>145</v>
      </c>
      <c r="C134" s="667"/>
      <c r="H134" s="44"/>
      <c r="I134" s="44"/>
      <c r="J134" s="44"/>
      <c r="Q134" s="23" t="s">
        <v>135</v>
      </c>
      <c r="S134" s="45" t="b">
        <v>0</v>
      </c>
      <c r="T134" s="72" t="s">
        <v>251</v>
      </c>
    </row>
    <row r="135" spans="1:20" ht="15" thickBot="1" x14ac:dyDescent="0.4">
      <c r="A135" s="571"/>
      <c r="B135" s="233">
        <f>B134+1</f>
        <v>146</v>
      </c>
      <c r="C135" s="668"/>
      <c r="D135" s="67"/>
      <c r="E135" s="67"/>
      <c r="F135" s="67"/>
      <c r="G135" s="67"/>
      <c r="H135" s="74"/>
      <c r="I135" s="74"/>
      <c r="J135" s="74"/>
      <c r="K135" s="67"/>
      <c r="L135" s="67"/>
      <c r="M135" s="67"/>
      <c r="N135" s="67"/>
      <c r="O135" s="67"/>
      <c r="P135" s="67"/>
      <c r="Q135" s="68"/>
      <c r="R135" s="67"/>
      <c r="S135" s="117" t="b">
        <v>0</v>
      </c>
      <c r="T135" s="118" t="s">
        <v>252</v>
      </c>
    </row>
    <row r="136" spans="1:20" ht="15" hidden="1" thickBot="1" x14ac:dyDescent="0.4">
      <c r="C136" s="301"/>
      <c r="D136" s="229"/>
      <c r="E136" s="229"/>
      <c r="F136" s="229"/>
      <c r="G136" s="229"/>
      <c r="H136" s="229"/>
      <c r="I136" s="229"/>
      <c r="J136" s="229"/>
      <c r="K136" s="229"/>
      <c r="L136" s="229"/>
      <c r="M136" s="229"/>
      <c r="N136" s="229"/>
      <c r="O136" s="229"/>
      <c r="P136" s="229"/>
      <c r="Q136" s="229"/>
      <c r="R136" s="229"/>
      <c r="S136" s="229"/>
      <c r="T136" s="302"/>
    </row>
    <row r="137" spans="1:20" ht="3.65" customHeight="1" thickBot="1" x14ac:dyDescent="0.4">
      <c r="C137" s="301"/>
      <c r="D137" s="229"/>
      <c r="E137" s="229"/>
      <c r="F137" s="229"/>
      <c r="G137" s="229"/>
      <c r="H137" s="229"/>
      <c r="I137" s="229"/>
      <c r="J137" s="229"/>
      <c r="K137" s="229"/>
      <c r="L137" s="229"/>
      <c r="M137" s="229"/>
      <c r="N137" s="229"/>
      <c r="O137" s="229"/>
      <c r="P137" s="229"/>
      <c r="Q137" s="229"/>
      <c r="R137" s="229"/>
      <c r="S137" s="229"/>
      <c r="T137" s="302"/>
    </row>
    <row r="138" spans="1:20" ht="15" hidden="1" thickBot="1" x14ac:dyDescent="0.4">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4">
      <c r="A139" s="569">
        <f>A130+1</f>
        <v>15</v>
      </c>
      <c r="B139" s="13">
        <f>B130+10</f>
        <v>151</v>
      </c>
      <c r="C139" s="666" t="str">
        <f>VLOOKUP(A139,INputs!$G$3:$O$22,9,FALSE)</f>
        <v>Please fill out Sensitivity Labels Tab</v>
      </c>
      <c r="D139" s="62"/>
      <c r="E139" s="60" t="b">
        <v>0</v>
      </c>
      <c r="F139" s="61" t="s">
        <v>238</v>
      </c>
      <c r="G139" s="62"/>
      <c r="H139" s="659"/>
      <c r="I139" s="659"/>
      <c r="J139" s="63"/>
      <c r="K139" s="77" t="b">
        <v>0</v>
      </c>
      <c r="L139" s="63" t="s">
        <v>239</v>
      </c>
      <c r="M139" s="62"/>
      <c r="N139" s="470" t="s">
        <v>240</v>
      </c>
      <c r="O139" s="62"/>
      <c r="P139" s="660" t="s">
        <v>241</v>
      </c>
      <c r="Q139" s="660"/>
      <c r="R139" s="62"/>
      <c r="S139" s="661" t="s">
        <v>242</v>
      </c>
      <c r="T139" s="662"/>
    </row>
    <row r="140" spans="1:20" ht="16" x14ac:dyDescent="0.35">
      <c r="A140" s="570"/>
      <c r="B140" s="233">
        <f>B139+1</f>
        <v>152</v>
      </c>
      <c r="C140" s="667"/>
      <c r="E140" s="64" t="b">
        <v>0</v>
      </c>
      <c r="F140" s="65" t="s">
        <v>243</v>
      </c>
      <c r="H140" s="44"/>
      <c r="I140" s="611" t="s">
        <v>136</v>
      </c>
      <c r="J140" s="611"/>
      <c r="K140" s="663" t="b">
        <v>0</v>
      </c>
      <c r="L140" s="647" t="s">
        <v>241</v>
      </c>
      <c r="N140" s="40" t="s">
        <v>137</v>
      </c>
      <c r="P140" s="45" t="b">
        <v>0</v>
      </c>
      <c r="Q140" s="44" t="s">
        <v>244</v>
      </c>
      <c r="S140" s="45" t="b">
        <v>0</v>
      </c>
      <c r="T140" s="72" t="s">
        <v>245</v>
      </c>
    </row>
    <row r="141" spans="1:20" ht="16" x14ac:dyDescent="0.35">
      <c r="A141" s="570"/>
      <c r="B141" s="233">
        <f>B140+1</f>
        <v>153</v>
      </c>
      <c r="C141" s="667"/>
      <c r="E141" s="64" t="b">
        <v>0</v>
      </c>
      <c r="F141" s="65" t="s">
        <v>246</v>
      </c>
      <c r="H141" s="45" t="b">
        <v>0</v>
      </c>
      <c r="I141" s="647" t="s">
        <v>247</v>
      </c>
      <c r="J141" s="44"/>
      <c r="K141" s="663"/>
      <c r="L141" s="647"/>
      <c r="N141" s="44"/>
      <c r="P141" s="44"/>
      <c r="Q141" s="46"/>
      <c r="S141" s="664" t="s">
        <v>248</v>
      </c>
      <c r="T141" s="665"/>
    </row>
    <row r="142" spans="1:20" x14ac:dyDescent="0.35">
      <c r="A142" s="570"/>
      <c r="B142" s="233">
        <f>B141+1</f>
        <v>154</v>
      </c>
      <c r="C142" s="667"/>
      <c r="H142" s="44"/>
      <c r="I142" s="647"/>
      <c r="J142" s="44"/>
      <c r="P142" s="45" t="b">
        <v>0</v>
      </c>
      <c r="Q142" s="44" t="s">
        <v>249</v>
      </c>
      <c r="S142" s="45" t="b">
        <v>0</v>
      </c>
      <c r="T142" s="72" t="s">
        <v>250</v>
      </c>
    </row>
    <row r="143" spans="1:20" x14ac:dyDescent="0.35">
      <c r="A143" s="570"/>
      <c r="B143" s="233">
        <f>B142+1</f>
        <v>155</v>
      </c>
      <c r="C143" s="667"/>
      <c r="H143" s="44"/>
      <c r="I143" s="44"/>
      <c r="J143" s="44"/>
      <c r="Q143" s="23" t="s">
        <v>135</v>
      </c>
      <c r="S143" s="45" t="b">
        <v>0</v>
      </c>
      <c r="T143" s="72" t="s">
        <v>251</v>
      </c>
    </row>
    <row r="144" spans="1:20" ht="15" thickBot="1" x14ac:dyDescent="0.4">
      <c r="A144" s="571"/>
      <c r="B144" s="233">
        <f>B143+1</f>
        <v>156</v>
      </c>
      <c r="C144" s="668"/>
      <c r="D144" s="67"/>
      <c r="E144" s="67"/>
      <c r="F144" s="67"/>
      <c r="G144" s="67"/>
      <c r="H144" s="74"/>
      <c r="I144" s="74"/>
      <c r="J144" s="74"/>
      <c r="K144" s="67"/>
      <c r="L144" s="67"/>
      <c r="M144" s="67"/>
      <c r="N144" s="67"/>
      <c r="O144" s="67"/>
      <c r="P144" s="67"/>
      <c r="Q144" s="68"/>
      <c r="R144" s="67"/>
      <c r="S144" s="117" t="b">
        <v>0</v>
      </c>
      <c r="T144" s="118" t="s">
        <v>252</v>
      </c>
    </row>
    <row r="145" spans="1:20" ht="15" hidden="1" thickBot="1" x14ac:dyDescent="0.4">
      <c r="C145" s="301"/>
      <c r="D145" s="229"/>
      <c r="E145" s="229"/>
      <c r="F145" s="229"/>
      <c r="G145" s="229"/>
      <c r="H145" s="229"/>
      <c r="I145" s="229"/>
      <c r="J145" s="229"/>
      <c r="K145" s="229"/>
      <c r="L145" s="229"/>
      <c r="M145" s="229"/>
      <c r="N145" s="229"/>
      <c r="O145" s="229"/>
      <c r="P145" s="229"/>
      <c r="Q145" s="229"/>
      <c r="R145" s="229"/>
      <c r="S145" s="229"/>
      <c r="T145" s="302"/>
    </row>
    <row r="146" spans="1:20" ht="3.65" customHeight="1" thickBot="1" x14ac:dyDescent="0.4">
      <c r="C146" s="301"/>
      <c r="D146" s="229"/>
      <c r="E146" s="229"/>
      <c r="F146" s="229"/>
      <c r="G146" s="229"/>
      <c r="H146" s="229"/>
      <c r="I146" s="229"/>
      <c r="J146" s="229"/>
      <c r="K146" s="229"/>
      <c r="L146" s="229"/>
      <c r="M146" s="229"/>
      <c r="N146" s="229"/>
      <c r="O146" s="229"/>
      <c r="P146" s="229"/>
      <c r="Q146" s="229"/>
      <c r="R146" s="229"/>
      <c r="S146" s="229"/>
      <c r="T146" s="302"/>
    </row>
    <row r="147" spans="1:20" ht="15" hidden="1" thickBot="1" x14ac:dyDescent="0.4">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4">
      <c r="A148" s="569">
        <f>A139+1</f>
        <v>16</v>
      </c>
      <c r="B148" s="13">
        <f>B139+10</f>
        <v>161</v>
      </c>
      <c r="C148" s="666" t="str">
        <f>VLOOKUP(A148,INputs!$G$3:$O$22,9,FALSE)</f>
        <v>Please fill out Sensitivity Labels Tab</v>
      </c>
      <c r="D148" s="62"/>
      <c r="E148" s="60" t="b">
        <v>0</v>
      </c>
      <c r="F148" s="61" t="s">
        <v>238</v>
      </c>
      <c r="G148" s="62"/>
      <c r="H148" s="659"/>
      <c r="I148" s="659"/>
      <c r="J148" s="63"/>
      <c r="K148" s="77" t="b">
        <v>0</v>
      </c>
      <c r="L148" s="63" t="s">
        <v>239</v>
      </c>
      <c r="M148" s="62"/>
      <c r="N148" s="470" t="s">
        <v>240</v>
      </c>
      <c r="O148" s="62"/>
      <c r="P148" s="660" t="s">
        <v>241</v>
      </c>
      <c r="Q148" s="660"/>
      <c r="R148" s="62"/>
      <c r="S148" s="661" t="s">
        <v>242</v>
      </c>
      <c r="T148" s="662"/>
    </row>
    <row r="149" spans="1:20" ht="16" x14ac:dyDescent="0.35">
      <c r="A149" s="570"/>
      <c r="B149" s="233">
        <f>B148+1</f>
        <v>162</v>
      </c>
      <c r="C149" s="667"/>
      <c r="E149" s="64" t="b">
        <v>0</v>
      </c>
      <c r="F149" s="65" t="s">
        <v>243</v>
      </c>
      <c r="H149" s="44"/>
      <c r="I149" s="611" t="s">
        <v>136</v>
      </c>
      <c r="J149" s="611"/>
      <c r="K149" s="663" t="b">
        <v>0</v>
      </c>
      <c r="L149" s="647" t="s">
        <v>241</v>
      </c>
      <c r="N149" s="40" t="s">
        <v>137</v>
      </c>
      <c r="P149" s="45" t="b">
        <v>0</v>
      </c>
      <c r="Q149" s="44" t="s">
        <v>244</v>
      </c>
      <c r="S149" s="45" t="b">
        <v>0</v>
      </c>
      <c r="T149" s="72" t="s">
        <v>245</v>
      </c>
    </row>
    <row r="150" spans="1:20" ht="16" x14ac:dyDescent="0.35">
      <c r="A150" s="570"/>
      <c r="B150" s="233">
        <f>B149+1</f>
        <v>163</v>
      </c>
      <c r="C150" s="667"/>
      <c r="E150" s="64" t="b">
        <v>0</v>
      </c>
      <c r="F150" s="65" t="s">
        <v>246</v>
      </c>
      <c r="H150" s="45" t="b">
        <v>0</v>
      </c>
      <c r="I150" s="647" t="s">
        <v>247</v>
      </c>
      <c r="J150" s="44"/>
      <c r="K150" s="663"/>
      <c r="L150" s="647"/>
      <c r="N150" s="44" t="s">
        <v>20</v>
      </c>
      <c r="P150" s="44"/>
      <c r="Q150" s="46"/>
      <c r="S150" s="664" t="s">
        <v>248</v>
      </c>
      <c r="T150" s="665"/>
    </row>
    <row r="151" spans="1:20" x14ac:dyDescent="0.35">
      <c r="A151" s="570"/>
      <c r="B151" s="233">
        <f>B150+1</f>
        <v>164</v>
      </c>
      <c r="C151" s="667"/>
      <c r="H151" s="44"/>
      <c r="I151" s="647"/>
      <c r="J151" s="44"/>
      <c r="P151" s="45" t="b">
        <v>0</v>
      </c>
      <c r="Q151" s="44" t="s">
        <v>249</v>
      </c>
      <c r="S151" s="45" t="b">
        <v>0</v>
      </c>
      <c r="T151" s="72" t="s">
        <v>250</v>
      </c>
    </row>
    <row r="152" spans="1:20" x14ac:dyDescent="0.35">
      <c r="A152" s="570"/>
      <c r="B152" s="233">
        <f>B151+1</f>
        <v>165</v>
      </c>
      <c r="C152" s="667"/>
      <c r="H152" s="44"/>
      <c r="I152" s="44"/>
      <c r="J152" s="44"/>
      <c r="Q152" s="23" t="s">
        <v>135</v>
      </c>
      <c r="S152" s="45" t="b">
        <v>0</v>
      </c>
      <c r="T152" s="72" t="s">
        <v>251</v>
      </c>
    </row>
    <row r="153" spans="1:20" ht="15" thickBot="1" x14ac:dyDescent="0.4">
      <c r="A153" s="571"/>
      <c r="B153" s="233">
        <f>B152+1</f>
        <v>166</v>
      </c>
      <c r="C153" s="668"/>
      <c r="D153" s="67"/>
      <c r="E153" s="67"/>
      <c r="F153" s="67"/>
      <c r="G153" s="67"/>
      <c r="H153" s="74"/>
      <c r="I153" s="74"/>
      <c r="J153" s="74"/>
      <c r="K153" s="67"/>
      <c r="L153" s="67"/>
      <c r="M153" s="67"/>
      <c r="N153" s="67"/>
      <c r="O153" s="67"/>
      <c r="P153" s="67"/>
      <c r="Q153" s="68"/>
      <c r="R153" s="67"/>
      <c r="S153" s="117" t="b">
        <v>0</v>
      </c>
      <c r="T153" s="118" t="s">
        <v>252</v>
      </c>
    </row>
    <row r="154" spans="1:20" ht="15" hidden="1" thickBot="1" x14ac:dyDescent="0.4">
      <c r="C154" s="301"/>
      <c r="D154" s="229"/>
      <c r="E154" s="229"/>
      <c r="F154" s="229"/>
      <c r="G154" s="229"/>
      <c r="H154" s="229"/>
      <c r="I154" s="229"/>
      <c r="J154" s="229"/>
      <c r="K154" s="229"/>
      <c r="L154" s="229"/>
      <c r="M154" s="229"/>
      <c r="N154" s="229"/>
      <c r="O154" s="229"/>
      <c r="P154" s="229"/>
      <c r="Q154" s="229"/>
      <c r="R154" s="229"/>
      <c r="S154" s="229"/>
      <c r="T154" s="302"/>
    </row>
    <row r="155" spans="1:20" ht="3.65" customHeight="1" thickBot="1" x14ac:dyDescent="0.4">
      <c r="C155" s="301"/>
      <c r="D155" s="229"/>
      <c r="E155" s="229"/>
      <c r="F155" s="229"/>
      <c r="G155" s="229"/>
      <c r="H155" s="229"/>
      <c r="I155" s="229"/>
      <c r="J155" s="229"/>
      <c r="K155" s="229"/>
      <c r="L155" s="229"/>
      <c r="M155" s="229"/>
      <c r="N155" s="229"/>
      <c r="O155" s="229"/>
      <c r="P155" s="229"/>
      <c r="Q155" s="229"/>
      <c r="R155" s="229"/>
      <c r="S155" s="229"/>
      <c r="T155" s="302"/>
    </row>
    <row r="156" spans="1:20" ht="15" hidden="1" thickBot="1" x14ac:dyDescent="0.4">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4">
      <c r="A157" s="569">
        <f>A148+1</f>
        <v>17</v>
      </c>
      <c r="B157" s="13">
        <f>B148+10</f>
        <v>171</v>
      </c>
      <c r="C157" s="666" t="str">
        <f>VLOOKUP(A157,INputs!$G$3:$O$22,9,FALSE)</f>
        <v>Please fill out Sensitivity Labels Tab</v>
      </c>
      <c r="D157" s="62"/>
      <c r="E157" s="60" t="b">
        <v>0</v>
      </c>
      <c r="F157" s="61" t="s">
        <v>238</v>
      </c>
      <c r="G157" s="62"/>
      <c r="H157" s="659"/>
      <c r="I157" s="659"/>
      <c r="J157" s="63"/>
      <c r="K157" s="77" t="b">
        <v>0</v>
      </c>
      <c r="L157" s="63" t="s">
        <v>239</v>
      </c>
      <c r="M157" s="62"/>
      <c r="N157" s="470" t="s">
        <v>240</v>
      </c>
      <c r="O157" s="62"/>
      <c r="P157" s="660" t="s">
        <v>241</v>
      </c>
      <c r="Q157" s="660"/>
      <c r="R157" s="62"/>
      <c r="S157" s="661" t="s">
        <v>242</v>
      </c>
      <c r="T157" s="662"/>
    </row>
    <row r="158" spans="1:20" ht="16" x14ac:dyDescent="0.35">
      <c r="A158" s="570"/>
      <c r="B158" s="233">
        <f>B157+1</f>
        <v>172</v>
      </c>
      <c r="C158" s="667"/>
      <c r="E158" s="64" t="b">
        <v>0</v>
      </c>
      <c r="F158" s="65" t="s">
        <v>243</v>
      </c>
      <c r="H158" s="44"/>
      <c r="I158" s="611" t="s">
        <v>136</v>
      </c>
      <c r="J158" s="611"/>
      <c r="K158" s="663" t="b">
        <v>0</v>
      </c>
      <c r="L158" s="647" t="s">
        <v>241</v>
      </c>
      <c r="N158" s="40" t="s">
        <v>137</v>
      </c>
      <c r="P158" s="45" t="b">
        <v>0</v>
      </c>
      <c r="Q158" s="44" t="s">
        <v>244</v>
      </c>
      <c r="S158" s="45" t="b">
        <v>0</v>
      </c>
      <c r="T158" s="72" t="s">
        <v>245</v>
      </c>
    </row>
    <row r="159" spans="1:20" ht="16" x14ac:dyDescent="0.35">
      <c r="A159" s="570"/>
      <c r="B159" s="233">
        <f>B158+1</f>
        <v>173</v>
      </c>
      <c r="C159" s="667"/>
      <c r="E159" s="64" t="b">
        <v>0</v>
      </c>
      <c r="F159" s="65" t="s">
        <v>246</v>
      </c>
      <c r="H159" s="45" t="b">
        <v>0</v>
      </c>
      <c r="I159" s="647" t="s">
        <v>247</v>
      </c>
      <c r="J159" s="44"/>
      <c r="K159" s="663"/>
      <c r="L159" s="647"/>
      <c r="N159" s="44"/>
      <c r="P159" s="44"/>
      <c r="Q159" s="46"/>
      <c r="S159" s="664" t="s">
        <v>248</v>
      </c>
      <c r="T159" s="665"/>
    </row>
    <row r="160" spans="1:20" x14ac:dyDescent="0.35">
      <c r="A160" s="570"/>
      <c r="B160" s="233">
        <f>B159+1</f>
        <v>174</v>
      </c>
      <c r="C160" s="667"/>
      <c r="H160" s="44"/>
      <c r="I160" s="647"/>
      <c r="J160" s="44"/>
      <c r="P160" s="45" t="b">
        <v>0</v>
      </c>
      <c r="Q160" s="44" t="s">
        <v>249</v>
      </c>
      <c r="S160" s="45" t="b">
        <v>0</v>
      </c>
      <c r="T160" s="72" t="s">
        <v>250</v>
      </c>
    </row>
    <row r="161" spans="1:20" x14ac:dyDescent="0.35">
      <c r="A161" s="570"/>
      <c r="B161" s="233">
        <f>B160+1</f>
        <v>175</v>
      </c>
      <c r="C161" s="667"/>
      <c r="H161" s="44"/>
      <c r="I161" s="44"/>
      <c r="J161" s="44"/>
      <c r="Q161" s="23" t="s">
        <v>135</v>
      </c>
      <c r="S161" s="45" t="b">
        <v>0</v>
      </c>
      <c r="T161" s="72" t="s">
        <v>251</v>
      </c>
    </row>
    <row r="162" spans="1:20" ht="15" thickBot="1" x14ac:dyDescent="0.4">
      <c r="A162" s="571"/>
      <c r="B162" s="233">
        <f>B161+1</f>
        <v>176</v>
      </c>
      <c r="C162" s="668"/>
      <c r="D162" s="67"/>
      <c r="E162" s="67"/>
      <c r="F162" s="67"/>
      <c r="G162" s="67"/>
      <c r="H162" s="74"/>
      <c r="I162" s="74"/>
      <c r="J162" s="74"/>
      <c r="K162" s="67"/>
      <c r="L162" s="67"/>
      <c r="M162" s="67"/>
      <c r="N162" s="67"/>
      <c r="O162" s="67"/>
      <c r="P162" s="67"/>
      <c r="Q162" s="68"/>
      <c r="R162" s="67"/>
      <c r="S162" s="117" t="b">
        <v>0</v>
      </c>
      <c r="T162" s="118" t="s">
        <v>252</v>
      </c>
    </row>
    <row r="163" spans="1:20" ht="15" hidden="1" thickBot="1" x14ac:dyDescent="0.4">
      <c r="C163" s="301"/>
      <c r="D163" s="229"/>
      <c r="E163" s="229"/>
      <c r="F163" s="229"/>
      <c r="G163" s="229"/>
      <c r="H163" s="229"/>
      <c r="I163" s="229"/>
      <c r="J163" s="229"/>
      <c r="K163" s="229"/>
      <c r="L163" s="229"/>
      <c r="M163" s="229"/>
      <c r="N163" s="229"/>
      <c r="O163" s="229"/>
      <c r="P163" s="229"/>
      <c r="Q163" s="229"/>
      <c r="R163" s="229"/>
      <c r="S163" s="229"/>
      <c r="T163" s="302"/>
    </row>
    <row r="164" spans="1:20" ht="3.65" customHeight="1" thickBot="1" x14ac:dyDescent="0.4">
      <c r="C164" s="301"/>
      <c r="D164" s="229"/>
      <c r="E164" s="229"/>
      <c r="F164" s="229"/>
      <c r="G164" s="229"/>
      <c r="H164" s="229"/>
      <c r="I164" s="229"/>
      <c r="J164" s="229"/>
      <c r="K164" s="229"/>
      <c r="L164" s="229"/>
      <c r="M164" s="229"/>
      <c r="N164" s="229"/>
      <c r="O164" s="229"/>
      <c r="P164" s="229"/>
      <c r="Q164" s="229"/>
      <c r="R164" s="229"/>
      <c r="S164" s="229"/>
      <c r="T164" s="302"/>
    </row>
    <row r="165" spans="1:20" ht="15" hidden="1" thickBot="1" x14ac:dyDescent="0.4">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4">
      <c r="A166" s="569">
        <f>A157+1</f>
        <v>18</v>
      </c>
      <c r="B166" s="13">
        <f>B157+10</f>
        <v>181</v>
      </c>
      <c r="C166" s="666" t="str">
        <f>VLOOKUP(A166,INputs!$G$3:$O$22,9,FALSE)</f>
        <v>Please fill out Sensitivity Labels Tab</v>
      </c>
      <c r="D166" s="62"/>
      <c r="E166" s="60" t="b">
        <v>0</v>
      </c>
      <c r="F166" s="61" t="s">
        <v>238</v>
      </c>
      <c r="G166" s="62"/>
      <c r="H166" s="659"/>
      <c r="I166" s="659"/>
      <c r="J166" s="63"/>
      <c r="K166" s="77" t="b">
        <v>0</v>
      </c>
      <c r="L166" s="63" t="s">
        <v>239</v>
      </c>
      <c r="M166" s="62"/>
      <c r="N166" s="470" t="s">
        <v>240</v>
      </c>
      <c r="O166" s="62"/>
      <c r="P166" s="660" t="s">
        <v>241</v>
      </c>
      <c r="Q166" s="660"/>
      <c r="R166" s="62"/>
      <c r="S166" s="661" t="s">
        <v>242</v>
      </c>
      <c r="T166" s="662"/>
    </row>
    <row r="167" spans="1:20" ht="16" x14ac:dyDescent="0.35">
      <c r="A167" s="570"/>
      <c r="B167" s="233">
        <f>B166+1</f>
        <v>182</v>
      </c>
      <c r="C167" s="667"/>
      <c r="E167" s="64" t="b">
        <v>0</v>
      </c>
      <c r="F167" s="65" t="s">
        <v>243</v>
      </c>
      <c r="H167" s="44"/>
      <c r="I167" s="611" t="s">
        <v>136</v>
      </c>
      <c r="J167" s="611"/>
      <c r="K167" s="663" t="b">
        <v>0</v>
      </c>
      <c r="L167" s="647" t="s">
        <v>241</v>
      </c>
      <c r="N167" s="40" t="s">
        <v>137</v>
      </c>
      <c r="P167" s="45" t="b">
        <v>0</v>
      </c>
      <c r="Q167" s="44" t="s">
        <v>244</v>
      </c>
      <c r="S167" s="45" t="b">
        <v>0</v>
      </c>
      <c r="T167" s="72" t="s">
        <v>245</v>
      </c>
    </row>
    <row r="168" spans="1:20" ht="16" x14ac:dyDescent="0.35">
      <c r="A168" s="570"/>
      <c r="B168" s="233">
        <f>B167+1</f>
        <v>183</v>
      </c>
      <c r="C168" s="667"/>
      <c r="E168" s="64" t="b">
        <v>0</v>
      </c>
      <c r="F168" s="65" t="s">
        <v>246</v>
      </c>
      <c r="H168" s="45" t="b">
        <v>0</v>
      </c>
      <c r="I168" s="647" t="s">
        <v>247</v>
      </c>
      <c r="J168" s="44"/>
      <c r="K168" s="663"/>
      <c r="L168" s="647"/>
      <c r="N168" s="44"/>
      <c r="P168" s="44"/>
      <c r="Q168" s="46"/>
      <c r="S168" s="664" t="s">
        <v>248</v>
      </c>
      <c r="T168" s="665"/>
    </row>
    <row r="169" spans="1:20" x14ac:dyDescent="0.35">
      <c r="A169" s="570"/>
      <c r="B169" s="233">
        <f>B168+1</f>
        <v>184</v>
      </c>
      <c r="C169" s="667"/>
      <c r="H169" s="44"/>
      <c r="I169" s="647"/>
      <c r="J169" s="44"/>
      <c r="P169" s="45" t="b">
        <v>0</v>
      </c>
      <c r="Q169" s="44" t="s">
        <v>249</v>
      </c>
      <c r="S169" s="45" t="b">
        <v>0</v>
      </c>
      <c r="T169" s="72" t="s">
        <v>250</v>
      </c>
    </row>
    <row r="170" spans="1:20" x14ac:dyDescent="0.35">
      <c r="A170" s="570"/>
      <c r="B170" s="233">
        <f>B169+1</f>
        <v>185</v>
      </c>
      <c r="C170" s="667"/>
      <c r="H170" s="44"/>
      <c r="I170" s="44"/>
      <c r="J170" s="44"/>
      <c r="Q170" s="23" t="s">
        <v>135</v>
      </c>
      <c r="S170" s="45" t="b">
        <v>0</v>
      </c>
      <c r="T170" s="72" t="s">
        <v>251</v>
      </c>
    </row>
    <row r="171" spans="1:20" ht="15" thickBot="1" x14ac:dyDescent="0.4">
      <c r="A171" s="571"/>
      <c r="B171" s="233">
        <f>B170+1</f>
        <v>186</v>
      </c>
      <c r="C171" s="668"/>
      <c r="D171" s="67"/>
      <c r="E171" s="67"/>
      <c r="F171" s="67"/>
      <c r="G171" s="67"/>
      <c r="H171" s="74"/>
      <c r="I171" s="74"/>
      <c r="J171" s="74"/>
      <c r="K171" s="67"/>
      <c r="L171" s="67"/>
      <c r="M171" s="67"/>
      <c r="N171" s="67"/>
      <c r="O171" s="67"/>
      <c r="P171" s="67"/>
      <c r="Q171" s="68"/>
      <c r="R171" s="67"/>
      <c r="S171" s="117" t="b">
        <v>0</v>
      </c>
      <c r="T171" s="118" t="s">
        <v>252</v>
      </c>
    </row>
    <row r="172" spans="1:20" ht="15" hidden="1" thickBot="1" x14ac:dyDescent="0.4">
      <c r="C172" s="301"/>
      <c r="D172" s="229"/>
      <c r="E172" s="229"/>
      <c r="F172" s="229"/>
      <c r="G172" s="229"/>
      <c r="H172" s="229"/>
      <c r="I172" s="229"/>
      <c r="J172" s="229"/>
      <c r="K172" s="229"/>
      <c r="L172" s="229"/>
      <c r="M172" s="229"/>
      <c r="N172" s="229"/>
      <c r="O172" s="229"/>
      <c r="P172" s="229"/>
      <c r="Q172" s="229"/>
      <c r="R172" s="229"/>
      <c r="S172" s="229"/>
      <c r="T172" s="302"/>
    </row>
    <row r="173" spans="1:20" ht="3.65" customHeight="1" thickBot="1" x14ac:dyDescent="0.4">
      <c r="C173" s="301"/>
      <c r="D173" s="229"/>
      <c r="E173" s="229"/>
      <c r="F173" s="229"/>
      <c r="G173" s="229"/>
      <c r="H173" s="229"/>
      <c r="I173" s="229"/>
      <c r="J173" s="229"/>
      <c r="K173" s="229"/>
      <c r="L173" s="229"/>
      <c r="M173" s="229"/>
      <c r="N173" s="229"/>
      <c r="O173" s="229"/>
      <c r="P173" s="229"/>
      <c r="Q173" s="229"/>
      <c r="R173" s="229"/>
      <c r="S173" s="229"/>
      <c r="T173" s="302"/>
    </row>
    <row r="174" spans="1:20" ht="15" hidden="1" thickBot="1" x14ac:dyDescent="0.4">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4">
      <c r="A175" s="569">
        <f>A166+1</f>
        <v>19</v>
      </c>
      <c r="B175" s="13">
        <f>B166+10</f>
        <v>191</v>
      </c>
      <c r="C175" s="666" t="str">
        <f>VLOOKUP(A175,INputs!$G$3:$O$22,9,FALSE)</f>
        <v>Please fill out Sensitivity Labels Tab</v>
      </c>
      <c r="D175" s="62"/>
      <c r="E175" s="60" t="b">
        <v>0</v>
      </c>
      <c r="F175" s="61" t="s">
        <v>238</v>
      </c>
      <c r="G175" s="62"/>
      <c r="H175" s="659"/>
      <c r="I175" s="659"/>
      <c r="J175" s="63"/>
      <c r="K175" s="77" t="b">
        <v>0</v>
      </c>
      <c r="L175" s="63" t="s">
        <v>239</v>
      </c>
      <c r="M175" s="62"/>
      <c r="N175" s="470" t="s">
        <v>240</v>
      </c>
      <c r="O175" s="62"/>
      <c r="P175" s="660" t="s">
        <v>241</v>
      </c>
      <c r="Q175" s="660"/>
      <c r="R175" s="62"/>
      <c r="S175" s="661" t="s">
        <v>242</v>
      </c>
      <c r="T175" s="662"/>
    </row>
    <row r="176" spans="1:20" ht="16" x14ac:dyDescent="0.35">
      <c r="A176" s="570"/>
      <c r="B176" s="233">
        <f>B175+1</f>
        <v>192</v>
      </c>
      <c r="C176" s="667"/>
      <c r="E176" s="64" t="b">
        <v>0</v>
      </c>
      <c r="F176" s="65" t="s">
        <v>243</v>
      </c>
      <c r="H176" s="44"/>
      <c r="I176" s="611" t="s">
        <v>136</v>
      </c>
      <c r="J176" s="611"/>
      <c r="K176" s="663" t="b">
        <v>0</v>
      </c>
      <c r="L176" s="647" t="s">
        <v>241</v>
      </c>
      <c r="N176" s="40" t="s">
        <v>137</v>
      </c>
      <c r="P176" s="45" t="b">
        <v>0</v>
      </c>
      <c r="Q176" s="44" t="s">
        <v>244</v>
      </c>
      <c r="S176" s="45" t="b">
        <v>0</v>
      </c>
      <c r="T176" s="72" t="s">
        <v>245</v>
      </c>
    </row>
    <row r="177" spans="1:20" ht="16" x14ac:dyDescent="0.35">
      <c r="A177" s="570"/>
      <c r="B177" s="233">
        <f>B176+1</f>
        <v>193</v>
      </c>
      <c r="C177" s="667"/>
      <c r="E177" s="64" t="b">
        <v>0</v>
      </c>
      <c r="F177" s="65" t="s">
        <v>246</v>
      </c>
      <c r="H177" s="45" t="b">
        <v>0</v>
      </c>
      <c r="I177" s="647" t="s">
        <v>247</v>
      </c>
      <c r="J177" s="44"/>
      <c r="K177" s="663"/>
      <c r="L177" s="647"/>
      <c r="N177" s="44"/>
      <c r="P177" s="44"/>
      <c r="Q177" s="46"/>
      <c r="S177" s="664" t="s">
        <v>248</v>
      </c>
      <c r="T177" s="665"/>
    </row>
    <row r="178" spans="1:20" x14ac:dyDescent="0.35">
      <c r="A178" s="570"/>
      <c r="B178" s="233">
        <f>B177+1</f>
        <v>194</v>
      </c>
      <c r="C178" s="667"/>
      <c r="H178" s="44"/>
      <c r="I178" s="647"/>
      <c r="J178" s="44"/>
      <c r="P178" s="45" t="b">
        <v>0</v>
      </c>
      <c r="Q178" s="44" t="s">
        <v>249</v>
      </c>
      <c r="S178" s="45" t="b">
        <v>0</v>
      </c>
      <c r="T178" s="72" t="s">
        <v>250</v>
      </c>
    </row>
    <row r="179" spans="1:20" x14ac:dyDescent="0.35">
      <c r="A179" s="570"/>
      <c r="B179" s="233">
        <f>B178+1</f>
        <v>195</v>
      </c>
      <c r="C179" s="667"/>
      <c r="H179" s="44"/>
      <c r="I179" s="44"/>
      <c r="J179" s="44"/>
      <c r="Q179" s="23" t="s">
        <v>135</v>
      </c>
      <c r="S179" s="45" t="b">
        <v>0</v>
      </c>
      <c r="T179" s="72" t="s">
        <v>251</v>
      </c>
    </row>
    <row r="180" spans="1:20" ht="15" thickBot="1" x14ac:dyDescent="0.4">
      <c r="A180" s="571"/>
      <c r="B180" s="233">
        <f>B179+1</f>
        <v>196</v>
      </c>
      <c r="C180" s="668"/>
      <c r="D180" s="67"/>
      <c r="E180" s="67"/>
      <c r="F180" s="67"/>
      <c r="G180" s="67"/>
      <c r="H180" s="74"/>
      <c r="I180" s="74"/>
      <c r="J180" s="74"/>
      <c r="K180" s="67"/>
      <c r="L180" s="67"/>
      <c r="M180" s="67"/>
      <c r="N180" s="67"/>
      <c r="O180" s="67"/>
      <c r="P180" s="67"/>
      <c r="Q180" s="68"/>
      <c r="R180" s="67"/>
      <c r="S180" s="117" t="b">
        <v>0</v>
      </c>
      <c r="T180" s="118" t="s">
        <v>252</v>
      </c>
    </row>
    <row r="181" spans="1:20" ht="15" hidden="1" thickBot="1" x14ac:dyDescent="0.4">
      <c r="C181" s="301"/>
      <c r="D181" s="229"/>
      <c r="E181" s="229"/>
      <c r="F181" s="229"/>
      <c r="G181" s="229"/>
      <c r="H181" s="229"/>
      <c r="I181" s="229"/>
      <c r="J181" s="229"/>
      <c r="K181" s="229"/>
      <c r="L181" s="229"/>
      <c r="M181" s="229"/>
      <c r="N181" s="229"/>
      <c r="O181" s="229"/>
      <c r="P181" s="229"/>
      <c r="Q181" s="229"/>
      <c r="R181" s="229"/>
      <c r="S181" s="229"/>
      <c r="T181" s="302"/>
    </row>
    <row r="182" spans="1:20" ht="3.65" customHeight="1" thickBot="1" x14ac:dyDescent="0.4">
      <c r="C182" s="301"/>
      <c r="D182" s="229"/>
      <c r="E182" s="229"/>
      <c r="F182" s="229"/>
      <c r="G182" s="229"/>
      <c r="H182" s="229"/>
      <c r="I182" s="229"/>
      <c r="J182" s="229"/>
      <c r="K182" s="229"/>
      <c r="L182" s="229"/>
      <c r="M182" s="229"/>
      <c r="N182" s="229"/>
      <c r="O182" s="229"/>
      <c r="P182" s="229"/>
      <c r="Q182" s="229"/>
      <c r="R182" s="229"/>
      <c r="S182" s="229"/>
      <c r="T182" s="302"/>
    </row>
    <row r="183" spans="1:20" ht="15" hidden="1" thickBot="1" x14ac:dyDescent="0.4">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4">
      <c r="A184" s="569">
        <f>A175+1</f>
        <v>20</v>
      </c>
      <c r="B184" s="13">
        <f>B175+10</f>
        <v>201</v>
      </c>
      <c r="C184" s="666" t="str">
        <f>VLOOKUP(A184,INputs!$G$3:$O$22,9,FALSE)</f>
        <v>Please fill out Sensitivity Labels Tab</v>
      </c>
      <c r="D184" s="62"/>
      <c r="E184" s="60" t="b">
        <v>0</v>
      </c>
      <c r="F184" s="61" t="s">
        <v>238</v>
      </c>
      <c r="G184" s="62"/>
      <c r="H184" s="659"/>
      <c r="I184" s="659"/>
      <c r="J184" s="63"/>
      <c r="K184" s="77" t="b">
        <v>0</v>
      </c>
      <c r="L184" s="63" t="s">
        <v>239</v>
      </c>
      <c r="M184" s="62"/>
      <c r="N184" s="470" t="s">
        <v>240</v>
      </c>
      <c r="O184" s="62"/>
      <c r="P184" s="660" t="s">
        <v>241</v>
      </c>
      <c r="Q184" s="660"/>
      <c r="R184" s="62"/>
      <c r="S184" s="661" t="s">
        <v>242</v>
      </c>
      <c r="T184" s="662"/>
    </row>
    <row r="185" spans="1:20" ht="16" x14ac:dyDescent="0.35">
      <c r="A185" s="570"/>
      <c r="B185" s="233">
        <f>B184+1</f>
        <v>202</v>
      </c>
      <c r="C185" s="667"/>
      <c r="E185" s="64" t="b">
        <v>0</v>
      </c>
      <c r="F185" s="65" t="s">
        <v>243</v>
      </c>
      <c r="H185" s="44"/>
      <c r="I185" s="611" t="s">
        <v>136</v>
      </c>
      <c r="J185" s="611"/>
      <c r="K185" s="663" t="b">
        <v>0</v>
      </c>
      <c r="L185" s="647" t="s">
        <v>241</v>
      </c>
      <c r="N185" s="40" t="s">
        <v>137</v>
      </c>
      <c r="P185" s="45" t="b">
        <v>0</v>
      </c>
      <c r="Q185" s="44" t="s">
        <v>244</v>
      </c>
      <c r="S185" s="45" t="b">
        <v>0</v>
      </c>
      <c r="T185" s="72" t="s">
        <v>245</v>
      </c>
    </row>
    <row r="186" spans="1:20" ht="16" x14ac:dyDescent="0.35">
      <c r="A186" s="570"/>
      <c r="B186" s="233">
        <f>B185+1</f>
        <v>203</v>
      </c>
      <c r="C186" s="667"/>
      <c r="E186" s="64" t="b">
        <v>0</v>
      </c>
      <c r="F186" s="65" t="s">
        <v>246</v>
      </c>
      <c r="H186" s="45" t="b">
        <v>0</v>
      </c>
      <c r="I186" s="647" t="s">
        <v>247</v>
      </c>
      <c r="J186" s="44"/>
      <c r="K186" s="663"/>
      <c r="L186" s="647"/>
      <c r="N186" s="44"/>
      <c r="P186" s="44"/>
      <c r="Q186" s="46"/>
      <c r="S186" s="664" t="s">
        <v>248</v>
      </c>
      <c r="T186" s="665"/>
    </row>
    <row r="187" spans="1:20" x14ac:dyDescent="0.35">
      <c r="A187" s="570"/>
      <c r="B187" s="233">
        <f>B186+1</f>
        <v>204</v>
      </c>
      <c r="C187" s="667"/>
      <c r="H187" s="44"/>
      <c r="I187" s="647"/>
      <c r="J187" s="44"/>
      <c r="P187" s="45" t="b">
        <v>0</v>
      </c>
      <c r="Q187" s="44" t="s">
        <v>249</v>
      </c>
      <c r="S187" s="45" t="b">
        <v>0</v>
      </c>
      <c r="T187" s="72" t="s">
        <v>250</v>
      </c>
    </row>
    <row r="188" spans="1:20" x14ac:dyDescent="0.35">
      <c r="A188" s="570"/>
      <c r="B188" s="233">
        <f>B187+1</f>
        <v>205</v>
      </c>
      <c r="C188" s="667"/>
      <c r="H188" s="44"/>
      <c r="I188" s="44"/>
      <c r="J188" s="44"/>
      <c r="Q188" s="23" t="s">
        <v>135</v>
      </c>
      <c r="S188" s="45" t="b">
        <v>0</v>
      </c>
      <c r="T188" s="72" t="s">
        <v>251</v>
      </c>
    </row>
    <row r="189" spans="1:20" ht="15" thickBot="1" x14ac:dyDescent="0.4">
      <c r="A189" s="571"/>
      <c r="B189" s="233">
        <f>B188+1</f>
        <v>206</v>
      </c>
      <c r="C189" s="668"/>
      <c r="D189" s="67"/>
      <c r="E189" s="67"/>
      <c r="F189" s="67"/>
      <c r="G189" s="67"/>
      <c r="H189" s="74"/>
      <c r="I189" s="74"/>
      <c r="J189" s="74"/>
      <c r="K189" s="67"/>
      <c r="L189" s="67"/>
      <c r="M189" s="67"/>
      <c r="N189" s="67"/>
      <c r="O189" s="67"/>
      <c r="P189" s="67"/>
      <c r="Q189" s="68"/>
      <c r="R189" s="67"/>
      <c r="S189" s="117" t="b">
        <v>0</v>
      </c>
      <c r="T189" s="118" t="s">
        <v>252</v>
      </c>
    </row>
    <row r="190" spans="1:20" ht="15" hidden="1" thickBot="1" x14ac:dyDescent="0.4">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4">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4">
      <formula>AND(K23=TRUE,E23=TRUE)</formula>
    </cfRule>
    <cfRule type="expression" dxfId="1099" priority="808">
      <formula>P22=TRUE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77">
      <formula>AND(K50=TRUE,$E$50=TRUE)</formula>
    </cfRule>
    <cfRule type="expression" dxfId="1081" priority="781">
      <formula>P49=TRUE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59">
      <formula>AND(K68=TRUE,$E$68=TRUE)</formula>
    </cfRule>
    <cfRule type="expression" dxfId="1071" priority="763">
      <formula>P67=TRUE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1">
      <formula>AND(K86=TRUE,$E$86=TRUE)</formula>
    </cfRule>
    <cfRule type="expression" dxfId="1059" priority="745">
      <formula>P85=TRUE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5" stopIfTrue="1" id="{1429774D-F706-4B99-9BFA-4368651C1C5F}">
            <xm:f>$C40=INputs!$P$4</xm:f>
            <x14:dxf>
              <font>
                <color theme="2" tint="-0.24994659260841701"/>
              </font>
            </x14:dxf>
          </x14:cfRule>
          <x14:cfRule type="expression" priority="156" stopIfTrue="1" id="{84BBD787-34DA-4B32-B7FC-39B62A2B6030}">
            <xm:f>$C40=INputs!$P$3</xm:f>
            <x14:dxf>
              <font>
                <color theme="2" tint="-0.24994659260841701"/>
              </font>
            </x14:dxf>
          </x14:cfRule>
          <xm:sqref>C40</xm:sqref>
        </x14:conditionalFormatting>
        <x14:conditionalFormatting xmlns:xm="http://schemas.microsoft.com/office/excel/2006/main">
          <x14:cfRule type="expression" priority="152" stopIfTrue="1" id="{AC2CCF6E-FB3B-4B3E-AC9A-5B668673BC59}">
            <xm:f>$C49=INputs!$P$4</xm:f>
            <x14:dxf>
              <font>
                <color theme="2" tint="-0.24994659260841701"/>
              </font>
            </x14:dxf>
          </x14:cfRule>
          <x14:cfRule type="expression" priority="153" stopIfTrue="1" id="{377383A5-D218-4C61-A168-62DC21CBAC70}">
            <xm:f>$C49=INputs!$P$3</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6" stopIfTrue="1" id="{CACECF30-87A5-45B7-83C3-99C3FFA96030}">
            <xm:f>$C67=INputs!$P$4</xm:f>
            <x14:dxf>
              <font>
                <color theme="2" tint="-0.24994659260841701"/>
              </font>
            </x14:dxf>
          </x14:cfRule>
          <x14:cfRule type="expression" priority="147" stopIfTrue="1" id="{74D50A7F-69EC-48D6-B564-85F725032AA2}">
            <xm:f>$C67=INputs!$P$3</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8" stopIfTrue="1" id="{3DCCA99E-C7BA-4FCB-AECB-EFEFECBAEBE4}">
            <xm:f>$C85=INputs!$P$4</xm:f>
            <x14:dxf>
              <font>
                <color theme="2" tint="-0.24994659260841701"/>
              </font>
            </x14:dxf>
          </x14:cfRule>
          <x14:cfRule type="expression" priority="129" stopIfTrue="1" id="{C5CA2F6F-8120-4BDE-AFB9-B35715B30D37}">
            <xm:f>$C85=INputs!$P$3</xm:f>
            <x14:dxf>
              <font>
                <color theme="2" tint="-0.24994659260841701"/>
              </font>
            </x14:dxf>
          </x14:cfRule>
          <xm:sqref>C85</xm:sqref>
        </x14:conditionalFormatting>
        <x14:conditionalFormatting xmlns:xm="http://schemas.microsoft.com/office/excel/2006/main">
          <x14:cfRule type="expression" priority="125" stopIfTrue="1" id="{EAC83502-74D4-4EE0-AD48-72BD7D3C7052}">
            <xm:f>$C94=INputs!$P$4</xm:f>
            <x14:dxf>
              <font>
                <color theme="2" tint="-0.24994659260841701"/>
              </font>
            </x14:dxf>
          </x14:cfRule>
          <x14:cfRule type="expression" priority="126" stopIfTrue="1" id="{7BC0502E-15A3-4F6D-8DE9-C894238D447F}">
            <xm:f>$C94=INputs!$P$3</xm:f>
            <x14:dxf>
              <font>
                <color theme="2" tint="-0.24994659260841701"/>
              </font>
            </x14:dxf>
          </x14:cfRule>
          <xm:sqref>C94</xm:sqref>
        </x14:conditionalFormatting>
        <x14:conditionalFormatting xmlns:xm="http://schemas.microsoft.com/office/excel/2006/main">
          <x14:cfRule type="expression" priority="122" stopIfTrue="1" id="{38176B81-A95A-403E-90A8-F6F0F66150F2}">
            <xm:f>$C103=INputs!$P$4</xm:f>
            <x14:dxf>
              <font>
                <color theme="2" tint="-0.24994659260841701"/>
              </font>
            </x14:dxf>
          </x14:cfRule>
          <x14:cfRule type="expression" priority="123" stopIfTrue="1" id="{99F49E8F-6965-491D-BB86-823797E5756B}">
            <xm:f>$C103=INputs!$P$3</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19" stopIfTrue="1" id="{2293AAAA-816A-49B4-9DFD-9EA6A9B6B965}">
            <xm:f>$C112=INputs!$P$4</xm:f>
            <x14:dxf>
              <font>
                <color theme="2" tint="-0.24994659260841701"/>
              </font>
            </x14:dxf>
          </x14:cfRule>
          <x14:cfRule type="expression" priority="120" stopIfTrue="1" id="{3946C201-3A01-43FD-AAE5-BE95A4929E1F}">
            <xm:f>$C112=INputs!$P$3</xm:f>
            <x14:dxf>
              <font>
                <color theme="2" tint="-0.24994659260841701"/>
              </font>
            </x14:dxf>
          </x14:cfRule>
          <xm:sqref>C112</xm:sqref>
        </x14:conditionalFormatting>
        <x14:conditionalFormatting xmlns:xm="http://schemas.microsoft.com/office/excel/2006/main">
          <x14:cfRule type="expression" priority="116" stopIfTrue="1" id="{ACA7E554-DC29-4F35-B514-3A6A3C70D48A}">
            <xm:f>$C121=INputs!$P$4</xm:f>
            <x14:dxf>
              <font>
                <color theme="2" tint="-0.24994659260841701"/>
              </font>
            </x14:dxf>
          </x14:cfRule>
          <x14:cfRule type="expression" priority="117" stopIfTrue="1" id="{6F7C9BF9-DB1B-4801-AC7B-689C91EE9D73}">
            <xm:f>$C121=INputs!$P$3</xm:f>
            <x14:dxf>
              <font>
                <color theme="2" tint="-0.24994659260841701"/>
              </font>
            </x14:dxf>
          </x14:cfRule>
          <xm:sqref>C121</xm:sqref>
        </x14:conditionalFormatting>
        <x14:conditionalFormatting xmlns:xm="http://schemas.microsoft.com/office/excel/2006/main">
          <x14:cfRule type="expression" priority="113" stopIfTrue="1" id="{17D1D1BB-85A2-49BD-B56E-F4E37333D667}">
            <xm:f>$C130=INputs!$P$4</xm:f>
            <x14:dxf>
              <font>
                <color theme="2" tint="-0.24994659260841701"/>
              </font>
            </x14:dxf>
          </x14:cfRule>
          <x14:cfRule type="expression" priority="114" stopIfTrue="1" id="{F6A63761-8A1E-4163-891B-870BA7563AE9}">
            <xm:f>$C130=INputs!$P$3</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78" id="{E3D7BA5B-F7F2-4C52-A5CC-6A323A768E02}">
            <xm:f>OR(INputs!$C$3=INputs!$A$3,INputs!$C$3=INputs!$A$4)</xm:f>
            <x14:dxf>
              <font>
                <color theme="2" tint="-0.499984740745262"/>
              </font>
              <fill>
                <patternFill>
                  <bgColor theme="2" tint="-0.499984740745262"/>
                </patternFill>
              </fill>
            </x14:dxf>
          </x14:cfRule>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m:sqref>D58:T63</xm:sqref>
        </x14:conditionalFormatting>
        <x14:conditionalFormatting xmlns:xm="http://schemas.microsoft.com/office/excel/2006/main">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D3" sqref="D3"/>
    </sheetView>
  </sheetViews>
  <sheetFormatPr defaultRowHeight="18.5" outlineLevelRow="1" x14ac:dyDescent="0.45"/>
  <cols>
    <col min="1" max="1" width="3.453125" style="304" customWidth="1"/>
    <col min="2" max="2" width="22" customWidth="1"/>
    <col min="3" max="3" width="34.1796875" hidden="1" customWidth="1"/>
    <col min="4" max="4" width="30" style="3" customWidth="1"/>
    <col min="5" max="5" width="6.54296875" customWidth="1"/>
    <col min="6" max="6" width="23.81640625" customWidth="1"/>
    <col min="7" max="7" width="34.1796875" style="3" customWidth="1"/>
    <col min="8" max="8" width="17.1796875" hidden="1" customWidth="1"/>
    <col min="9" max="9" width="19.54296875" customWidth="1"/>
    <col min="10" max="10" width="20.7265625" style="125" customWidth="1"/>
    <col min="11" max="11" width="7.81640625" hidden="1" customWidth="1"/>
    <col min="12" max="12" width="10.1796875" hidden="1" customWidth="1"/>
    <col min="13" max="13" width="9.54296875" hidden="1" customWidth="1"/>
    <col min="14" max="14" width="22.1796875" hidden="1" customWidth="1"/>
    <col min="15" max="15" width="33.453125" customWidth="1"/>
    <col min="16" max="16" width="43.453125" customWidth="1"/>
    <col min="17" max="17" width="7.54296875" style="2" customWidth="1"/>
    <col min="18" max="18" width="41.26953125" style="230" customWidth="1"/>
    <col min="19" max="19" width="7.54296875" style="2" customWidth="1"/>
    <col min="20" max="20" width="29.81640625" customWidth="1"/>
    <col min="21" max="21" width="7" customWidth="1"/>
    <col min="22" max="22" width="30.7265625" customWidth="1"/>
  </cols>
  <sheetData>
    <row r="1" spans="1:27" ht="5.15" customHeight="1" thickBot="1" x14ac:dyDescent="0.4">
      <c r="A1"/>
    </row>
    <row r="2" spans="1:27" s="305" customFormat="1" ht="24" thickBot="1" x14ac:dyDescent="0.55000000000000004">
      <c r="A2"/>
      <c r="B2" s="748" t="s">
        <v>85</v>
      </c>
      <c r="C2" s="749"/>
      <c r="D2" s="749"/>
      <c r="E2" s="749"/>
      <c r="F2" s="749"/>
      <c r="G2" s="749"/>
      <c r="H2" s="749"/>
      <c r="I2" s="750"/>
      <c r="J2" s="769" t="s">
        <v>253</v>
      </c>
      <c r="K2" s="769"/>
      <c r="L2" s="769"/>
      <c r="M2" s="769"/>
      <c r="N2" s="769"/>
      <c r="O2" s="769"/>
      <c r="P2" s="353" t="s">
        <v>91</v>
      </c>
      <c r="Q2" s="748" t="s">
        <v>254</v>
      </c>
      <c r="R2" s="749"/>
      <c r="S2" s="749"/>
      <c r="T2" s="749"/>
      <c r="U2" s="749"/>
      <c r="V2" s="750"/>
      <c r="W2"/>
      <c r="X2"/>
      <c r="Y2"/>
      <c r="Z2"/>
      <c r="AA2"/>
    </row>
    <row r="3" spans="1:27" s="3" customFormat="1" ht="43.5" x14ac:dyDescent="0.35">
      <c r="B3" s="354" t="s">
        <v>112</v>
      </c>
      <c r="C3" s="355" t="s">
        <v>113</v>
      </c>
      <c r="D3" s="355" t="s">
        <v>114</v>
      </c>
      <c r="E3" s="751" t="s">
        <v>115</v>
      </c>
      <c r="F3" s="752"/>
      <c r="G3" s="355" t="s">
        <v>116</v>
      </c>
      <c r="H3" s="355" t="s">
        <v>117</v>
      </c>
      <c r="I3" s="356" t="s">
        <v>118</v>
      </c>
      <c r="J3" s="770"/>
      <c r="K3" s="771"/>
      <c r="L3" s="771"/>
      <c r="M3" s="771"/>
      <c r="N3" s="771"/>
      <c r="O3" s="772"/>
      <c r="P3" s="357" t="s">
        <v>255</v>
      </c>
      <c r="Q3" s="756" t="s">
        <v>226</v>
      </c>
      <c r="R3" s="752"/>
      <c r="S3" s="753" t="s">
        <v>227</v>
      </c>
      <c r="T3" s="755"/>
      <c r="U3" s="753" t="s">
        <v>230</v>
      </c>
      <c r="V3" s="754"/>
      <c r="Z3"/>
      <c r="AA3"/>
    </row>
    <row r="4" spans="1:27" s="3" customFormat="1" hidden="1" outlineLevel="1" x14ac:dyDescent="0.35">
      <c r="A4" s="702" t="s">
        <v>119</v>
      </c>
      <c r="B4" s="686" t="s">
        <v>256</v>
      </c>
      <c r="C4" s="320"/>
      <c r="D4" s="699" t="s">
        <v>257</v>
      </c>
      <c r="E4" s="685" t="s">
        <v>256</v>
      </c>
      <c r="F4" s="686"/>
      <c r="G4" s="699" t="s">
        <v>258</v>
      </c>
      <c r="H4" s="320"/>
      <c r="I4" s="699" t="s">
        <v>256</v>
      </c>
      <c r="J4" s="685" t="s">
        <v>259</v>
      </c>
      <c r="K4" s="600"/>
      <c r="L4" s="600"/>
      <c r="M4" s="600"/>
      <c r="N4" s="600"/>
      <c r="O4" s="686"/>
      <c r="P4" s="699" t="s">
        <v>260</v>
      </c>
      <c r="Q4" s="685" t="s">
        <v>261</v>
      </c>
      <c r="R4" s="686"/>
      <c r="S4" s="685" t="s">
        <v>262</v>
      </c>
      <c r="T4" s="686"/>
      <c r="U4" s="685" t="s">
        <v>263</v>
      </c>
      <c r="V4" s="689"/>
      <c r="Z4"/>
      <c r="AA4"/>
    </row>
    <row r="5" spans="1:27" s="3" customFormat="1" hidden="1" outlineLevel="1" x14ac:dyDescent="0.35">
      <c r="A5" s="704"/>
      <c r="B5" s="688"/>
      <c r="C5" s="315"/>
      <c r="D5" s="700"/>
      <c r="E5" s="687"/>
      <c r="F5" s="688"/>
      <c r="G5" s="700"/>
      <c r="H5" s="315"/>
      <c r="I5" s="700"/>
      <c r="J5" s="687"/>
      <c r="K5" s="701"/>
      <c r="L5" s="701"/>
      <c r="M5" s="701"/>
      <c r="N5" s="701"/>
      <c r="O5" s="688"/>
      <c r="P5" s="700"/>
      <c r="Q5" s="687"/>
      <c r="R5" s="688"/>
      <c r="S5" s="687"/>
      <c r="T5" s="688"/>
      <c r="U5" s="687"/>
      <c r="V5" s="690"/>
      <c r="Z5"/>
      <c r="AA5"/>
    </row>
    <row r="6" spans="1:27" s="3" customFormat="1" ht="21.65" hidden="1" customHeight="1" outlineLevel="1" x14ac:dyDescent="0.35">
      <c r="A6" s="704"/>
      <c r="B6" s="688"/>
      <c r="C6" s="319" t="s">
        <v>264</v>
      </c>
      <c r="D6" s="700"/>
      <c r="E6" s="687"/>
      <c r="F6" s="688"/>
      <c r="G6" s="700"/>
      <c r="H6" s="298"/>
      <c r="I6" s="700"/>
      <c r="J6" s="687"/>
      <c r="K6" s="701"/>
      <c r="L6" s="701"/>
      <c r="M6" s="701"/>
      <c r="N6" s="701"/>
      <c r="O6" s="688"/>
      <c r="P6" s="700"/>
      <c r="Q6" s="687"/>
      <c r="R6" s="688"/>
      <c r="S6" s="687"/>
      <c r="T6" s="688"/>
      <c r="U6" s="687"/>
      <c r="V6" s="690"/>
      <c r="Z6"/>
      <c r="AA6"/>
    </row>
    <row r="7" spans="1:27" s="3" customFormat="1" ht="377.15" hidden="1" customHeight="1" outlineLevel="1" thickBot="1" x14ac:dyDescent="0.4">
      <c r="A7" s="704"/>
      <c r="B7" s="688"/>
      <c r="C7" s="318"/>
      <c r="D7" s="700"/>
      <c r="E7" s="687"/>
      <c r="F7" s="688"/>
      <c r="G7" s="700"/>
      <c r="H7" s="298"/>
      <c r="I7" s="700"/>
      <c r="J7" s="687"/>
      <c r="K7" s="701"/>
      <c r="L7" s="701"/>
      <c r="M7" s="701"/>
      <c r="N7" s="701"/>
      <c r="O7" s="688"/>
      <c r="P7" s="700"/>
      <c r="Q7" s="687"/>
      <c r="R7" s="688"/>
      <c r="S7" s="687"/>
      <c r="T7" s="688"/>
      <c r="U7" s="687"/>
      <c r="V7" s="690"/>
      <c r="Z7"/>
      <c r="AA7"/>
    </row>
    <row r="8" spans="1:27" s="3" customFormat="1" ht="21" hidden="1" customHeight="1" outlineLevel="1" x14ac:dyDescent="0.35">
      <c r="A8" s="702" t="s">
        <v>127</v>
      </c>
      <c r="B8" s="328"/>
      <c r="C8" s="329"/>
      <c r="D8" s="329"/>
      <c r="E8" s="705"/>
      <c r="F8" s="706"/>
      <c r="G8" s="330"/>
      <c r="H8" s="331"/>
      <c r="I8" s="330"/>
      <c r="J8" s="330"/>
      <c r="K8" s="330"/>
      <c r="L8" s="330"/>
      <c r="M8" s="332"/>
      <c r="N8" s="332"/>
      <c r="O8" s="333"/>
      <c r="P8" s="333"/>
      <c r="Q8" s="691"/>
      <c r="R8" s="692"/>
      <c r="S8" s="691"/>
      <c r="T8" s="695"/>
      <c r="U8" s="691"/>
      <c r="V8" s="697"/>
      <c r="Z8"/>
      <c r="AA8"/>
    </row>
    <row r="9" spans="1:27" s="3" customFormat="1" ht="21.65" hidden="1" customHeight="1" outlineLevel="1" thickBot="1" x14ac:dyDescent="0.4">
      <c r="A9" s="703"/>
      <c r="B9" s="334"/>
      <c r="C9" s="335"/>
      <c r="D9" s="335"/>
      <c r="E9" s="707"/>
      <c r="F9" s="708"/>
      <c r="G9" s="336"/>
      <c r="H9" s="337"/>
      <c r="I9" s="336"/>
      <c r="J9" s="336"/>
      <c r="K9" s="336"/>
      <c r="L9" s="336"/>
      <c r="M9" s="338"/>
      <c r="N9" s="338"/>
      <c r="O9" s="339"/>
      <c r="P9" s="339"/>
      <c r="Q9" s="693"/>
      <c r="R9" s="694"/>
      <c r="S9" s="693"/>
      <c r="T9" s="696"/>
      <c r="U9" s="693"/>
      <c r="V9" s="698"/>
      <c r="Z9"/>
      <c r="AA9"/>
    </row>
    <row r="10" spans="1:27" s="3" customFormat="1" ht="25" customHeight="1" collapsed="1" thickBot="1" x14ac:dyDescent="0.4">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5" customHeight="1" x14ac:dyDescent="0.35">
      <c r="A11" s="742">
        <v>1</v>
      </c>
      <c r="B11" s="730" t="str">
        <f>'Sensitivity Labels'!C11</f>
        <v>Label</v>
      </c>
      <c r="C11" s="734" t="str">
        <f>'Sensitivity Labels'!D11</f>
        <v>Public</v>
      </c>
      <c r="D11" s="736" t="str">
        <f>'Sensitivity Labels'!E11</f>
        <v>Public</v>
      </c>
      <c r="E11" s="340" t="b">
        <f>'Sensitivity Labels'!F11</f>
        <v>1</v>
      </c>
      <c r="F11" s="341" t="str">
        <f>'Sensitivity Labels'!G11</f>
        <v>Files &amp; Other Data assets</v>
      </c>
      <c r="G11" s="728" t="str">
        <f>'Sensitivity Labels'!I11</f>
        <v>Business data that is prepared and approved for public consumption.</v>
      </c>
      <c r="H11" s="730">
        <f>'Sensitivity Labels'!J11</f>
        <v>0</v>
      </c>
      <c r="I11" s="732" t="str">
        <f>'Sensitivity Labels'!K11</f>
        <v>Blue</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774" t="str">
        <f>IF(E13=TRUE,"Yes","No")</f>
        <v>No</v>
      </c>
      <c r="Q11" s="761" t="str">
        <f>IF(OR('Groups &amp; Sites'!H13=INputs!AN$3,'Groups &amp; Sites'!H13=INputs!AN$4),"Yes","No")</f>
        <v>No</v>
      </c>
      <c r="R11" s="762" t="str">
        <f>'Groups &amp; Sites'!F13</f>
        <v>Privacy and external user access</v>
      </c>
      <c r="S11" s="732" t="str">
        <f>IF('Groups &amp; Sites'!K13=TRUE,"Yes","No")</f>
        <v>No</v>
      </c>
      <c r="T11" s="762" t="str">
        <f>'Groups &amp; Sites'!L13</f>
        <v>Content can be shared with</v>
      </c>
      <c r="U11" s="732" t="str">
        <f>IF('Groups &amp; Sites'!S14=TRUE,"Yes","No")</f>
        <v>No</v>
      </c>
      <c r="V11" s="713" t="str">
        <f>'Groups &amp; Sites'!T14</f>
        <v>Allow users to discover private teams that have this label applied.</v>
      </c>
    </row>
    <row r="12" spans="1:27" ht="14.5" x14ac:dyDescent="0.35">
      <c r="A12" s="743"/>
      <c r="B12" s="730"/>
      <c r="C12" s="734"/>
      <c r="D12" s="737"/>
      <c r="E12" s="340" t="b">
        <f>'Sensitivity Labels'!F13</f>
        <v>1</v>
      </c>
      <c r="F12" s="341" t="str">
        <f>'Sensitivity Labels'!G13</f>
        <v>Emails</v>
      </c>
      <c r="G12" s="728"/>
      <c r="H12" s="730"/>
      <c r="I12" s="732"/>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774"/>
      <c r="Q12" s="764"/>
      <c r="R12" s="763"/>
      <c r="S12" s="757"/>
      <c r="T12" s="763"/>
      <c r="U12" s="757"/>
      <c r="V12" s="714"/>
    </row>
    <row r="13" spans="1:27" ht="14.5" customHeight="1" x14ac:dyDescent="0.35">
      <c r="A13" s="743"/>
      <c r="B13" s="730"/>
      <c r="C13" s="734"/>
      <c r="D13" s="737"/>
      <c r="E13" s="340" t="b">
        <f>'Sensitivity Labels'!F15</f>
        <v>0</v>
      </c>
      <c r="F13" s="341" t="str">
        <f>'Sensitivity Labels'!G15</f>
        <v>Meetings</v>
      </c>
      <c r="G13" s="728"/>
      <c r="H13" s="730"/>
      <c r="I13" s="732"/>
      <c r="J13" s="767" t="str">
        <f>IF('Emails, Files, &amp; Other Data'!AB12=TRUE,"Yes","No")</f>
        <v>No</v>
      </c>
      <c r="K13" s="347"/>
      <c r="L13" s="347"/>
      <c r="M13" s="347"/>
      <c r="N13" s="347"/>
      <c r="O13" s="765" t="s">
        <v>154</v>
      </c>
      <c r="P13" s="774"/>
      <c r="Q13" s="760" t="str">
        <f>IF('Groups &amp; Sites'!H15=TRUE,"Yes","No")</f>
        <v>No</v>
      </c>
      <c r="R13" s="758" t="str">
        <f>'Groups &amp; Sites'!I15</f>
        <v>Let Microsoft 365 Group owners add people outside your organization to the group as guests.</v>
      </c>
      <c r="S13" s="732" t="str">
        <f>IF('Groups &amp; Sites'!K14=TRUE,"Yes","No")</f>
        <v>No</v>
      </c>
      <c r="T13" s="759" t="str">
        <f>'Groups &amp; Sites'!L14</f>
        <v>Use Microsoft Entra Conditional Access to protect labeled SharePoint sites</v>
      </c>
      <c r="U13" s="773" t="str">
        <f>IF(OR('Groups &amp; Sites'!S16=TRUE,'Groups &amp; Sites'!S17=TRUE,'Groups &amp; Sites'!S18=TRUE),"Yes","No")</f>
        <v>No</v>
      </c>
      <c r="V13" s="717" t="str">
        <f>'Groups &amp; Sites'!S15</f>
        <v>Teams shared channels</v>
      </c>
    </row>
    <row r="14" spans="1:27" ht="15" thickBot="1" x14ac:dyDescent="0.4">
      <c r="A14" s="744"/>
      <c r="B14" s="731"/>
      <c r="C14" s="735"/>
      <c r="D14" s="738"/>
      <c r="E14" s="350" t="b">
        <f>'Sensitivity Labels'!F17</f>
        <v>0</v>
      </c>
      <c r="F14" s="351" t="str">
        <f>'Sensitivity Labels'!G17</f>
        <v>Groups &amp; Sites</v>
      </c>
      <c r="G14" s="729"/>
      <c r="H14" s="731"/>
      <c r="I14" s="733"/>
      <c r="J14" s="768"/>
      <c r="K14" s="352"/>
      <c r="L14" s="352"/>
      <c r="M14" s="352"/>
      <c r="N14" s="352"/>
      <c r="O14" s="766"/>
      <c r="P14" s="775"/>
      <c r="Q14" s="761"/>
      <c r="R14" s="759"/>
      <c r="S14" s="732"/>
      <c r="T14" s="759"/>
      <c r="U14" s="732"/>
      <c r="V14" s="718"/>
    </row>
    <row r="15" spans="1:27" ht="14.5" x14ac:dyDescent="0.35">
      <c r="A15" s="746">
        <f>A11+1</f>
        <v>2</v>
      </c>
      <c r="B15" s="723" t="str">
        <f>'Sensitivity Labels'!C19</f>
        <v>Label</v>
      </c>
      <c r="C15" s="740" t="str">
        <f>'Sensitivity Labels'!D19</f>
        <v>General</v>
      </c>
      <c r="D15" s="560" t="str">
        <f>'Sensitivity Labels'!E19</f>
        <v>General</v>
      </c>
      <c r="E15" s="60" t="b">
        <f>'Sensitivity Labels'!F19</f>
        <v>1</v>
      </c>
      <c r="F15" s="62" t="str">
        <f>'Sensitivity Labels'!G19</f>
        <v>Files &amp; Other Data assets</v>
      </c>
      <c r="G15" s="719" t="str">
        <f>'Sensitivity Labels'!I19</f>
        <v>Business data that isn't intended for public consumption. However, this can be shared with external partners, as required.</v>
      </c>
      <c r="H15" s="722">
        <f>'Sensitivity Labels'!J19</f>
        <v>0</v>
      </c>
      <c r="I15" s="725" t="str">
        <f>'Sensitivity Labels'!K19</f>
        <v>Green</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792" t="str">
        <f>IF(E17=TRUE,"Yes","No")</f>
        <v>Yes</v>
      </c>
      <c r="Q15" s="776" t="str">
        <f>IF(OR('Groups &amp; Sites'!H22=INputs!AN$3,'Groups &amp; Sites'!H22=INputs!AN$4),"Yes","No")</f>
        <v>No</v>
      </c>
      <c r="R15" s="778" t="str">
        <f>R$11</f>
        <v>Privacy and external user access</v>
      </c>
      <c r="S15" s="711" t="str">
        <f>IF('Groups &amp; Sites'!K22=TRUE,"Yes","No")</f>
        <v>No</v>
      </c>
      <c r="T15" s="778" t="str">
        <f>T$11</f>
        <v>Content can be shared with</v>
      </c>
      <c r="U15" s="711" t="str">
        <f>IF('Groups &amp; Sites'!S23=TRUE,"Yes","No")</f>
        <v>No</v>
      </c>
      <c r="V15" s="709" t="str">
        <f>V$11</f>
        <v>Allow users to discover private teams that have this label applied.</v>
      </c>
    </row>
    <row r="16" spans="1:27" ht="14.5" x14ac:dyDescent="0.35">
      <c r="A16" s="745"/>
      <c r="B16" s="723"/>
      <c r="C16" s="740"/>
      <c r="D16" s="560"/>
      <c r="E16" s="64" t="b">
        <f>'Sensitivity Labels'!F21</f>
        <v>1</v>
      </c>
      <c r="F16" t="str">
        <f>'Sensitivity Labels'!G21</f>
        <v>Emails</v>
      </c>
      <c r="G16" s="720"/>
      <c r="H16" s="723"/>
      <c r="I16" s="726"/>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793"/>
      <c r="Q16" s="777"/>
      <c r="R16" s="779"/>
      <c r="S16" s="712"/>
      <c r="T16" s="779"/>
      <c r="U16" s="712"/>
      <c r="V16" s="710"/>
    </row>
    <row r="17" spans="1:22" ht="14.5" customHeight="1" x14ac:dyDescent="0.35">
      <c r="A17" s="745"/>
      <c r="B17" s="723"/>
      <c r="C17" s="740"/>
      <c r="D17" s="560"/>
      <c r="E17" s="64" t="b">
        <f>'Sensitivity Labels'!F23</f>
        <v>1</v>
      </c>
      <c r="F17" t="str">
        <f>'Sensitivity Labels'!G23</f>
        <v>Meetings</v>
      </c>
      <c r="G17" s="720"/>
      <c r="H17" s="723"/>
      <c r="I17" s="726"/>
      <c r="J17" s="790" t="str">
        <f>IF('Emails, Files, &amp; Other Data'!AB24=TRUE,"Yes","No")</f>
        <v>No</v>
      </c>
      <c r="K17" s="308"/>
      <c r="L17" s="308"/>
      <c r="M17" s="308"/>
      <c r="N17" s="308"/>
      <c r="O17" s="788" t="str">
        <f>O$13</f>
        <v>Auto-labeling for files and emails: "Client-side Auto-Labeling"</v>
      </c>
      <c r="P17" s="793"/>
      <c r="Q17" s="786" t="str">
        <f>IF('Groups &amp; Sites'!H24=TRUE,"Yes","No")</f>
        <v>No</v>
      </c>
      <c r="R17" s="785" t="str">
        <f>R$13</f>
        <v>Let Microsoft 365 Group owners add people outside your organization to the group as guests.</v>
      </c>
      <c r="S17" s="780" t="str">
        <f>IF('Groups &amp; Sites'!K23=TRUE,"Yes","No")</f>
        <v>No</v>
      </c>
      <c r="T17" s="782" t="str">
        <f>T$13</f>
        <v>Use Microsoft Entra Conditional Access to protect labeled SharePoint sites</v>
      </c>
      <c r="U17" s="784" t="str">
        <f>IF(OR('Groups &amp; Sites'!S25=TRUE,'Groups &amp; Sites'!S26=TRUE,'Groups &amp; Sites'!S27=TRUE),"Yes","No")</f>
        <v>No</v>
      </c>
      <c r="V17" s="715" t="str">
        <f>V$13</f>
        <v>Teams shared channels</v>
      </c>
    </row>
    <row r="18" spans="1:22" ht="15" thickBot="1" x14ac:dyDescent="0.4">
      <c r="A18" s="747"/>
      <c r="B18" s="724"/>
      <c r="C18" s="741"/>
      <c r="D18" s="561"/>
      <c r="E18" s="69" t="b">
        <f>'Sensitivity Labels'!F25</f>
        <v>1</v>
      </c>
      <c r="F18" s="67" t="str">
        <f>'Sensitivity Labels'!G25</f>
        <v>Groups &amp; Sites</v>
      </c>
      <c r="G18" s="721"/>
      <c r="H18" s="724"/>
      <c r="I18" s="727"/>
      <c r="J18" s="791"/>
      <c r="K18" s="310"/>
      <c r="L18" s="310"/>
      <c r="M18" s="310"/>
      <c r="N18" s="310"/>
      <c r="O18" s="789"/>
      <c r="P18" s="794"/>
      <c r="Q18" s="787"/>
      <c r="R18" s="783"/>
      <c r="S18" s="781"/>
      <c r="T18" s="783"/>
      <c r="U18" s="781"/>
      <c r="V18" s="716"/>
    </row>
    <row r="19" spans="1:22" ht="14.5" customHeight="1" x14ac:dyDescent="0.35">
      <c r="A19" s="742">
        <f>A15+1</f>
        <v>3</v>
      </c>
      <c r="B19" s="730" t="str">
        <f>'Sensitivity Labels'!C27</f>
        <v>Parent Label</v>
      </c>
      <c r="C19" s="734" t="str">
        <f>'Sensitivity Labels'!D27</f>
        <v>Confidential</v>
      </c>
      <c r="D19" s="736" t="str">
        <f>'Sensitivity Labels'!E27</f>
        <v>Confidential</v>
      </c>
      <c r="E19" s="340" t="b">
        <f>'Sensitivity Labels'!F27</f>
        <v>0</v>
      </c>
      <c r="F19" s="341" t="str">
        <f>'Sensitivity Labels'!G27</f>
        <v>Files &amp; Other Data assets</v>
      </c>
      <c r="G19" s="728">
        <f>'Sensitivity Labels'!I27</f>
        <v>0</v>
      </c>
      <c r="H19" s="730">
        <f>'Sensitivity Labels'!J27</f>
        <v>0</v>
      </c>
      <c r="I19" s="732" t="str">
        <f>'Sensitivity Labels'!K27</f>
        <v>Orange</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774" t="str">
        <f>IF(E21=TRUE,"Yes","No")</f>
        <v>No</v>
      </c>
      <c r="Q19" s="761" t="str">
        <f>IF(OR('Groups &amp; Sites'!H31=INputs!AN$3,'Groups &amp; Sites'!H31=INputs!AN$4),"Yes","No")</f>
        <v>No</v>
      </c>
      <c r="R19" s="762" t="str">
        <f>R$11</f>
        <v>Privacy and external user access</v>
      </c>
      <c r="S19" s="732" t="str">
        <f>IF('Groups &amp; Sites'!K31=TRUE,"Yes","No")</f>
        <v>No</v>
      </c>
      <c r="T19" s="762" t="str">
        <f>T$11</f>
        <v>Content can be shared with</v>
      </c>
      <c r="U19" s="732" t="str">
        <f>IF('Groups &amp; Sites'!S32=TRUE,"Yes","No")</f>
        <v>No</v>
      </c>
      <c r="V19" s="713" t="str">
        <f>V$11</f>
        <v>Allow users to discover private teams that have this label applied.</v>
      </c>
    </row>
    <row r="20" spans="1:22" ht="14.5" x14ac:dyDescent="0.35">
      <c r="A20" s="743"/>
      <c r="B20" s="730"/>
      <c r="C20" s="734"/>
      <c r="D20" s="737"/>
      <c r="E20" s="340" t="b">
        <f>'Sensitivity Labels'!F29</f>
        <v>0</v>
      </c>
      <c r="F20" s="341" t="str">
        <f>'Sensitivity Labels'!G29</f>
        <v>Emails</v>
      </c>
      <c r="G20" s="728"/>
      <c r="H20" s="730"/>
      <c r="I20" s="732"/>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774"/>
      <c r="Q20" s="764"/>
      <c r="R20" s="763"/>
      <c r="S20" s="757"/>
      <c r="T20" s="763"/>
      <c r="U20" s="757"/>
      <c r="V20" s="714"/>
    </row>
    <row r="21" spans="1:22" ht="14.5" customHeight="1" x14ac:dyDescent="0.35">
      <c r="A21" s="743"/>
      <c r="B21" s="730"/>
      <c r="C21" s="734"/>
      <c r="D21" s="737"/>
      <c r="E21" s="340" t="b">
        <f>'Sensitivity Labels'!F31</f>
        <v>0</v>
      </c>
      <c r="F21" s="341" t="str">
        <f>'Sensitivity Labels'!G31</f>
        <v>Meetings</v>
      </c>
      <c r="G21" s="728"/>
      <c r="H21" s="730"/>
      <c r="I21" s="732"/>
      <c r="J21" s="767" t="str">
        <f>IF('Emails, Files, &amp; Other Data'!AB36=TRUE,"Yes","No")</f>
        <v>No</v>
      </c>
      <c r="K21" s="347"/>
      <c r="L21" s="347"/>
      <c r="M21" s="347"/>
      <c r="N21" s="347"/>
      <c r="O21" s="765" t="str">
        <f>O$13</f>
        <v>Auto-labeling for files and emails: "Client-side Auto-Labeling"</v>
      </c>
      <c r="P21" s="774"/>
      <c r="Q21" s="760" t="str">
        <f>IF('Groups &amp; Sites'!H33=TRUE,"Yes","No")</f>
        <v>No</v>
      </c>
      <c r="R21" s="758" t="str">
        <f>R$13</f>
        <v>Let Microsoft 365 Group owners add people outside your organization to the group as guests.</v>
      </c>
      <c r="S21" s="732" t="str">
        <f>IF('Groups &amp; Sites'!K32=TRUE,"Yes","No")</f>
        <v>No</v>
      </c>
      <c r="T21" s="759" t="str">
        <f>T$13</f>
        <v>Use Microsoft Entra Conditional Access to protect labeled SharePoint sites</v>
      </c>
      <c r="U21" s="773" t="str">
        <f>IF(OR('Groups &amp; Sites'!S34=TRUE,'Groups &amp; Sites'!S35=TRUE,'Groups &amp; Sites'!S36=TRUE),"Yes","No")</f>
        <v>No</v>
      </c>
      <c r="V21" s="717" t="str">
        <f>V$13</f>
        <v>Teams shared channels</v>
      </c>
    </row>
    <row r="22" spans="1:22" ht="15" thickBot="1" x14ac:dyDescent="0.4">
      <c r="A22" s="744"/>
      <c r="B22" s="731"/>
      <c r="C22" s="735"/>
      <c r="D22" s="738"/>
      <c r="E22" s="350" t="b">
        <f>'Sensitivity Labels'!F33</f>
        <v>0</v>
      </c>
      <c r="F22" s="351" t="str">
        <f>'Sensitivity Labels'!G33</f>
        <v>Groups &amp; Sites</v>
      </c>
      <c r="G22" s="729"/>
      <c r="H22" s="731"/>
      <c r="I22" s="733"/>
      <c r="J22" s="768"/>
      <c r="K22" s="352"/>
      <c r="L22" s="352"/>
      <c r="M22" s="352"/>
      <c r="N22" s="352"/>
      <c r="O22" s="766"/>
      <c r="P22" s="775"/>
      <c r="Q22" s="761"/>
      <c r="R22" s="759"/>
      <c r="S22" s="732"/>
      <c r="T22" s="759"/>
      <c r="U22" s="732"/>
      <c r="V22" s="718"/>
    </row>
    <row r="23" spans="1:22" ht="14.5" customHeight="1" x14ac:dyDescent="0.35">
      <c r="A23" s="746">
        <f>A19+1</f>
        <v>4</v>
      </c>
      <c r="B23" s="722" t="str">
        <f>'Sensitivity Labels'!C35</f>
        <v>Sub Label</v>
      </c>
      <c r="C23" s="739" t="str">
        <f>'Sensitivity Labels'!D35</f>
        <v>All Employees</v>
      </c>
      <c r="D23" s="559" t="str">
        <f>'Sensitivity Labels'!E35</f>
        <v>All Employees</v>
      </c>
      <c r="E23" s="60" t="b">
        <f>'Sensitivity Labels'!F35</f>
        <v>1</v>
      </c>
      <c r="F23" s="62" t="str">
        <f>'Sensitivity Labels'!G35</f>
        <v>Files &amp; Other Data assets</v>
      </c>
      <c r="G23" s="719" t="str">
        <f>'Sensitivity Labels'!I35</f>
        <v>Confidential data that requires protection, which allows all employees full permissions. Data owners can track and revoke content.</v>
      </c>
      <c r="H23" s="722">
        <f>'Sensitivity Labels'!J35</f>
        <v>0</v>
      </c>
      <c r="I23" s="725" t="str">
        <f>'Sensitivity Labels'!K35</f>
        <v>Orange</v>
      </c>
      <c r="J23" s="311" t="str">
        <f>IF(OR(M23=TRUE,M24=TRUE),"Encryption",(IF(K23=TRUE,"Remove Encryption","No Encryption")))</f>
        <v>Encryption</v>
      </c>
      <c r="K23" s="306" t="b">
        <f>'Emails, Files, &amp; Other Data'!H48</f>
        <v>0</v>
      </c>
      <c r="L23" s="307" t="str">
        <f>L19</f>
        <v>Remove access control settings if already applied to items</v>
      </c>
      <c r="M23" s="306" t="b">
        <f>'Emails, Files, &amp; Other Data'!J48</f>
        <v>1</v>
      </c>
      <c r="N23" s="307" t="str">
        <f>N19</f>
        <v>Assign Permissions now</v>
      </c>
      <c r="O23" s="312" t="str">
        <f>O$11</f>
        <v>Access Control</v>
      </c>
      <c r="P23" s="792" t="str">
        <f>IF(E25=TRUE,"Yes","No")</f>
        <v>Yes</v>
      </c>
      <c r="Q23" s="776" t="str">
        <f>IF(OR('Groups &amp; Sites'!H40=INputs!AN$3,'Groups &amp; Sites'!H40=INputs!AN$4),"Yes","No")</f>
        <v>Yes</v>
      </c>
      <c r="R23" s="778" t="str">
        <f>R$11</f>
        <v>Privacy and external user access</v>
      </c>
      <c r="S23" s="711" t="str">
        <f>IF('Groups &amp; Sites'!K40=TRUE,"Yes","No")</f>
        <v>Yes</v>
      </c>
      <c r="T23" s="778" t="str">
        <f>T$11</f>
        <v>Content can be shared with</v>
      </c>
      <c r="U23" s="711" t="str">
        <f>IF('Groups &amp; Sites'!S41=TRUE,"Yes","No")</f>
        <v>No</v>
      </c>
      <c r="V23" s="709" t="str">
        <f>V$11</f>
        <v>Allow users to discover private teams that have this label applied.</v>
      </c>
    </row>
    <row r="24" spans="1:22" ht="14.5" x14ac:dyDescent="0.35">
      <c r="A24" s="745"/>
      <c r="B24" s="723"/>
      <c r="C24" s="740"/>
      <c r="D24" s="560"/>
      <c r="E24" s="64" t="b">
        <f>'Sensitivity Labels'!F37</f>
        <v>1</v>
      </c>
      <c r="F24" t="str">
        <f>'Sensitivity Labels'!G37</f>
        <v>Emails</v>
      </c>
      <c r="G24" s="720"/>
      <c r="H24" s="723"/>
      <c r="I24" s="726"/>
      <c r="J24" s="313" t="str">
        <f>IF(OR('Emails, Files, &amp; Other Data'!X48=TRUE,'Emails, Files, &amp; Other Data'!X49=TRUE,'Emails, Files, &amp; Other Data'!X50=TRUE),"Yes","No")</f>
        <v>Yes</v>
      </c>
      <c r="K24" s="308"/>
      <c r="L24" s="308"/>
      <c r="M24" s="309" t="b">
        <f>'Emails, Files, &amp; Other Data'!J49</f>
        <v>0</v>
      </c>
      <c r="N24" s="308" t="str">
        <f>N20</f>
        <v>Let users assign permissions when they apply the label</v>
      </c>
      <c r="O24" s="314" t="str">
        <f>O$12</f>
        <v>Content Marking</v>
      </c>
      <c r="P24" s="793"/>
      <c r="Q24" s="777"/>
      <c r="R24" s="779"/>
      <c r="S24" s="712"/>
      <c r="T24" s="779"/>
      <c r="U24" s="712"/>
      <c r="V24" s="710"/>
    </row>
    <row r="25" spans="1:22" ht="14.5" customHeight="1" x14ac:dyDescent="0.35">
      <c r="A25" s="745"/>
      <c r="B25" s="723"/>
      <c r="C25" s="740"/>
      <c r="D25" s="560"/>
      <c r="E25" s="64" t="b">
        <f>'Sensitivity Labels'!F39</f>
        <v>1</v>
      </c>
      <c r="F25" t="str">
        <f>'Sensitivity Labels'!G39</f>
        <v>Meetings</v>
      </c>
      <c r="G25" s="720"/>
      <c r="H25" s="723"/>
      <c r="I25" s="726"/>
      <c r="J25" s="790" t="str">
        <f>IF('Emails, Files, &amp; Other Data'!AB48=TRUE,"Yes","No")</f>
        <v>No</v>
      </c>
      <c r="K25" s="308"/>
      <c r="L25" s="308"/>
      <c r="M25" s="308"/>
      <c r="N25" s="308"/>
      <c r="O25" s="788" t="str">
        <f>O$13</f>
        <v>Auto-labeling for files and emails: "Client-side Auto-Labeling"</v>
      </c>
      <c r="P25" s="793"/>
      <c r="Q25" s="786" t="str">
        <f>IF('Groups &amp; Sites'!H42=TRUE,"Yes","No")</f>
        <v>No</v>
      </c>
      <c r="R25" s="785" t="str">
        <f>R$13</f>
        <v>Let Microsoft 365 Group owners add people outside your organization to the group as guests.</v>
      </c>
      <c r="S25" s="780" t="str">
        <f>IF('Groups &amp; Sites'!K41=TRUE,"Yes","No")</f>
        <v>Yes</v>
      </c>
      <c r="T25" s="782" t="str">
        <f>T$13</f>
        <v>Use Microsoft Entra Conditional Access to protect labeled SharePoint sites</v>
      </c>
      <c r="U25" s="784" t="str">
        <f>IF(OR('Groups &amp; Sites'!S43=TRUE,'Groups &amp; Sites'!S44=TRUE,'Groups &amp; Sites'!S45=TRUE),"Yes","No")</f>
        <v>No</v>
      </c>
      <c r="V25" s="715" t="str">
        <f>V$13</f>
        <v>Teams shared channels</v>
      </c>
    </row>
    <row r="26" spans="1:22" ht="15" thickBot="1" x14ac:dyDescent="0.4">
      <c r="A26" s="747"/>
      <c r="B26" s="724"/>
      <c r="C26" s="741"/>
      <c r="D26" s="561"/>
      <c r="E26" s="69" t="b">
        <f>'Sensitivity Labels'!F41</f>
        <v>1</v>
      </c>
      <c r="F26" s="67" t="str">
        <f>'Sensitivity Labels'!G41</f>
        <v>Groups &amp; Sites</v>
      </c>
      <c r="G26" s="721"/>
      <c r="H26" s="724"/>
      <c r="I26" s="727"/>
      <c r="J26" s="791"/>
      <c r="K26" s="310"/>
      <c r="L26" s="310"/>
      <c r="M26" s="310"/>
      <c r="N26" s="310"/>
      <c r="O26" s="789"/>
      <c r="P26" s="794"/>
      <c r="Q26" s="787"/>
      <c r="R26" s="783"/>
      <c r="S26" s="781"/>
      <c r="T26" s="783"/>
      <c r="U26" s="781"/>
      <c r="V26" s="716"/>
    </row>
    <row r="27" spans="1:22" ht="14.5" customHeight="1" x14ac:dyDescent="0.35">
      <c r="A27" s="742">
        <f>A23+1</f>
        <v>5</v>
      </c>
      <c r="B27" s="730" t="str">
        <f>'Sensitivity Labels'!C43</f>
        <v>Sub Label</v>
      </c>
      <c r="C27" s="734" t="str">
        <f>'Sensitivity Labels'!D43</f>
        <v>Specific People</v>
      </c>
      <c r="D27" s="736" t="str">
        <f>'Sensitivity Labels'!E43</f>
        <v>Specific People</v>
      </c>
      <c r="E27" s="340" t="b">
        <f>'Sensitivity Labels'!F43</f>
        <v>1</v>
      </c>
      <c r="F27" s="341" t="str">
        <f>'Sensitivity Labels'!G43</f>
        <v>Files &amp; Other Data assets</v>
      </c>
      <c r="G27" s="728" t="str">
        <f>'Sensitivity Labels'!I43</f>
        <v>Confidential data that can be shared with trusted people inside and outside your organization. These people can also reshare the data as needed.</v>
      </c>
      <c r="H27" s="730">
        <f>'Sensitivity Labels'!J43</f>
        <v>0</v>
      </c>
      <c r="I27" s="732" t="str">
        <f>'Sensitivity Labels'!K43</f>
        <v>Orange</v>
      </c>
      <c r="J27" s="342" t="str">
        <f>IF(OR(M27=TRUE,M28=TRUE),"Encryption",(IF(K27=TRUE,"Remove Encryption","No Encryption")))</f>
        <v>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774" t="str">
        <f>IF(E29=TRUE,"Yes","No")</f>
        <v>Yes</v>
      </c>
      <c r="Q27" s="761" t="str">
        <f>IF(OR('Groups &amp; Sites'!H49=INputs!AN$3,'Groups &amp; Sites'!H49=INputs!AN$4),"Yes","No")</f>
        <v>Yes</v>
      </c>
      <c r="R27" s="762" t="str">
        <f>R$11</f>
        <v>Privacy and external user access</v>
      </c>
      <c r="S27" s="732" t="str">
        <f>IF('Groups &amp; Sites'!K49=TRUE,"Yes","No")</f>
        <v>Yes</v>
      </c>
      <c r="T27" s="762" t="str">
        <f>T$11</f>
        <v>Content can be shared with</v>
      </c>
      <c r="U27" s="732" t="str">
        <f>IF('Groups &amp; Sites'!S50=TRUE,"Yes","No")</f>
        <v>No</v>
      </c>
      <c r="V27" s="713" t="str">
        <f>V$11</f>
        <v>Allow users to discover private teams that have this label applied.</v>
      </c>
    </row>
    <row r="28" spans="1:22" ht="14.5" x14ac:dyDescent="0.35">
      <c r="A28" s="743"/>
      <c r="B28" s="730"/>
      <c r="C28" s="734"/>
      <c r="D28" s="737"/>
      <c r="E28" s="340" t="b">
        <f>'Sensitivity Labels'!F45</f>
        <v>1</v>
      </c>
      <c r="F28" s="341" t="str">
        <f>'Sensitivity Labels'!G45</f>
        <v>Emails</v>
      </c>
      <c r="G28" s="728"/>
      <c r="H28" s="730"/>
      <c r="I28" s="732"/>
      <c r="J28" s="346" t="str">
        <f>IF(OR('Emails, Files, &amp; Other Data'!X60=TRUE,'Emails, Files, &amp; Other Data'!X61=TRUE,'Emails, Files, &amp; Other Data'!X62=TRUE),"Yes","No")</f>
        <v>Yes</v>
      </c>
      <c r="K28" s="347"/>
      <c r="L28" s="347"/>
      <c r="M28" s="348" t="b">
        <f>'Emails, Files, &amp; Other Data'!J61</f>
        <v>1</v>
      </c>
      <c r="N28" s="347" t="str">
        <f>N24</f>
        <v>Let users assign permissions when they apply the label</v>
      </c>
      <c r="O28" s="349" t="str">
        <f>O$12</f>
        <v>Content Marking</v>
      </c>
      <c r="P28" s="774"/>
      <c r="Q28" s="764"/>
      <c r="R28" s="763"/>
      <c r="S28" s="757" t="str">
        <f>IF('Groups &amp; Sites'!K50=TRUE,"Yes","No")</f>
        <v>Yes</v>
      </c>
      <c r="T28" s="763" t="str">
        <f>T$13</f>
        <v>Use Microsoft Entra Conditional Access to protect labeled SharePoint sites</v>
      </c>
      <c r="U28" s="757"/>
      <c r="V28" s="714"/>
    </row>
    <row r="29" spans="1:22" ht="14.5" customHeight="1" x14ac:dyDescent="0.35">
      <c r="A29" s="743"/>
      <c r="B29" s="730"/>
      <c r="C29" s="734"/>
      <c r="D29" s="737"/>
      <c r="E29" s="340" t="b">
        <f>'Sensitivity Labels'!F47</f>
        <v>1</v>
      </c>
      <c r="F29" s="341" t="str">
        <f>'Sensitivity Labels'!G47</f>
        <v>Meetings</v>
      </c>
      <c r="G29" s="728"/>
      <c r="H29" s="730"/>
      <c r="I29" s="732"/>
      <c r="J29" s="767" t="str">
        <f>IF('Emails, Files, &amp; Other Data'!AB60=TRUE,"Yes","No")</f>
        <v>No</v>
      </c>
      <c r="K29" s="347"/>
      <c r="L29" s="347"/>
      <c r="M29" s="347"/>
      <c r="N29" s="347"/>
      <c r="O29" s="765" t="str">
        <f>O$13</f>
        <v>Auto-labeling for files and emails: "Client-side Auto-Labeling"</v>
      </c>
      <c r="P29" s="774"/>
      <c r="Q29" s="760" t="str">
        <f>IF('Groups &amp; Sites'!H51=TRUE,"Yes","No")</f>
        <v>Yes</v>
      </c>
      <c r="R29" s="758" t="str">
        <f>R$13</f>
        <v>Let Microsoft 365 Group owners add people outside your organization to the group as guests.</v>
      </c>
      <c r="S29" s="732" t="str">
        <f>IF('Groups &amp; Sites'!K51=TRUE,"Yes","No")</f>
        <v>No</v>
      </c>
      <c r="T29" s="759" t="str">
        <f>T$13</f>
        <v>Use Microsoft Entra Conditional Access to protect labeled SharePoint sites</v>
      </c>
      <c r="U29" s="773" t="str">
        <f>IF(OR('Groups &amp; Sites'!S52=TRUE,'Groups &amp; Sites'!S53=TRUE,'Groups &amp; Sites'!S54=TRUE),"Yes","No")</f>
        <v>No</v>
      </c>
      <c r="V29" s="717" t="str">
        <f>V$13</f>
        <v>Teams shared channels</v>
      </c>
    </row>
    <row r="30" spans="1:22" ht="15" thickBot="1" x14ac:dyDescent="0.4">
      <c r="A30" s="744"/>
      <c r="B30" s="731"/>
      <c r="C30" s="735"/>
      <c r="D30" s="738"/>
      <c r="E30" s="350" t="b">
        <f>'Sensitivity Labels'!F49</f>
        <v>1</v>
      </c>
      <c r="F30" s="351" t="str">
        <f>'Sensitivity Labels'!G49</f>
        <v>Groups &amp; Sites</v>
      </c>
      <c r="G30" s="729"/>
      <c r="H30" s="731"/>
      <c r="I30" s="733"/>
      <c r="J30" s="768"/>
      <c r="K30" s="352"/>
      <c r="L30" s="352"/>
      <c r="M30" s="352"/>
      <c r="N30" s="352"/>
      <c r="O30" s="766"/>
      <c r="P30" s="775"/>
      <c r="Q30" s="761"/>
      <c r="R30" s="759"/>
      <c r="S30" s="732" t="str">
        <f>IF('Groups &amp; Sites'!K52=TRUE,"Yes","No")</f>
        <v>No</v>
      </c>
      <c r="T30" s="759"/>
      <c r="U30" s="732"/>
      <c r="V30" s="718"/>
    </row>
    <row r="31" spans="1:22" ht="14.5" customHeight="1" x14ac:dyDescent="0.35">
      <c r="A31" s="746">
        <f>A27+1</f>
        <v>6</v>
      </c>
      <c r="B31" s="722" t="str">
        <f>'Sensitivity Labels'!C51</f>
        <v>Sub Label</v>
      </c>
      <c r="C31" s="739"/>
      <c r="D31" s="559" t="str">
        <f>'Sensitivity Labels'!E51</f>
        <v>Internal exception</v>
      </c>
      <c r="E31" s="60" t="b">
        <f>'Sensitivity Labels'!F51</f>
        <v>1</v>
      </c>
      <c r="F31" s="62" t="str">
        <f>'Sensitivity Labels'!G51</f>
        <v>Files &amp; Other Data assets</v>
      </c>
      <c r="G31" s="719" t="str">
        <f>'Sensitivity Labels'!I51</f>
        <v>Confidential data that doesn’t need to be encrypted. Use this option with care and appropriate business justification.</v>
      </c>
      <c r="H31" s="722">
        <f>'Sensitivity Labels'!J51</f>
        <v>0</v>
      </c>
      <c r="I31" s="725" t="str">
        <f>'Sensitivity Labels'!K51</f>
        <v>Orange</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792" t="str">
        <f>IF(E33=TRUE,"Yes","No")</f>
        <v>Yes</v>
      </c>
      <c r="Q31" s="776" t="str">
        <f>IF(OR('Groups &amp; Sites'!H58=INputs!AN$3,'Groups &amp; Sites'!H58=INputs!AN$4),"Yes","No")</f>
        <v>No</v>
      </c>
      <c r="R31" s="778" t="str">
        <f>R$11</f>
        <v>Privacy and external user access</v>
      </c>
      <c r="S31" s="711" t="str">
        <f>IF('Groups &amp; Sites'!K58=TRUE,"Yes","No")</f>
        <v>No</v>
      </c>
      <c r="T31" s="778" t="str">
        <f>T$11</f>
        <v>Content can be shared with</v>
      </c>
      <c r="U31" s="711" t="str">
        <f>IF('Groups &amp; Sites'!S59=TRUE,"Yes","No")</f>
        <v>No</v>
      </c>
      <c r="V31" s="709" t="str">
        <f>V$11</f>
        <v>Allow users to discover private teams that have this label applied.</v>
      </c>
    </row>
    <row r="32" spans="1:22" ht="14.5" x14ac:dyDescent="0.35">
      <c r="A32" s="745"/>
      <c r="B32" s="723">
        <f>'Sensitivity Labels'!C53</f>
        <v>0</v>
      </c>
      <c r="C32" s="740">
        <f>'Sensitivity Labels'!D53</f>
        <v>0</v>
      </c>
      <c r="D32" s="560">
        <f>'Sensitivity Labels'!E53</f>
        <v>0</v>
      </c>
      <c r="E32" s="64" t="b">
        <f>'Sensitivity Labels'!F53</f>
        <v>1</v>
      </c>
      <c r="F32" t="str">
        <f>'Sensitivity Labels'!G53</f>
        <v>Emails</v>
      </c>
      <c r="G32" s="720"/>
      <c r="H32" s="723"/>
      <c r="I32" s="726"/>
      <c r="J32" s="313" t="str">
        <f>IF(OR('Emails, Files, &amp; Other Data'!X72=TRUE,'Emails, Files, &amp; Other Data'!X73=TRUE,'Emails, Files, &amp; Other Data'!X74=TRUE),"Yes","No")</f>
        <v>Yes</v>
      </c>
      <c r="K32" s="308"/>
      <c r="L32" s="308"/>
      <c r="M32" s="309" t="b">
        <f>'Emails, Files, &amp; Other Data'!J73</f>
        <v>0</v>
      </c>
      <c r="N32" s="308" t="str">
        <f>N28</f>
        <v>Let users assign permissions when they apply the label</v>
      </c>
      <c r="O32" s="314" t="str">
        <f>O$12</f>
        <v>Content Marking</v>
      </c>
      <c r="P32" s="793"/>
      <c r="Q32" s="777"/>
      <c r="R32" s="779"/>
      <c r="S32" s="712"/>
      <c r="T32" s="779"/>
      <c r="U32" s="712"/>
      <c r="V32" s="710"/>
    </row>
    <row r="33" spans="1:22" ht="14.5" customHeight="1" x14ac:dyDescent="0.35">
      <c r="A33" s="745"/>
      <c r="B33" s="723"/>
      <c r="C33" s="740"/>
      <c r="D33" s="560"/>
      <c r="E33" s="64" t="b">
        <f>'Sensitivity Labels'!F55</f>
        <v>1</v>
      </c>
      <c r="F33" t="str">
        <f>'Sensitivity Labels'!G55</f>
        <v>Meetings</v>
      </c>
      <c r="G33" s="720"/>
      <c r="H33" s="723"/>
      <c r="I33" s="726"/>
      <c r="J33" s="790" t="str">
        <f>IF('Emails, Files, &amp; Other Data'!AB72=TRUE,"Yes","No")</f>
        <v>No</v>
      </c>
      <c r="K33" s="308"/>
      <c r="L33" s="308"/>
      <c r="M33" s="308"/>
      <c r="N33" s="308"/>
      <c r="O33" s="788" t="str">
        <f>O$13</f>
        <v>Auto-labeling for files and emails: "Client-side Auto-Labeling"</v>
      </c>
      <c r="P33" s="793"/>
      <c r="Q33" s="786" t="str">
        <f>IF('Groups &amp; Sites'!H60=TRUE,"Yes","No")</f>
        <v>No</v>
      </c>
      <c r="R33" s="785" t="str">
        <f>R$13</f>
        <v>Let Microsoft 365 Group owners add people outside your organization to the group as guests.</v>
      </c>
      <c r="S33" s="780" t="str">
        <f>IF('Groups &amp; Sites'!K59=TRUE,"Yes","No")</f>
        <v>No</v>
      </c>
      <c r="T33" s="782" t="str">
        <f>T$13</f>
        <v>Use Microsoft Entra Conditional Access to protect labeled SharePoint sites</v>
      </c>
      <c r="U33" s="784" t="str">
        <f>IF(OR('Groups &amp; Sites'!S61=TRUE,'Groups &amp; Sites'!S62=TRUE,'Groups &amp; Sites'!S63=TRUE),"Yes","No")</f>
        <v>No</v>
      </c>
      <c r="V33" s="715" t="str">
        <f>V$13</f>
        <v>Teams shared channels</v>
      </c>
    </row>
    <row r="34" spans="1:22" ht="15" thickBot="1" x14ac:dyDescent="0.4">
      <c r="A34" s="747"/>
      <c r="B34" s="724"/>
      <c r="C34" s="741"/>
      <c r="D34" s="561"/>
      <c r="E34" s="69" t="b">
        <f>'Sensitivity Labels'!F57</f>
        <v>1</v>
      </c>
      <c r="F34" s="67" t="str">
        <f>'Sensitivity Labels'!G57</f>
        <v>Groups &amp; Sites</v>
      </c>
      <c r="G34" s="721"/>
      <c r="H34" s="724"/>
      <c r="I34" s="727"/>
      <c r="J34" s="791"/>
      <c r="K34" s="310"/>
      <c r="L34" s="310"/>
      <c r="M34" s="310"/>
      <c r="N34" s="310"/>
      <c r="O34" s="789"/>
      <c r="P34" s="794"/>
      <c r="Q34" s="787"/>
      <c r="R34" s="783"/>
      <c r="S34" s="781"/>
      <c r="T34" s="783"/>
      <c r="U34" s="781"/>
      <c r="V34" s="716"/>
    </row>
    <row r="35" spans="1:22" ht="14.5" customHeight="1" x14ac:dyDescent="0.35">
      <c r="A35" s="742">
        <f>A31+1</f>
        <v>7</v>
      </c>
      <c r="B35" s="730" t="str">
        <f>'Sensitivity Labels'!C59</f>
        <v>Parent Label</v>
      </c>
      <c r="C35" s="734" t="str">
        <f>'Sensitivity Labels'!D59</f>
        <v>Highly Confidential</v>
      </c>
      <c r="D35" s="736" t="str">
        <f>'Sensitivity Labels'!E59</f>
        <v>Highly Confidential</v>
      </c>
      <c r="E35" s="340" t="b">
        <f>'Sensitivity Labels'!F59</f>
        <v>0</v>
      </c>
      <c r="F35" s="341" t="str">
        <f>'Sensitivity Labels'!G59</f>
        <v>Files &amp; Other Data assets</v>
      </c>
      <c r="G35" s="728">
        <f>'Sensitivity Labels'!I59</f>
        <v>0</v>
      </c>
      <c r="H35" s="730">
        <f>'Sensitivity Labels'!J59</f>
        <v>0</v>
      </c>
      <c r="I35" s="732" t="str">
        <f>'Sensitivity Labels'!K59</f>
        <v>Amber</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774" t="str">
        <f>IF(E37=TRUE,"Yes","No")</f>
        <v>No</v>
      </c>
      <c r="Q35" s="761" t="str">
        <f>IF(OR('Groups &amp; Sites'!H67=INputs!AN$3,'Groups &amp; Sites'!H67=INputs!AN$4),"Yes","No")</f>
        <v>No</v>
      </c>
      <c r="R35" s="762" t="str">
        <f>R$11</f>
        <v>Privacy and external user access</v>
      </c>
      <c r="S35" s="732" t="str">
        <f>IF('Groups &amp; Sites'!K67=TRUE,"Yes","No")</f>
        <v>No</v>
      </c>
      <c r="T35" s="762" t="str">
        <f>T$11</f>
        <v>Content can be shared with</v>
      </c>
      <c r="U35" s="732" t="str">
        <f>IF('Groups &amp; Sites'!S68=TRUE,"Yes","No")</f>
        <v>No</v>
      </c>
      <c r="V35" s="713" t="str">
        <f>V$11</f>
        <v>Allow users to discover private teams that have this label applied.</v>
      </c>
    </row>
    <row r="36" spans="1:22" ht="14.5" x14ac:dyDescent="0.35">
      <c r="A36" s="743"/>
      <c r="B36" s="730"/>
      <c r="C36" s="734"/>
      <c r="D36" s="737"/>
      <c r="E36" s="340" t="b">
        <f>'Sensitivity Labels'!F61</f>
        <v>0</v>
      </c>
      <c r="F36" s="341" t="str">
        <f>'Sensitivity Labels'!G61</f>
        <v>Emails</v>
      </c>
      <c r="G36" s="728"/>
      <c r="H36" s="730"/>
      <c r="I36" s="732"/>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774"/>
      <c r="Q36" s="764"/>
      <c r="R36" s="763"/>
      <c r="S36" s="757"/>
      <c r="T36" s="763"/>
      <c r="U36" s="757"/>
      <c r="V36" s="714"/>
    </row>
    <row r="37" spans="1:22" ht="14.5" customHeight="1" x14ac:dyDescent="0.35">
      <c r="A37" s="743"/>
      <c r="B37" s="730"/>
      <c r="C37" s="734"/>
      <c r="D37" s="737"/>
      <c r="E37" s="340" t="b">
        <f>'Sensitivity Labels'!F63</f>
        <v>0</v>
      </c>
      <c r="F37" s="341" t="str">
        <f>'Sensitivity Labels'!G63</f>
        <v>Meetings</v>
      </c>
      <c r="G37" s="728"/>
      <c r="H37" s="730"/>
      <c r="I37" s="732"/>
      <c r="J37" s="767" t="str">
        <f>IF('Emails, Files, &amp; Other Data'!AB84=TRUE,"Yes","No")</f>
        <v>No</v>
      </c>
      <c r="K37" s="347"/>
      <c r="L37" s="347"/>
      <c r="M37" s="347"/>
      <c r="N37" s="347"/>
      <c r="O37" s="765" t="str">
        <f>O$13</f>
        <v>Auto-labeling for files and emails: "Client-side Auto-Labeling"</v>
      </c>
      <c r="P37" s="774"/>
      <c r="Q37" s="760" t="str">
        <f>IF('Groups &amp; Sites'!H69=TRUE,"Yes","No")</f>
        <v>No</v>
      </c>
      <c r="R37" s="758" t="str">
        <f>R$13</f>
        <v>Let Microsoft 365 Group owners add people outside your organization to the group as guests.</v>
      </c>
      <c r="S37" s="732" t="str">
        <f>IF('Groups &amp; Sites'!K68=TRUE,"Yes","No")</f>
        <v>No</v>
      </c>
      <c r="T37" s="759" t="str">
        <f>T$13</f>
        <v>Use Microsoft Entra Conditional Access to protect labeled SharePoint sites</v>
      </c>
      <c r="U37" s="773" t="str">
        <f>IF(OR('Groups &amp; Sites'!S70=TRUE,'Groups &amp; Sites'!S71=TRUE,'Groups &amp; Sites'!S72=TRUE),"Yes","No")</f>
        <v>No</v>
      </c>
      <c r="V37" s="717" t="str">
        <f>V$13</f>
        <v>Teams shared channels</v>
      </c>
    </row>
    <row r="38" spans="1:22" ht="15" thickBot="1" x14ac:dyDescent="0.4">
      <c r="A38" s="744"/>
      <c r="B38" s="731"/>
      <c r="C38" s="735"/>
      <c r="D38" s="738"/>
      <c r="E38" s="350" t="b">
        <f>'Sensitivity Labels'!F65</f>
        <v>0</v>
      </c>
      <c r="F38" s="351" t="str">
        <f>'Sensitivity Labels'!G65</f>
        <v>Groups &amp; Sites</v>
      </c>
      <c r="G38" s="729"/>
      <c r="H38" s="731"/>
      <c r="I38" s="733"/>
      <c r="J38" s="768"/>
      <c r="K38" s="352"/>
      <c r="L38" s="352"/>
      <c r="M38" s="352"/>
      <c r="N38" s="352"/>
      <c r="O38" s="766"/>
      <c r="P38" s="775"/>
      <c r="Q38" s="761"/>
      <c r="R38" s="759"/>
      <c r="S38" s="732"/>
      <c r="T38" s="759"/>
      <c r="U38" s="732"/>
      <c r="V38" s="718"/>
    </row>
    <row r="39" spans="1:22" ht="14.5" customHeight="1" x14ac:dyDescent="0.35">
      <c r="A39" s="746">
        <f>A35+1</f>
        <v>8</v>
      </c>
      <c r="B39" s="722" t="str">
        <f>'Sensitivity Labels'!C67</f>
        <v>Sub Label</v>
      </c>
      <c r="C39" s="739" t="str">
        <f>'Sensitivity Labels'!D67</f>
        <v>All Employees</v>
      </c>
      <c r="D39" s="559" t="str">
        <f>'Sensitivity Labels'!E67</f>
        <v>All Employees</v>
      </c>
      <c r="E39" s="60" t="b">
        <f>'Sensitivity Labels'!F67</f>
        <v>1</v>
      </c>
      <c r="F39" s="62" t="str">
        <f>'Sensitivity Labels'!G67</f>
        <v>Files &amp; Other Data assets</v>
      </c>
      <c r="G39" s="719" t="str">
        <f>'Sensitivity Labels'!I67</f>
        <v>Highly confidential data that allows all employees view, edit, and reply permissions to this content. Data owners can track and revoke content.</v>
      </c>
      <c r="H39" s="722">
        <f>'Sensitivity Labels'!J67</f>
        <v>0</v>
      </c>
      <c r="I39" s="725" t="str">
        <f>'Sensitivity Labels'!K67</f>
        <v>Amber</v>
      </c>
      <c r="J39" s="311" t="str">
        <f>IF(OR(M39=TRUE,M40=TRUE),"Encryption",(IF(K39=TRUE,"Remove Encryption","No Encryption")))</f>
        <v>Encryption</v>
      </c>
      <c r="K39" s="306" t="b">
        <f>'Emails, Files, &amp; Other Data'!H96</f>
        <v>0</v>
      </c>
      <c r="L39" s="307" t="str">
        <f>L35</f>
        <v>Remove access control settings if already applied to items</v>
      </c>
      <c r="M39" s="306" t="b">
        <f>'Emails, Files, &amp; Other Data'!J96</f>
        <v>1</v>
      </c>
      <c r="N39" s="307" t="str">
        <f>N35</f>
        <v>Assign Permissions now</v>
      </c>
      <c r="O39" s="312" t="str">
        <f>O$11</f>
        <v>Access Control</v>
      </c>
      <c r="P39" s="792" t="str">
        <f>IF(E41=TRUE,"Yes","No")</f>
        <v>Yes</v>
      </c>
      <c r="Q39" s="776" t="str">
        <f>IF(OR('Groups &amp; Sites'!H76=INputs!AN$3,'Groups &amp; Sites'!H76=INputs!AN$4),"Yes","No")</f>
        <v>Yes</v>
      </c>
      <c r="R39" s="778" t="str">
        <f>R$11</f>
        <v>Privacy and external user access</v>
      </c>
      <c r="S39" s="711" t="str">
        <f>IF('Groups &amp; Sites'!K76=TRUE,"Yes","No")</f>
        <v>Yes</v>
      </c>
      <c r="T39" s="778" t="str">
        <f>T$11</f>
        <v>Content can be shared with</v>
      </c>
      <c r="U39" s="711" t="str">
        <f>IF('Groups &amp; Sites'!S77=TRUE,"Yes","No")</f>
        <v>No</v>
      </c>
      <c r="V39" s="709" t="str">
        <f>V$11</f>
        <v>Allow users to discover private teams that have this label applied.</v>
      </c>
    </row>
    <row r="40" spans="1:22" ht="14.5" x14ac:dyDescent="0.35">
      <c r="A40" s="745"/>
      <c r="B40" s="723"/>
      <c r="C40" s="740"/>
      <c r="D40" s="560"/>
      <c r="E40" s="64" t="b">
        <f>'Sensitivity Labels'!F69</f>
        <v>1</v>
      </c>
      <c r="F40" t="str">
        <f>'Sensitivity Labels'!G69</f>
        <v>Emails</v>
      </c>
      <c r="G40" s="720"/>
      <c r="H40" s="723"/>
      <c r="I40" s="726"/>
      <c r="J40" s="313" t="str">
        <f>IF(OR('Emails, Files, &amp; Other Data'!X96=TRUE,'Emails, Files, &amp; Other Data'!X97=TRUE,'Emails, Files, &amp; Other Data'!X98=TRUE),"Yes","No")</f>
        <v>Yes</v>
      </c>
      <c r="K40" s="308"/>
      <c r="L40" s="308"/>
      <c r="M40" s="309" t="b">
        <f>'Emails, Files, &amp; Other Data'!J97</f>
        <v>0</v>
      </c>
      <c r="N40" s="308" t="str">
        <f>N36</f>
        <v>Let users assign permissions when they apply the label</v>
      </c>
      <c r="O40" s="314" t="str">
        <f>O$12</f>
        <v>Content Marking</v>
      </c>
      <c r="P40" s="793"/>
      <c r="Q40" s="777"/>
      <c r="R40" s="779"/>
      <c r="S40" s="712"/>
      <c r="T40" s="779"/>
      <c r="U40" s="712"/>
      <c r="V40" s="710"/>
    </row>
    <row r="41" spans="1:22" ht="14.5" customHeight="1" x14ac:dyDescent="0.35">
      <c r="A41" s="745"/>
      <c r="B41" s="723"/>
      <c r="C41" s="740"/>
      <c r="D41" s="560"/>
      <c r="E41" s="64" t="b">
        <f>'Sensitivity Labels'!F71</f>
        <v>1</v>
      </c>
      <c r="F41" t="str">
        <f>'Sensitivity Labels'!G71</f>
        <v>Meetings</v>
      </c>
      <c r="G41" s="720"/>
      <c r="H41" s="723"/>
      <c r="I41" s="726"/>
      <c r="J41" s="790" t="str">
        <f>IF('Emails, Files, &amp; Other Data'!AB96=TRUE,"Yes","No")</f>
        <v>Yes</v>
      </c>
      <c r="K41" s="308"/>
      <c r="L41" s="308"/>
      <c r="M41" s="308"/>
      <c r="N41" s="308"/>
      <c r="O41" s="788" t="str">
        <f>O$13</f>
        <v>Auto-labeling for files and emails: "Client-side Auto-Labeling"</v>
      </c>
      <c r="P41" s="793"/>
      <c r="Q41" s="786" t="str">
        <f>IF('Groups &amp; Sites'!H78=TRUE,"Yes","No")</f>
        <v>No</v>
      </c>
      <c r="R41" s="785" t="str">
        <f>R$13</f>
        <v>Let Microsoft 365 Group owners add people outside your organization to the group as guests.</v>
      </c>
      <c r="S41" s="780" t="str">
        <f>IF('Groups &amp; Sites'!K77=TRUE,"Yes","No")</f>
        <v>Yes</v>
      </c>
      <c r="T41" s="782" t="str">
        <f>T$13</f>
        <v>Use Microsoft Entra Conditional Access to protect labeled SharePoint sites</v>
      </c>
      <c r="U41" s="784" t="str">
        <f>IF(OR('Groups &amp; Sites'!S79=TRUE,'Groups &amp; Sites'!S80=TRUE,'Groups &amp; Sites'!S81=TRUE),"Yes","No")</f>
        <v>No</v>
      </c>
      <c r="V41" s="715" t="str">
        <f>V$13</f>
        <v>Teams shared channels</v>
      </c>
    </row>
    <row r="42" spans="1:22" ht="15" thickBot="1" x14ac:dyDescent="0.4">
      <c r="A42" s="745"/>
      <c r="B42" s="724"/>
      <c r="C42" s="741"/>
      <c r="D42" s="561"/>
      <c r="E42" s="69" t="b">
        <f>'Sensitivity Labels'!F73</f>
        <v>1</v>
      </c>
      <c r="F42" s="67" t="str">
        <f>'Sensitivity Labels'!G73</f>
        <v>Groups &amp; Sites</v>
      </c>
      <c r="G42" s="721"/>
      <c r="H42" s="724"/>
      <c r="I42" s="727"/>
      <c r="J42" s="791"/>
      <c r="K42" s="310"/>
      <c r="L42" s="310"/>
      <c r="M42" s="310"/>
      <c r="N42" s="310"/>
      <c r="O42" s="789"/>
      <c r="P42" s="794"/>
      <c r="Q42" s="787"/>
      <c r="R42" s="783"/>
      <c r="S42" s="781"/>
      <c r="T42" s="783"/>
      <c r="U42" s="781"/>
      <c r="V42" s="716"/>
    </row>
    <row r="43" spans="1:22" ht="14.5" customHeight="1" x14ac:dyDescent="0.35">
      <c r="A43" s="742">
        <f>A39+1</f>
        <v>9</v>
      </c>
      <c r="B43" s="730" t="str">
        <f>'Sensitivity Labels'!C75</f>
        <v>Sub Label</v>
      </c>
      <c r="C43" s="734" t="str">
        <f>'Sensitivity Labels'!D75</f>
        <v>Specific People</v>
      </c>
      <c r="D43" s="736" t="str">
        <f>'Sensitivity Labels'!E75</f>
        <v>Specific People</v>
      </c>
      <c r="E43" s="340" t="b">
        <f>'Sensitivity Labels'!F75</f>
        <v>1</v>
      </c>
      <c r="F43" s="341" t="str">
        <f>'Sensitivity Labels'!G75</f>
        <v>Files &amp; Other Data assets</v>
      </c>
      <c r="G43" s="728" t="str">
        <f>'Sensitivity Labels'!I75</f>
        <v>Highly confidential data that requires protection and can be viewed only by people you specify and with the permission level you choose.</v>
      </c>
      <c r="H43" s="730">
        <f>'Sensitivity Labels'!J75</f>
        <v>0</v>
      </c>
      <c r="I43" s="732" t="str">
        <f>'Sensitivity Labels'!K75</f>
        <v>Amber</v>
      </c>
      <c r="J43" s="342" t="str">
        <f>IF(OR(M43=TRUE,M44=TRUE),"Encryption",(IF(K43=TRUE,"Remove Encryption","No Encryption")))</f>
        <v>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774" t="str">
        <f>IF(E45=TRUE,"Yes","No")</f>
        <v>Yes</v>
      </c>
      <c r="Q43" s="761" t="str">
        <f>IF(OR('Groups &amp; Sites'!H85=INputs!AN$3,'Groups &amp; Sites'!H85=INputs!AN$4),"Yes","No")</f>
        <v>Yes</v>
      </c>
      <c r="R43" s="762" t="str">
        <f>R$11</f>
        <v>Privacy and external user access</v>
      </c>
      <c r="S43" s="732" t="str">
        <f>IF('Groups &amp; Sites'!K85=TRUE,"Yes","No")</f>
        <v>Yes</v>
      </c>
      <c r="T43" s="762" t="str">
        <f>T$11</f>
        <v>Content can be shared with</v>
      </c>
      <c r="U43" s="732" t="str">
        <f>IF('Groups &amp; Sites'!S86=TRUE,"Yes","No")</f>
        <v>No</v>
      </c>
      <c r="V43" s="713" t="str">
        <f>V$11</f>
        <v>Allow users to discover private teams that have this label applied.</v>
      </c>
    </row>
    <row r="44" spans="1:22" ht="14.5" x14ac:dyDescent="0.35">
      <c r="A44" s="743"/>
      <c r="B44" s="730"/>
      <c r="C44" s="734"/>
      <c r="D44" s="737"/>
      <c r="E44" s="340" t="b">
        <f>'Sensitivity Labels'!F77</f>
        <v>1</v>
      </c>
      <c r="F44" s="341" t="str">
        <f>'Sensitivity Labels'!G77</f>
        <v>Emails</v>
      </c>
      <c r="G44" s="728"/>
      <c r="H44" s="730"/>
      <c r="I44" s="732"/>
      <c r="J44" s="346" t="str">
        <f>IF(OR('Emails, Files, &amp; Other Data'!X108=TRUE,'Emails, Files, &amp; Other Data'!X109=TRUE,'Emails, Files, &amp; Other Data'!X110=TRUE),"Yes","No")</f>
        <v>Yes</v>
      </c>
      <c r="K44" s="347"/>
      <c r="L44" s="347"/>
      <c r="M44" s="348" t="b">
        <f>'Emails, Files, &amp; Other Data'!J109</f>
        <v>1</v>
      </c>
      <c r="N44" s="347" t="str">
        <f>N40</f>
        <v>Let users assign permissions when they apply the label</v>
      </c>
      <c r="O44" s="349" t="str">
        <f>O$12</f>
        <v>Content Marking</v>
      </c>
      <c r="P44" s="774"/>
      <c r="Q44" s="764"/>
      <c r="R44" s="763"/>
      <c r="S44" s="757"/>
      <c r="T44" s="763"/>
      <c r="U44" s="757"/>
      <c r="V44" s="714"/>
    </row>
    <row r="45" spans="1:22" ht="14.5" customHeight="1" x14ac:dyDescent="0.35">
      <c r="A45" s="743"/>
      <c r="B45" s="730"/>
      <c r="C45" s="734"/>
      <c r="D45" s="737"/>
      <c r="E45" s="340" t="b">
        <f>'Sensitivity Labels'!F79</f>
        <v>1</v>
      </c>
      <c r="F45" s="341" t="str">
        <f>'Sensitivity Labels'!G79</f>
        <v>Meetings</v>
      </c>
      <c r="G45" s="728"/>
      <c r="H45" s="730"/>
      <c r="I45" s="732"/>
      <c r="J45" s="767" t="str">
        <f>IF('Emails, Files, &amp; Other Data'!AB108=TRUE,"Yes","No")</f>
        <v>No</v>
      </c>
      <c r="K45" s="347"/>
      <c r="L45" s="347"/>
      <c r="M45" s="347"/>
      <c r="N45" s="347"/>
      <c r="O45" s="765" t="str">
        <f>O$13</f>
        <v>Auto-labeling for files and emails: "Client-side Auto-Labeling"</v>
      </c>
      <c r="P45" s="774"/>
      <c r="Q45" s="760" t="str">
        <f>IF('Groups &amp; Sites'!H87=TRUE,"Yes","No")</f>
        <v>Yes</v>
      </c>
      <c r="R45" s="758" t="str">
        <f>R$13</f>
        <v>Let Microsoft 365 Group owners add people outside your organization to the group as guests.</v>
      </c>
      <c r="S45" s="732" t="str">
        <f>IF('Groups &amp; Sites'!K86=TRUE,"Yes","No")</f>
        <v>Yes</v>
      </c>
      <c r="T45" s="759" t="str">
        <f>T$13</f>
        <v>Use Microsoft Entra Conditional Access to protect labeled SharePoint sites</v>
      </c>
      <c r="U45" s="773" t="str">
        <f>IF(OR('Groups &amp; Sites'!S88=TRUE,'Groups &amp; Sites'!S89=TRUE,'Groups &amp; Sites'!S90=TRUE),"Yes","No")</f>
        <v>No</v>
      </c>
      <c r="V45" s="717" t="str">
        <f>V$13</f>
        <v>Teams shared channels</v>
      </c>
    </row>
    <row r="46" spans="1:22" ht="15" thickBot="1" x14ac:dyDescent="0.4">
      <c r="A46" s="744"/>
      <c r="B46" s="731"/>
      <c r="C46" s="735"/>
      <c r="D46" s="738"/>
      <c r="E46" s="350" t="b">
        <f>'Sensitivity Labels'!F81</f>
        <v>1</v>
      </c>
      <c r="F46" s="351" t="str">
        <f>'Sensitivity Labels'!G81</f>
        <v>Groups &amp; Sites</v>
      </c>
      <c r="G46" s="729"/>
      <c r="H46" s="731"/>
      <c r="I46" s="733"/>
      <c r="J46" s="768"/>
      <c r="K46" s="352"/>
      <c r="L46" s="352"/>
      <c r="M46" s="352"/>
      <c r="N46" s="352"/>
      <c r="O46" s="766"/>
      <c r="P46" s="775"/>
      <c r="Q46" s="761"/>
      <c r="R46" s="759"/>
      <c r="S46" s="732"/>
      <c r="T46" s="759"/>
      <c r="U46" s="732"/>
      <c r="V46" s="718"/>
    </row>
    <row r="47" spans="1:22" ht="14.5" customHeight="1" x14ac:dyDescent="0.35">
      <c r="A47" s="745">
        <f>A43+1</f>
        <v>10</v>
      </c>
      <c r="B47" s="722" t="str">
        <f>'Sensitivity Labels'!C83</f>
        <v>Sub Label</v>
      </c>
      <c r="C47" s="739" t="str">
        <f>'Sensitivity Labels'!D83</f>
        <v>Internal exception</v>
      </c>
      <c r="D47" s="559" t="str">
        <f>'Sensitivity Labels'!E83</f>
        <v>Internal exception</v>
      </c>
      <c r="E47" s="60" t="b">
        <f>'Sensitivity Labels'!F83</f>
        <v>1</v>
      </c>
      <c r="F47" s="62" t="str">
        <f>'Sensitivity Labels'!G83</f>
        <v>Files &amp; Other Data assets</v>
      </c>
      <c r="G47" s="719" t="str">
        <f>'Sensitivity Labels'!I83</f>
        <v>Highly confidential data that doesn’t need to be encrypted. Use this option with care and appropriate business justification.</v>
      </c>
      <c r="H47" s="722">
        <f>'Sensitivity Labels'!J83</f>
        <v>0</v>
      </c>
      <c r="I47" s="725" t="str">
        <f>'Sensitivity Labels'!K83</f>
        <v>Amber</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792" t="str">
        <f>IF(E49=TRUE,"Yes","No")</f>
        <v>Yes</v>
      </c>
      <c r="Q47" s="776" t="str">
        <f>IF(OR('Groups &amp; Sites'!H94=INputs!AN$3,'Groups &amp; Sites'!H94=INputs!AN$4),"Yes","No")</f>
        <v>No</v>
      </c>
      <c r="R47" s="778" t="str">
        <f>R$11</f>
        <v>Privacy and external user access</v>
      </c>
      <c r="S47" s="711" t="str">
        <f>IF('Groups &amp; Sites'!K94=TRUE,"Yes","No")</f>
        <v>No</v>
      </c>
      <c r="T47" s="778" t="str">
        <f>T$11</f>
        <v>Content can be shared with</v>
      </c>
      <c r="U47" s="711" t="str">
        <f>IF('Groups &amp; Sites'!S95=TRUE,"Yes","No")</f>
        <v>No</v>
      </c>
      <c r="V47" s="709" t="str">
        <f>V$11</f>
        <v>Allow users to discover private teams that have this label applied.</v>
      </c>
    </row>
    <row r="48" spans="1:22" ht="14.5" x14ac:dyDescent="0.35">
      <c r="A48" s="745"/>
      <c r="B48" s="723"/>
      <c r="C48" s="740"/>
      <c r="D48" s="560"/>
      <c r="E48" s="64" t="b">
        <f>'Sensitivity Labels'!F85</f>
        <v>1</v>
      </c>
      <c r="F48" t="str">
        <f>'Sensitivity Labels'!G85</f>
        <v>Emails</v>
      </c>
      <c r="G48" s="720"/>
      <c r="H48" s="723"/>
      <c r="I48" s="726"/>
      <c r="J48" s="313" t="str">
        <f>IF(OR('Emails, Files, &amp; Other Data'!X120=TRUE,'Emails, Files, &amp; Other Data'!X121=TRUE,'Emails, Files, &amp; Other Data'!X122=TRUE),"Yes","No")</f>
        <v>Yes</v>
      </c>
      <c r="K48" s="308"/>
      <c r="L48" s="308"/>
      <c r="M48" s="309" t="b">
        <f>'Emails, Files, &amp; Other Data'!J121</f>
        <v>0</v>
      </c>
      <c r="N48" s="308" t="str">
        <f>N44</f>
        <v>Let users assign permissions when they apply the label</v>
      </c>
      <c r="O48" s="314" t="str">
        <f>O$12</f>
        <v>Content Marking</v>
      </c>
      <c r="P48" s="793"/>
      <c r="Q48" s="777"/>
      <c r="R48" s="779"/>
      <c r="S48" s="712"/>
      <c r="T48" s="779"/>
      <c r="U48" s="712"/>
      <c r="V48" s="710"/>
    </row>
    <row r="49" spans="1:22" ht="14.5" customHeight="1" x14ac:dyDescent="0.35">
      <c r="A49" s="745"/>
      <c r="B49" s="723"/>
      <c r="C49" s="740"/>
      <c r="D49" s="560"/>
      <c r="E49" s="64" t="b">
        <f>'Sensitivity Labels'!F87</f>
        <v>1</v>
      </c>
      <c r="F49" t="str">
        <f>'Sensitivity Labels'!G87</f>
        <v>Meetings</v>
      </c>
      <c r="G49" s="720"/>
      <c r="H49" s="723"/>
      <c r="I49" s="726"/>
      <c r="J49" s="790" t="str">
        <f>IF('Emails, Files, &amp; Other Data'!AB120=TRUE,"Yes","No")</f>
        <v>No</v>
      </c>
      <c r="K49" s="308"/>
      <c r="L49" s="308"/>
      <c r="M49" s="308"/>
      <c r="N49" s="308"/>
      <c r="O49" s="788" t="str">
        <f>O$13</f>
        <v>Auto-labeling for files and emails: "Client-side Auto-Labeling"</v>
      </c>
      <c r="P49" s="793"/>
      <c r="Q49" s="786" t="str">
        <f>IF('Groups &amp; Sites'!H96=TRUE,"Yes","No")</f>
        <v>No</v>
      </c>
      <c r="R49" s="785" t="str">
        <f>R$13</f>
        <v>Let Microsoft 365 Group owners add people outside your organization to the group as guests.</v>
      </c>
      <c r="S49" s="780" t="str">
        <f>IF('Groups &amp; Sites'!K95=TRUE,"Yes","No")</f>
        <v>No</v>
      </c>
      <c r="T49" s="782" t="str">
        <f>T$13</f>
        <v>Use Microsoft Entra Conditional Access to protect labeled SharePoint sites</v>
      </c>
      <c r="U49" s="784" t="str">
        <f>IF(OR('Groups &amp; Sites'!S97=TRUE,'Groups &amp; Sites'!S98=TRUE,'Groups &amp; Sites'!S99=TRUE),"Yes","No")</f>
        <v>No</v>
      </c>
      <c r="V49" s="715" t="str">
        <f>V$13</f>
        <v>Teams shared channels</v>
      </c>
    </row>
    <row r="50" spans="1:22" ht="15" thickBot="1" x14ac:dyDescent="0.4">
      <c r="A50" s="745"/>
      <c r="B50" s="724"/>
      <c r="C50" s="741"/>
      <c r="D50" s="561"/>
      <c r="E50" s="69" t="b">
        <f>'Sensitivity Labels'!F89</f>
        <v>1</v>
      </c>
      <c r="F50" s="67" t="str">
        <f>'Sensitivity Labels'!G89</f>
        <v>Groups &amp; Sites</v>
      </c>
      <c r="G50" s="721"/>
      <c r="H50" s="724"/>
      <c r="I50" s="727"/>
      <c r="J50" s="791"/>
      <c r="K50" s="310"/>
      <c r="L50" s="310"/>
      <c r="M50" s="310"/>
      <c r="N50" s="310"/>
      <c r="O50" s="789"/>
      <c r="P50" s="794"/>
      <c r="Q50" s="787"/>
      <c r="R50" s="783"/>
      <c r="S50" s="781"/>
      <c r="T50" s="783"/>
      <c r="U50" s="781"/>
      <c r="V50" s="716"/>
    </row>
    <row r="51" spans="1:22" ht="14.5" customHeight="1" x14ac:dyDescent="0.35">
      <c r="A51" s="742">
        <f>A47+1</f>
        <v>11</v>
      </c>
      <c r="B51" s="730">
        <f>'Sensitivity Labels'!C91</f>
        <v>0</v>
      </c>
      <c r="C51" s="734">
        <f>'Sensitivity Labels'!D91</f>
        <v>0</v>
      </c>
      <c r="D51" s="736">
        <f>'Sensitivity Labels'!E91</f>
        <v>0</v>
      </c>
      <c r="E51" s="340" t="b">
        <f>'Sensitivity Labels'!F91</f>
        <v>0</v>
      </c>
      <c r="F51" s="341" t="str">
        <f>'Sensitivity Labels'!G91</f>
        <v>Files &amp; Other Data assets</v>
      </c>
      <c r="G51" s="728">
        <f>'Sensitivity Labels'!I91</f>
        <v>0</v>
      </c>
      <c r="H51" s="730">
        <f>'Sensitivity Labels'!J91</f>
        <v>0</v>
      </c>
      <c r="I51" s="732">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774" t="str">
        <f>IF(E53=TRUE,"Yes","No")</f>
        <v>No</v>
      </c>
      <c r="Q51" s="761" t="str">
        <f>IF(OR('Groups &amp; Sites'!H103=INputs!AN$3,'Groups &amp; Sites'!H103=INputs!AN$4),"Yes","No")</f>
        <v>No</v>
      </c>
      <c r="R51" s="762" t="str">
        <f>R$11</f>
        <v>Privacy and external user access</v>
      </c>
      <c r="S51" s="732" t="str">
        <f>IF('Groups &amp; Sites'!K103=TRUE,"Yes","No")</f>
        <v>No</v>
      </c>
      <c r="T51" s="762" t="str">
        <f>T$11</f>
        <v>Content can be shared with</v>
      </c>
      <c r="U51" s="732" t="str">
        <f>IF('Groups &amp; Sites'!S104=TRUE,"Yes","No")</f>
        <v>No</v>
      </c>
      <c r="V51" s="713" t="str">
        <f>V$11</f>
        <v>Allow users to discover private teams that have this label applied.</v>
      </c>
    </row>
    <row r="52" spans="1:22" ht="14.5" x14ac:dyDescent="0.35">
      <c r="A52" s="743"/>
      <c r="B52" s="730"/>
      <c r="C52" s="734"/>
      <c r="D52" s="737"/>
      <c r="E52" s="340" t="b">
        <f>'Sensitivity Labels'!F93</f>
        <v>0</v>
      </c>
      <c r="F52" s="341" t="str">
        <f>'Sensitivity Labels'!G93</f>
        <v>Emails</v>
      </c>
      <c r="G52" s="728"/>
      <c r="H52" s="730"/>
      <c r="I52" s="732"/>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774"/>
      <c r="Q52" s="764"/>
      <c r="R52" s="763"/>
      <c r="S52" s="757"/>
      <c r="T52" s="763"/>
      <c r="U52" s="757"/>
      <c r="V52" s="714"/>
    </row>
    <row r="53" spans="1:22" ht="14.5" customHeight="1" x14ac:dyDescent="0.35">
      <c r="A53" s="743"/>
      <c r="B53" s="730"/>
      <c r="C53" s="734"/>
      <c r="D53" s="737"/>
      <c r="E53" s="340" t="b">
        <f>'Sensitivity Labels'!F95</f>
        <v>0</v>
      </c>
      <c r="F53" s="341" t="str">
        <f>'Sensitivity Labels'!G95</f>
        <v>Meetings</v>
      </c>
      <c r="G53" s="728"/>
      <c r="H53" s="730"/>
      <c r="I53" s="732"/>
      <c r="J53" s="767" t="str">
        <f>IF('Emails, Files, &amp; Other Data'!AB132=TRUE,"Yes","No")</f>
        <v>No</v>
      </c>
      <c r="K53" s="347"/>
      <c r="L53" s="347"/>
      <c r="M53" s="347"/>
      <c r="N53" s="347"/>
      <c r="O53" s="765" t="str">
        <f>O$13</f>
        <v>Auto-labeling for files and emails: "Client-side Auto-Labeling"</v>
      </c>
      <c r="P53" s="774"/>
      <c r="Q53" s="760" t="str">
        <f>IF('Groups &amp; Sites'!H105=TRUE,"Yes","No")</f>
        <v>No</v>
      </c>
      <c r="R53" s="758" t="str">
        <f>R$13</f>
        <v>Let Microsoft 365 Group owners add people outside your organization to the group as guests.</v>
      </c>
      <c r="S53" s="732" t="str">
        <f>IF('Groups &amp; Sites'!K104=TRUE,"Yes","No")</f>
        <v>No</v>
      </c>
      <c r="T53" s="759" t="str">
        <f>T$13</f>
        <v>Use Microsoft Entra Conditional Access to protect labeled SharePoint sites</v>
      </c>
      <c r="U53" s="773" t="str">
        <f>IF(OR('Groups &amp; Sites'!S106=TRUE,'Groups &amp; Sites'!S107=TRUE,'Groups &amp; Sites'!S108=TRUE),"Yes","No")</f>
        <v>No</v>
      </c>
      <c r="V53" s="717" t="str">
        <f>V$13</f>
        <v>Teams shared channels</v>
      </c>
    </row>
    <row r="54" spans="1:22" ht="15" thickBot="1" x14ac:dyDescent="0.4">
      <c r="A54" s="744"/>
      <c r="B54" s="731"/>
      <c r="C54" s="735"/>
      <c r="D54" s="738"/>
      <c r="E54" s="350" t="b">
        <f>'Sensitivity Labels'!F97</f>
        <v>0</v>
      </c>
      <c r="F54" s="351" t="str">
        <f>'Sensitivity Labels'!G97</f>
        <v>Groups &amp; Sites</v>
      </c>
      <c r="G54" s="729"/>
      <c r="H54" s="731"/>
      <c r="I54" s="733"/>
      <c r="J54" s="768"/>
      <c r="K54" s="352"/>
      <c r="L54" s="352"/>
      <c r="M54" s="352"/>
      <c r="N54" s="352"/>
      <c r="O54" s="766"/>
      <c r="P54" s="775"/>
      <c r="Q54" s="761"/>
      <c r="R54" s="759"/>
      <c r="S54" s="732"/>
      <c r="T54" s="759"/>
      <c r="U54" s="732"/>
      <c r="V54" s="718"/>
    </row>
    <row r="55" spans="1:22" ht="14.5" customHeight="1" x14ac:dyDescent="0.35">
      <c r="A55" s="745">
        <f>A51+1</f>
        <v>12</v>
      </c>
      <c r="B55" s="722">
        <f>'Sensitivity Labels'!C99</f>
        <v>0</v>
      </c>
      <c r="C55" s="739">
        <f>'Sensitivity Labels'!D99</f>
        <v>0</v>
      </c>
      <c r="D55" s="559">
        <f>'Sensitivity Labels'!E99</f>
        <v>0</v>
      </c>
      <c r="E55" s="60" t="b">
        <f>'Sensitivity Labels'!F99</f>
        <v>0</v>
      </c>
      <c r="F55" s="62" t="str">
        <f>'Sensitivity Labels'!G99</f>
        <v>Files &amp; Other Data assets</v>
      </c>
      <c r="G55" s="719">
        <f>'Sensitivity Labels'!I99</f>
        <v>0</v>
      </c>
      <c r="H55" s="722">
        <f>'Sensitivity Labels'!J99</f>
        <v>0</v>
      </c>
      <c r="I55" s="725">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792" t="str">
        <f>IF(E57=TRUE,"Yes","No")</f>
        <v>No</v>
      </c>
      <c r="Q55" s="776" t="str">
        <f>IF(OR('Groups &amp; Sites'!H112=INputs!AN$3,'Groups &amp; Sites'!H112=INputs!AN$4),"Yes","No")</f>
        <v>No</v>
      </c>
      <c r="R55" s="778" t="str">
        <f>R$11</f>
        <v>Privacy and external user access</v>
      </c>
      <c r="S55" s="711" t="str">
        <f>IF('Groups &amp; Sites'!K112=TRUE,"Yes","No")</f>
        <v>No</v>
      </c>
      <c r="T55" s="778" t="str">
        <f>T$11</f>
        <v>Content can be shared with</v>
      </c>
      <c r="U55" s="711" t="str">
        <f>IF('Groups &amp; Sites'!S113=TRUE,"Yes","No")</f>
        <v>No</v>
      </c>
      <c r="V55" s="709" t="str">
        <f>V$11</f>
        <v>Allow users to discover private teams that have this label applied.</v>
      </c>
    </row>
    <row r="56" spans="1:22" ht="14.5" x14ac:dyDescent="0.35">
      <c r="A56" s="745"/>
      <c r="B56" s="723"/>
      <c r="C56" s="740"/>
      <c r="D56" s="560"/>
      <c r="E56" s="64" t="b">
        <f>'Sensitivity Labels'!F101</f>
        <v>0</v>
      </c>
      <c r="F56" t="str">
        <f>'Sensitivity Labels'!G101</f>
        <v>Emails</v>
      </c>
      <c r="G56" s="720"/>
      <c r="H56" s="723"/>
      <c r="I56" s="726"/>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793"/>
      <c r="Q56" s="777"/>
      <c r="R56" s="779"/>
      <c r="S56" s="712"/>
      <c r="T56" s="779"/>
      <c r="U56" s="712"/>
      <c r="V56" s="710"/>
    </row>
    <row r="57" spans="1:22" ht="14.5" customHeight="1" x14ac:dyDescent="0.35">
      <c r="A57" s="745"/>
      <c r="B57" s="723"/>
      <c r="C57" s="740"/>
      <c r="D57" s="560"/>
      <c r="E57" s="64" t="b">
        <f>'Sensitivity Labels'!F103</f>
        <v>0</v>
      </c>
      <c r="F57" t="str">
        <f>'Sensitivity Labels'!G103</f>
        <v>Meetings</v>
      </c>
      <c r="G57" s="720"/>
      <c r="H57" s="723"/>
      <c r="I57" s="726"/>
      <c r="J57" s="790" t="str">
        <f>IF('Emails, Files, &amp; Other Data'!AB144=TRUE,"Yes","No")</f>
        <v>No</v>
      </c>
      <c r="K57" s="308"/>
      <c r="L57" s="308"/>
      <c r="M57" s="308"/>
      <c r="N57" s="308"/>
      <c r="O57" s="788" t="str">
        <f>O$13</f>
        <v>Auto-labeling for files and emails: "Client-side Auto-Labeling"</v>
      </c>
      <c r="P57" s="793"/>
      <c r="Q57" s="786" t="str">
        <f>IF('Groups &amp; Sites'!H114=TRUE,"Yes","No")</f>
        <v>No</v>
      </c>
      <c r="R57" s="785" t="str">
        <f>R$13</f>
        <v>Let Microsoft 365 Group owners add people outside your organization to the group as guests.</v>
      </c>
      <c r="S57" s="780" t="str">
        <f>IF('Groups &amp; Sites'!K113=TRUE,"Yes","No")</f>
        <v>No</v>
      </c>
      <c r="T57" s="782" t="str">
        <f>T$13</f>
        <v>Use Microsoft Entra Conditional Access to protect labeled SharePoint sites</v>
      </c>
      <c r="U57" s="784" t="str">
        <f>IF(OR('Groups &amp; Sites'!S115=TRUE,'Groups &amp; Sites'!S116=TRUE,'Groups &amp; Sites'!S117=TRUE),"Yes","No")</f>
        <v>No</v>
      </c>
      <c r="V57" s="715" t="str">
        <f>V$13</f>
        <v>Teams shared channels</v>
      </c>
    </row>
    <row r="58" spans="1:22" ht="15" thickBot="1" x14ac:dyDescent="0.4">
      <c r="A58" s="745"/>
      <c r="B58" s="724"/>
      <c r="C58" s="741"/>
      <c r="D58" s="561"/>
      <c r="E58" s="69" t="b">
        <f>'Sensitivity Labels'!F105</f>
        <v>0</v>
      </c>
      <c r="F58" s="67" t="str">
        <f>'Sensitivity Labels'!G105</f>
        <v>Groups &amp; Sites</v>
      </c>
      <c r="G58" s="721"/>
      <c r="H58" s="724"/>
      <c r="I58" s="727"/>
      <c r="J58" s="791"/>
      <c r="K58" s="310"/>
      <c r="L58" s="310"/>
      <c r="M58" s="310"/>
      <c r="N58" s="310"/>
      <c r="O58" s="789"/>
      <c r="P58" s="794"/>
      <c r="Q58" s="787"/>
      <c r="R58" s="783"/>
      <c r="S58" s="781"/>
      <c r="T58" s="783"/>
      <c r="U58" s="781"/>
      <c r="V58" s="716"/>
    </row>
    <row r="59" spans="1:22" ht="14.5" customHeight="1" x14ac:dyDescent="0.35">
      <c r="A59" s="742">
        <f>A55+1</f>
        <v>13</v>
      </c>
      <c r="B59" s="730">
        <f>'Sensitivity Labels'!C107</f>
        <v>0</v>
      </c>
      <c r="C59" s="734">
        <f>'Sensitivity Labels'!D107</f>
        <v>0</v>
      </c>
      <c r="D59" s="736">
        <f>'Sensitivity Labels'!E107</f>
        <v>0</v>
      </c>
      <c r="E59" s="340" t="b">
        <f>'Sensitivity Labels'!F107</f>
        <v>0</v>
      </c>
      <c r="F59" s="341" t="str">
        <f>'Sensitivity Labels'!G107</f>
        <v>Files &amp; Other Data assets</v>
      </c>
      <c r="G59" s="728">
        <f>'Sensitivity Labels'!I107</f>
        <v>0</v>
      </c>
      <c r="H59" s="730">
        <f>'Sensitivity Labels'!J107</f>
        <v>0</v>
      </c>
      <c r="I59" s="732">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774" t="str">
        <f>IF(E61=TRUE,"Yes","No")</f>
        <v>No</v>
      </c>
      <c r="Q59" s="761" t="str">
        <f>IF(OR('Groups &amp; Sites'!H121=INputs!AN$3,'Groups &amp; Sites'!H121=INputs!AN$4),"Yes","No")</f>
        <v>No</v>
      </c>
      <c r="R59" s="762" t="str">
        <f>R$11</f>
        <v>Privacy and external user access</v>
      </c>
      <c r="S59" s="732" t="str">
        <f>IF('Groups &amp; Sites'!K121=TRUE,"Yes","No")</f>
        <v>No</v>
      </c>
      <c r="T59" s="762" t="str">
        <f>T$11</f>
        <v>Content can be shared with</v>
      </c>
      <c r="U59" s="732" t="str">
        <f>IF('Groups &amp; Sites'!S122=TRUE,"Yes","No")</f>
        <v>No</v>
      </c>
      <c r="V59" s="713" t="str">
        <f>V$11</f>
        <v>Allow users to discover private teams that have this label applied.</v>
      </c>
    </row>
    <row r="60" spans="1:22" ht="14.5" x14ac:dyDescent="0.35">
      <c r="A60" s="743"/>
      <c r="B60" s="730"/>
      <c r="C60" s="734"/>
      <c r="D60" s="737"/>
      <c r="E60" s="340" t="b">
        <f>'Sensitivity Labels'!F109</f>
        <v>0</v>
      </c>
      <c r="F60" s="341" t="str">
        <f>'Sensitivity Labels'!G109</f>
        <v>Emails</v>
      </c>
      <c r="G60" s="728"/>
      <c r="H60" s="730"/>
      <c r="I60" s="732"/>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774"/>
      <c r="Q60" s="764"/>
      <c r="R60" s="763"/>
      <c r="S60" s="757"/>
      <c r="T60" s="763"/>
      <c r="U60" s="757"/>
      <c r="V60" s="714"/>
    </row>
    <row r="61" spans="1:22" ht="14.5" customHeight="1" x14ac:dyDescent="0.35">
      <c r="A61" s="743"/>
      <c r="B61" s="730"/>
      <c r="C61" s="734"/>
      <c r="D61" s="737"/>
      <c r="E61" s="340" t="b">
        <f>'Sensitivity Labels'!F111</f>
        <v>0</v>
      </c>
      <c r="F61" s="341" t="str">
        <f>'Sensitivity Labels'!G111</f>
        <v>Meetings</v>
      </c>
      <c r="G61" s="728"/>
      <c r="H61" s="730"/>
      <c r="I61" s="732"/>
      <c r="J61" s="767" t="str">
        <f>IF('Emails, Files, &amp; Other Data'!AB156=TRUE,"Yes","No")</f>
        <v>No</v>
      </c>
      <c r="K61" s="347"/>
      <c r="L61" s="347"/>
      <c r="M61" s="347"/>
      <c r="N61" s="347"/>
      <c r="O61" s="765" t="str">
        <f>O$13</f>
        <v>Auto-labeling for files and emails: "Client-side Auto-Labeling"</v>
      </c>
      <c r="P61" s="774"/>
      <c r="Q61" s="760" t="str">
        <f>IF('Groups &amp; Sites'!H123=TRUE,"Yes","No")</f>
        <v>No</v>
      </c>
      <c r="R61" s="758" t="str">
        <f>R$13</f>
        <v>Let Microsoft 365 Group owners add people outside your organization to the group as guests.</v>
      </c>
      <c r="S61" s="732" t="str">
        <f>IF('Groups &amp; Sites'!K122=TRUE,"Yes","No")</f>
        <v>No</v>
      </c>
      <c r="T61" s="759" t="str">
        <f>T$13</f>
        <v>Use Microsoft Entra Conditional Access to protect labeled SharePoint sites</v>
      </c>
      <c r="U61" s="773" t="str">
        <f>IF(OR('Groups &amp; Sites'!S124=TRUE,'Groups &amp; Sites'!S125=TRUE,'Groups &amp; Sites'!S126=TRUE),"Yes","No")</f>
        <v>No</v>
      </c>
      <c r="V61" s="717" t="str">
        <f>V$13</f>
        <v>Teams shared channels</v>
      </c>
    </row>
    <row r="62" spans="1:22" ht="15" thickBot="1" x14ac:dyDescent="0.4">
      <c r="A62" s="744"/>
      <c r="B62" s="731"/>
      <c r="C62" s="735"/>
      <c r="D62" s="738"/>
      <c r="E62" s="350" t="b">
        <f>'Sensitivity Labels'!F113</f>
        <v>0</v>
      </c>
      <c r="F62" s="351" t="str">
        <f>'Sensitivity Labels'!G113</f>
        <v>Groups &amp; Sites</v>
      </c>
      <c r="G62" s="729"/>
      <c r="H62" s="731"/>
      <c r="I62" s="733"/>
      <c r="J62" s="768"/>
      <c r="K62" s="352"/>
      <c r="L62" s="352"/>
      <c r="M62" s="352"/>
      <c r="N62" s="352"/>
      <c r="O62" s="766"/>
      <c r="P62" s="775"/>
      <c r="Q62" s="761"/>
      <c r="R62" s="759"/>
      <c r="S62" s="732"/>
      <c r="T62" s="759"/>
      <c r="U62" s="732"/>
      <c r="V62" s="718"/>
    </row>
    <row r="63" spans="1:22" ht="14.5" customHeight="1" x14ac:dyDescent="0.35">
      <c r="A63" s="745">
        <f>A59+1</f>
        <v>14</v>
      </c>
      <c r="B63" s="722">
        <f>'Sensitivity Labels'!C115</f>
        <v>0</v>
      </c>
      <c r="C63" s="739">
        <f>'Sensitivity Labels'!D115</f>
        <v>0</v>
      </c>
      <c r="D63" s="559">
        <f>'Sensitivity Labels'!E115</f>
        <v>0</v>
      </c>
      <c r="E63" s="60" t="b">
        <f>'Sensitivity Labels'!F115</f>
        <v>0</v>
      </c>
      <c r="F63" s="62" t="str">
        <f>'Sensitivity Labels'!G115</f>
        <v>Files &amp; Other Data assets</v>
      </c>
      <c r="G63" s="719">
        <f>'Sensitivity Labels'!I115</f>
        <v>0</v>
      </c>
      <c r="H63" s="722">
        <f>'Sensitivity Labels'!J115</f>
        <v>0</v>
      </c>
      <c r="I63" s="725">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792" t="str">
        <f>IF(E65=TRUE,"Yes","No")</f>
        <v>No</v>
      </c>
      <c r="Q63" s="776" t="str">
        <f>IF(OR('Groups &amp; Sites'!H130=INputs!AN$3,'Groups &amp; Sites'!H130=INputs!AN$4),"Yes","No")</f>
        <v>No</v>
      </c>
      <c r="R63" s="778" t="str">
        <f>R$11</f>
        <v>Privacy and external user access</v>
      </c>
      <c r="S63" s="711" t="str">
        <f>IF('Groups &amp; Sites'!K130=TRUE,"Yes","No")</f>
        <v>No</v>
      </c>
      <c r="T63" s="778" t="str">
        <f>T$11</f>
        <v>Content can be shared with</v>
      </c>
      <c r="U63" s="711" t="str">
        <f>IF('Groups &amp; Sites'!S131=TRUE,"Yes","No")</f>
        <v>No</v>
      </c>
      <c r="V63" s="709" t="str">
        <f>V$11</f>
        <v>Allow users to discover private teams that have this label applied.</v>
      </c>
    </row>
    <row r="64" spans="1:22" ht="14.5" x14ac:dyDescent="0.35">
      <c r="A64" s="745"/>
      <c r="B64" s="723"/>
      <c r="C64" s="740"/>
      <c r="D64" s="560"/>
      <c r="E64" s="64" t="b">
        <f>'Sensitivity Labels'!F117</f>
        <v>0</v>
      </c>
      <c r="F64" t="str">
        <f>'Sensitivity Labels'!G117</f>
        <v>Emails</v>
      </c>
      <c r="G64" s="720"/>
      <c r="H64" s="723"/>
      <c r="I64" s="726"/>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793"/>
      <c r="Q64" s="777"/>
      <c r="R64" s="779"/>
      <c r="S64" s="712"/>
      <c r="T64" s="779"/>
      <c r="U64" s="712"/>
      <c r="V64" s="710"/>
    </row>
    <row r="65" spans="1:22" ht="14.5" customHeight="1" x14ac:dyDescent="0.35">
      <c r="A65" s="745"/>
      <c r="B65" s="723"/>
      <c r="C65" s="740"/>
      <c r="D65" s="560"/>
      <c r="E65" s="64" t="b">
        <f>'Sensitivity Labels'!F119</f>
        <v>0</v>
      </c>
      <c r="F65" t="str">
        <f>'Sensitivity Labels'!G119</f>
        <v>Meetings</v>
      </c>
      <c r="G65" s="720"/>
      <c r="H65" s="723"/>
      <c r="I65" s="726"/>
      <c r="J65" s="790" t="str">
        <f>IF('Emails, Files, &amp; Other Data'!AB168=TRUE,"Yes","No")</f>
        <v>No</v>
      </c>
      <c r="K65" s="308"/>
      <c r="L65" s="308"/>
      <c r="M65" s="308"/>
      <c r="N65" s="308"/>
      <c r="O65" s="788" t="str">
        <f>O$13</f>
        <v>Auto-labeling for files and emails: "Client-side Auto-Labeling"</v>
      </c>
      <c r="P65" s="793"/>
      <c r="Q65" s="786" t="str">
        <f>IF('Groups &amp; Sites'!H132=TRUE,"Yes","No")</f>
        <v>No</v>
      </c>
      <c r="R65" s="785" t="str">
        <f>R$13</f>
        <v>Let Microsoft 365 Group owners add people outside your organization to the group as guests.</v>
      </c>
      <c r="S65" s="780" t="str">
        <f>IF('Groups &amp; Sites'!K131=TRUE,"Yes","No")</f>
        <v>No</v>
      </c>
      <c r="T65" s="782" t="str">
        <f>T$13</f>
        <v>Use Microsoft Entra Conditional Access to protect labeled SharePoint sites</v>
      </c>
      <c r="U65" s="784" t="str">
        <f>IF(OR('Groups &amp; Sites'!S133=TRUE,'Groups &amp; Sites'!S134=TRUE,'Groups &amp; Sites'!S135=TRUE),"Yes","No")</f>
        <v>No</v>
      </c>
      <c r="V65" s="715" t="str">
        <f>V$13</f>
        <v>Teams shared channels</v>
      </c>
    </row>
    <row r="66" spans="1:22" ht="15" thickBot="1" x14ac:dyDescent="0.4">
      <c r="A66" s="745"/>
      <c r="B66" s="724"/>
      <c r="C66" s="741"/>
      <c r="D66" s="561"/>
      <c r="E66" s="69" t="b">
        <f>'Sensitivity Labels'!F121</f>
        <v>0</v>
      </c>
      <c r="F66" s="67" t="str">
        <f>'Sensitivity Labels'!G121</f>
        <v>Groups &amp; Sites</v>
      </c>
      <c r="G66" s="721"/>
      <c r="H66" s="724"/>
      <c r="I66" s="727"/>
      <c r="J66" s="791"/>
      <c r="K66" s="310"/>
      <c r="L66" s="310"/>
      <c r="M66" s="310"/>
      <c r="N66" s="310"/>
      <c r="O66" s="789"/>
      <c r="P66" s="794"/>
      <c r="Q66" s="787"/>
      <c r="R66" s="783"/>
      <c r="S66" s="781"/>
      <c r="T66" s="783"/>
      <c r="U66" s="781"/>
      <c r="V66" s="716"/>
    </row>
    <row r="67" spans="1:22" ht="14.5" customHeight="1" x14ac:dyDescent="0.35">
      <c r="A67" s="742">
        <f>A63+1</f>
        <v>15</v>
      </c>
      <c r="B67" s="730">
        <f>'Sensitivity Labels'!C123</f>
        <v>0</v>
      </c>
      <c r="C67" s="734">
        <f>'Sensitivity Labels'!D123</f>
        <v>0</v>
      </c>
      <c r="D67" s="736">
        <f>'Sensitivity Labels'!E123</f>
        <v>0</v>
      </c>
      <c r="E67" s="340" t="b">
        <f>'Sensitivity Labels'!F123</f>
        <v>0</v>
      </c>
      <c r="F67" s="341" t="str">
        <f>'Sensitivity Labels'!G123</f>
        <v>Files &amp; Other Data assets</v>
      </c>
      <c r="G67" s="728">
        <f>'Sensitivity Labels'!I123</f>
        <v>0</v>
      </c>
      <c r="H67" s="730">
        <f>'Sensitivity Labels'!J123</f>
        <v>0</v>
      </c>
      <c r="I67" s="732">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774" t="str">
        <f>IF(E69=TRUE,"Yes","No")</f>
        <v>No</v>
      </c>
      <c r="Q67" s="761" t="str">
        <f>IF(OR('Groups &amp; Sites'!H139=INputs!AN$3,'Groups &amp; Sites'!H139=INputs!AN$4),"Yes","No")</f>
        <v>No</v>
      </c>
      <c r="R67" s="762" t="str">
        <f>R$11</f>
        <v>Privacy and external user access</v>
      </c>
      <c r="S67" s="732" t="str">
        <f>IF('Groups &amp; Sites'!K139=TRUE,"Yes","No")</f>
        <v>No</v>
      </c>
      <c r="T67" s="762" t="str">
        <f>T$11</f>
        <v>Content can be shared with</v>
      </c>
      <c r="U67" s="732" t="str">
        <f>IF('Groups &amp; Sites'!S140=TRUE,"Yes","No")</f>
        <v>No</v>
      </c>
      <c r="V67" s="713" t="str">
        <f>V$11</f>
        <v>Allow users to discover private teams that have this label applied.</v>
      </c>
    </row>
    <row r="68" spans="1:22" ht="14.5" x14ac:dyDescent="0.35">
      <c r="A68" s="743"/>
      <c r="B68" s="730"/>
      <c r="C68" s="734"/>
      <c r="D68" s="737"/>
      <c r="E68" s="340" t="b">
        <f>'Sensitivity Labels'!F125</f>
        <v>0</v>
      </c>
      <c r="F68" s="341" t="str">
        <f>'Sensitivity Labels'!G125</f>
        <v>Emails</v>
      </c>
      <c r="G68" s="728"/>
      <c r="H68" s="730"/>
      <c r="I68" s="732"/>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774"/>
      <c r="Q68" s="764"/>
      <c r="R68" s="763"/>
      <c r="S68" s="757"/>
      <c r="T68" s="763"/>
      <c r="U68" s="757"/>
      <c r="V68" s="714"/>
    </row>
    <row r="69" spans="1:22" ht="14.5" customHeight="1" x14ac:dyDescent="0.35">
      <c r="A69" s="743"/>
      <c r="B69" s="730"/>
      <c r="C69" s="734"/>
      <c r="D69" s="737"/>
      <c r="E69" s="340" t="b">
        <f>'Sensitivity Labels'!F127</f>
        <v>0</v>
      </c>
      <c r="F69" s="341" t="str">
        <f>'Sensitivity Labels'!G127</f>
        <v>Meetings</v>
      </c>
      <c r="G69" s="728"/>
      <c r="H69" s="730"/>
      <c r="I69" s="732"/>
      <c r="J69" s="767" t="str">
        <f>IF('Emails, Files, &amp; Other Data'!AB180=TRUE,"Yes","No")</f>
        <v>No</v>
      </c>
      <c r="K69" s="347"/>
      <c r="L69" s="347"/>
      <c r="M69" s="347"/>
      <c r="N69" s="347"/>
      <c r="O69" s="765" t="str">
        <f>O$13</f>
        <v>Auto-labeling for files and emails: "Client-side Auto-Labeling"</v>
      </c>
      <c r="P69" s="774"/>
      <c r="Q69" s="760" t="str">
        <f>IF('Groups &amp; Sites'!H141=TRUE,"Yes","No")</f>
        <v>No</v>
      </c>
      <c r="R69" s="758" t="str">
        <f>R$13</f>
        <v>Let Microsoft 365 Group owners add people outside your organization to the group as guests.</v>
      </c>
      <c r="S69" s="732" t="str">
        <f>IF('Groups &amp; Sites'!K140=TRUE,"Yes","No")</f>
        <v>No</v>
      </c>
      <c r="T69" s="759" t="str">
        <f>T$13</f>
        <v>Use Microsoft Entra Conditional Access to protect labeled SharePoint sites</v>
      </c>
      <c r="U69" s="773" t="str">
        <f>IF(OR('Groups &amp; Sites'!S142=TRUE,'Groups &amp; Sites'!S143=TRUE,'Groups &amp; Sites'!S144=TRUE),"Yes","No")</f>
        <v>No</v>
      </c>
      <c r="V69" s="717" t="str">
        <f>V$13</f>
        <v>Teams shared channels</v>
      </c>
    </row>
    <row r="70" spans="1:22" ht="15" thickBot="1" x14ac:dyDescent="0.4">
      <c r="A70" s="744"/>
      <c r="B70" s="731"/>
      <c r="C70" s="735"/>
      <c r="D70" s="738"/>
      <c r="E70" s="350" t="b">
        <f>'Sensitivity Labels'!F129</f>
        <v>0</v>
      </c>
      <c r="F70" s="351" t="str">
        <f>'Sensitivity Labels'!G129</f>
        <v>Groups &amp; Sites</v>
      </c>
      <c r="G70" s="729"/>
      <c r="H70" s="731"/>
      <c r="I70" s="733"/>
      <c r="J70" s="768"/>
      <c r="K70" s="352"/>
      <c r="L70" s="352"/>
      <c r="M70" s="352"/>
      <c r="N70" s="352"/>
      <c r="O70" s="766"/>
      <c r="P70" s="775"/>
      <c r="Q70" s="761"/>
      <c r="R70" s="759"/>
      <c r="S70" s="732"/>
      <c r="T70" s="759"/>
      <c r="U70" s="732"/>
      <c r="V70" s="718"/>
    </row>
    <row r="71" spans="1:22" ht="14.5" customHeight="1" x14ac:dyDescent="0.35">
      <c r="A71" s="745">
        <f>A67+1</f>
        <v>16</v>
      </c>
      <c r="B71" s="722">
        <f>'Sensitivity Labels'!C131</f>
        <v>0</v>
      </c>
      <c r="C71" s="739">
        <f>'Sensitivity Labels'!D131</f>
        <v>0</v>
      </c>
      <c r="D71" s="559">
        <f>'Sensitivity Labels'!E131</f>
        <v>0</v>
      </c>
      <c r="E71" s="60" t="b">
        <f>'Sensitivity Labels'!F131</f>
        <v>0</v>
      </c>
      <c r="F71" s="62" t="str">
        <f>'Sensitivity Labels'!G131</f>
        <v>Files &amp; Other Data assets</v>
      </c>
      <c r="G71" s="719">
        <f>'Sensitivity Labels'!I131</f>
        <v>0</v>
      </c>
      <c r="H71" s="722">
        <f>'Sensitivity Labels'!J131</f>
        <v>0</v>
      </c>
      <c r="I71" s="725">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792" t="str">
        <f>IF(E73=TRUE,"Yes","No")</f>
        <v>No</v>
      </c>
      <c r="Q71" s="776" t="str">
        <f>IF(OR('Groups &amp; Sites'!H148=INputs!AN$3,'Groups &amp; Sites'!H148=INputs!AN$4),"Yes","No")</f>
        <v>No</v>
      </c>
      <c r="R71" s="778" t="str">
        <f>R$11</f>
        <v>Privacy and external user access</v>
      </c>
      <c r="S71" s="711" t="str">
        <f>IF('Groups &amp; Sites'!K148=TRUE,"Yes","No")</f>
        <v>No</v>
      </c>
      <c r="T71" s="778" t="str">
        <f>T$11</f>
        <v>Content can be shared with</v>
      </c>
      <c r="U71" s="711" t="str">
        <f>IF('Groups &amp; Sites'!S149=TRUE,"Yes","No")</f>
        <v>No</v>
      </c>
      <c r="V71" s="709" t="str">
        <f>V$11</f>
        <v>Allow users to discover private teams that have this label applied.</v>
      </c>
    </row>
    <row r="72" spans="1:22" ht="14.5" x14ac:dyDescent="0.35">
      <c r="A72" s="745"/>
      <c r="B72" s="723"/>
      <c r="C72" s="740"/>
      <c r="D72" s="560"/>
      <c r="E72" s="64" t="b">
        <f>'Sensitivity Labels'!F133</f>
        <v>0</v>
      </c>
      <c r="F72" t="str">
        <f>'Sensitivity Labels'!G133</f>
        <v>Emails</v>
      </c>
      <c r="G72" s="720"/>
      <c r="H72" s="723"/>
      <c r="I72" s="726"/>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793"/>
      <c r="Q72" s="777"/>
      <c r="R72" s="779"/>
      <c r="S72" s="712"/>
      <c r="T72" s="779"/>
      <c r="U72" s="712"/>
      <c r="V72" s="710"/>
    </row>
    <row r="73" spans="1:22" ht="14.5" customHeight="1" x14ac:dyDescent="0.35">
      <c r="A73" s="745"/>
      <c r="B73" s="723"/>
      <c r="C73" s="740"/>
      <c r="D73" s="560"/>
      <c r="E73" s="64" t="b">
        <f>'Sensitivity Labels'!F135</f>
        <v>0</v>
      </c>
      <c r="F73" t="str">
        <f>'Sensitivity Labels'!G135</f>
        <v>Meetings</v>
      </c>
      <c r="G73" s="720"/>
      <c r="H73" s="723"/>
      <c r="I73" s="726"/>
      <c r="J73" s="790" t="str">
        <f>IF('Emails, Files, &amp; Other Data'!AB192=TRUE,"Yes","No")</f>
        <v>No</v>
      </c>
      <c r="K73" s="308"/>
      <c r="L73" s="308"/>
      <c r="M73" s="308"/>
      <c r="N73" s="308"/>
      <c r="O73" s="788" t="str">
        <f>O$13</f>
        <v>Auto-labeling for files and emails: "Client-side Auto-Labeling"</v>
      </c>
      <c r="P73" s="793"/>
      <c r="Q73" s="786" t="str">
        <f>IF('Groups &amp; Sites'!H150=TRUE,"Yes","No")</f>
        <v>No</v>
      </c>
      <c r="R73" s="785" t="str">
        <f>R$13</f>
        <v>Let Microsoft 365 Group owners add people outside your organization to the group as guests.</v>
      </c>
      <c r="S73" s="780" t="str">
        <f>IF('Groups &amp; Sites'!K149=TRUE,"Yes","No")</f>
        <v>No</v>
      </c>
      <c r="T73" s="782" t="str">
        <f>T$13</f>
        <v>Use Microsoft Entra Conditional Access to protect labeled SharePoint sites</v>
      </c>
      <c r="U73" s="784" t="str">
        <f>IF(OR('Groups &amp; Sites'!S151=TRUE,'Groups &amp; Sites'!S152=TRUE,'Groups &amp; Sites'!S153=TRUE),"Yes","No")</f>
        <v>No</v>
      </c>
      <c r="V73" s="715" t="str">
        <f>V$13</f>
        <v>Teams shared channels</v>
      </c>
    </row>
    <row r="74" spans="1:22" ht="15" thickBot="1" x14ac:dyDescent="0.4">
      <c r="A74" s="745"/>
      <c r="B74" s="724"/>
      <c r="C74" s="741"/>
      <c r="D74" s="561"/>
      <c r="E74" s="69" t="b">
        <f>'Sensitivity Labels'!F137</f>
        <v>0</v>
      </c>
      <c r="F74" s="67" t="str">
        <f>'Sensitivity Labels'!G137</f>
        <v>Groups &amp; Sites</v>
      </c>
      <c r="G74" s="721"/>
      <c r="H74" s="724"/>
      <c r="I74" s="727"/>
      <c r="J74" s="791"/>
      <c r="K74" s="310"/>
      <c r="L74" s="310"/>
      <c r="M74" s="310"/>
      <c r="N74" s="310"/>
      <c r="O74" s="789"/>
      <c r="P74" s="794"/>
      <c r="Q74" s="787"/>
      <c r="R74" s="783"/>
      <c r="S74" s="781"/>
      <c r="T74" s="783"/>
      <c r="U74" s="781"/>
      <c r="V74" s="716"/>
    </row>
    <row r="75" spans="1:22" ht="14.5" x14ac:dyDescent="0.35">
      <c r="A75" s="742">
        <f>A71+1</f>
        <v>17</v>
      </c>
      <c r="B75" s="730">
        <f>'Sensitivity Labels'!C139</f>
        <v>0</v>
      </c>
      <c r="C75" s="734">
        <f>'Sensitivity Labels'!D139</f>
        <v>0</v>
      </c>
      <c r="D75" s="736">
        <f>'Sensitivity Labels'!E139</f>
        <v>0</v>
      </c>
      <c r="E75" s="340" t="b">
        <f>'Sensitivity Labels'!F139</f>
        <v>0</v>
      </c>
      <c r="F75" s="341" t="str">
        <f>'Sensitivity Labels'!G139</f>
        <v>Files &amp; Other Data assets</v>
      </c>
      <c r="G75" s="728">
        <f>'Sensitivity Labels'!I139</f>
        <v>0</v>
      </c>
      <c r="H75" s="730">
        <f>'Sensitivity Labels'!J139</f>
        <v>0</v>
      </c>
      <c r="I75" s="732">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774" t="str">
        <f>IF(E77=TRUE,"Yes","No")</f>
        <v>No</v>
      </c>
      <c r="Q75" s="761" t="str">
        <f>IF(OR('Groups &amp; Sites'!H157=INputs!AN$3,'Groups &amp; Sites'!H157=INputs!AN$4),"Yes","No")</f>
        <v>No</v>
      </c>
      <c r="R75" s="762" t="str">
        <f>R$11</f>
        <v>Privacy and external user access</v>
      </c>
      <c r="S75" s="732" t="str">
        <f>IF('Groups &amp; Sites'!K157=TRUE,"Yes","No")</f>
        <v>No</v>
      </c>
      <c r="T75" s="762" t="str">
        <f>T$11</f>
        <v>Content can be shared with</v>
      </c>
      <c r="U75" s="732" t="str">
        <f>IF('Groups &amp; Sites'!S158=TRUE,"Yes","No")</f>
        <v>No</v>
      </c>
      <c r="V75" s="713" t="str">
        <f>V$11</f>
        <v>Allow users to discover private teams that have this label applied.</v>
      </c>
    </row>
    <row r="76" spans="1:22" ht="14.5" x14ac:dyDescent="0.35">
      <c r="A76" s="743"/>
      <c r="B76" s="730"/>
      <c r="C76" s="734"/>
      <c r="D76" s="737"/>
      <c r="E76" s="340" t="b">
        <f>'Sensitivity Labels'!F141</f>
        <v>0</v>
      </c>
      <c r="F76" s="341" t="str">
        <f>'Sensitivity Labels'!G141</f>
        <v>Emails</v>
      </c>
      <c r="G76" s="728"/>
      <c r="H76" s="730"/>
      <c r="I76" s="732"/>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774"/>
      <c r="Q76" s="764"/>
      <c r="R76" s="763"/>
      <c r="S76" s="757"/>
      <c r="T76" s="763"/>
      <c r="U76" s="757"/>
      <c r="V76" s="714"/>
    </row>
    <row r="77" spans="1:22" ht="14.5" customHeight="1" x14ac:dyDescent="0.35">
      <c r="A77" s="743"/>
      <c r="B77" s="730"/>
      <c r="C77" s="734"/>
      <c r="D77" s="737"/>
      <c r="E77" s="340" t="b">
        <f>'Sensitivity Labels'!F143</f>
        <v>0</v>
      </c>
      <c r="F77" s="341" t="str">
        <f>'Sensitivity Labels'!G143</f>
        <v>Meetings</v>
      </c>
      <c r="G77" s="728"/>
      <c r="H77" s="730"/>
      <c r="I77" s="732"/>
      <c r="J77" s="767" t="str">
        <f>IF('Emails, Files, &amp; Other Data'!AB204=TRUE,"Yes","No")</f>
        <v>No</v>
      </c>
      <c r="K77" s="347"/>
      <c r="L77" s="347"/>
      <c r="M77" s="347"/>
      <c r="N77" s="347"/>
      <c r="O77" s="765" t="str">
        <f>O$13</f>
        <v>Auto-labeling for files and emails: "Client-side Auto-Labeling"</v>
      </c>
      <c r="P77" s="774"/>
      <c r="Q77" s="760" t="str">
        <f>IF('Groups &amp; Sites'!H159=TRUE,"Yes","No")</f>
        <v>No</v>
      </c>
      <c r="R77" s="758" t="str">
        <f>R$13</f>
        <v>Let Microsoft 365 Group owners add people outside your organization to the group as guests.</v>
      </c>
      <c r="S77" s="732" t="str">
        <f>IF('Groups &amp; Sites'!K158=TRUE,"Yes","No")</f>
        <v>No</v>
      </c>
      <c r="T77" s="759" t="str">
        <f>T$13</f>
        <v>Use Microsoft Entra Conditional Access to protect labeled SharePoint sites</v>
      </c>
      <c r="U77" s="773" t="str">
        <f>IF(OR('Groups &amp; Sites'!S160=TRUE,'Groups &amp; Sites'!S161=TRUE,'Groups &amp; Sites'!S162=TRUE),"Yes","No")</f>
        <v>No</v>
      </c>
      <c r="V77" s="717" t="str">
        <f>V$13</f>
        <v>Teams shared channels</v>
      </c>
    </row>
    <row r="78" spans="1:22" ht="15" thickBot="1" x14ac:dyDescent="0.4">
      <c r="A78" s="744"/>
      <c r="B78" s="731"/>
      <c r="C78" s="735"/>
      <c r="D78" s="738"/>
      <c r="E78" s="350" t="b">
        <f>'Sensitivity Labels'!F145</f>
        <v>0</v>
      </c>
      <c r="F78" s="351" t="str">
        <f>'Sensitivity Labels'!G145</f>
        <v>Groups &amp; Sites</v>
      </c>
      <c r="G78" s="729"/>
      <c r="H78" s="731"/>
      <c r="I78" s="733"/>
      <c r="J78" s="768"/>
      <c r="K78" s="352"/>
      <c r="L78" s="352"/>
      <c r="M78" s="352"/>
      <c r="N78" s="352"/>
      <c r="O78" s="766"/>
      <c r="P78" s="775"/>
      <c r="Q78" s="761"/>
      <c r="R78" s="759"/>
      <c r="S78" s="732"/>
      <c r="T78" s="759"/>
      <c r="U78" s="732"/>
      <c r="V78" s="718"/>
    </row>
    <row r="79" spans="1:22" ht="14.5" x14ac:dyDescent="0.35">
      <c r="A79" s="745">
        <f>A75+1</f>
        <v>18</v>
      </c>
      <c r="B79" s="722">
        <f>'Sensitivity Labels'!C147</f>
        <v>0</v>
      </c>
      <c r="C79" s="739">
        <f>'Sensitivity Labels'!D147</f>
        <v>0</v>
      </c>
      <c r="D79" s="559">
        <f>'Sensitivity Labels'!E147</f>
        <v>0</v>
      </c>
      <c r="E79" s="60" t="b">
        <f>'Sensitivity Labels'!F147</f>
        <v>0</v>
      </c>
      <c r="F79" s="62" t="str">
        <f>'Sensitivity Labels'!G147</f>
        <v>Files &amp; Other Data assets</v>
      </c>
      <c r="G79" s="719">
        <f>'Sensitivity Labels'!I147</f>
        <v>0</v>
      </c>
      <c r="H79" s="722">
        <f>'Sensitivity Labels'!J147</f>
        <v>0</v>
      </c>
      <c r="I79" s="725">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792" t="str">
        <f>IF(E81=TRUE,"Yes","No")</f>
        <v>No</v>
      </c>
      <c r="Q79" s="776" t="str">
        <f>IF(OR('Groups &amp; Sites'!H166=INputs!AN$3,'Groups &amp; Sites'!H166=INputs!AN$4),"Yes","No")</f>
        <v>No</v>
      </c>
      <c r="R79" s="778" t="str">
        <f>R$11</f>
        <v>Privacy and external user access</v>
      </c>
      <c r="S79" s="711" t="str">
        <f>IF('Groups &amp; Sites'!K166=TRUE,"Yes","No")</f>
        <v>No</v>
      </c>
      <c r="T79" s="778" t="str">
        <f>T$11</f>
        <v>Content can be shared with</v>
      </c>
      <c r="U79" s="711" t="str">
        <f>IF('Groups &amp; Sites'!S167=TRUE,"Yes","No")</f>
        <v>No</v>
      </c>
      <c r="V79" s="709" t="str">
        <f>V$11</f>
        <v>Allow users to discover private teams that have this label applied.</v>
      </c>
    </row>
    <row r="80" spans="1:22" ht="14.5" x14ac:dyDescent="0.35">
      <c r="A80" s="745"/>
      <c r="B80" s="723"/>
      <c r="C80" s="740"/>
      <c r="D80" s="560"/>
      <c r="E80" s="64" t="b">
        <f>'Sensitivity Labels'!F149</f>
        <v>0</v>
      </c>
      <c r="F80" t="str">
        <f>'Sensitivity Labels'!G149</f>
        <v>Emails</v>
      </c>
      <c r="G80" s="720"/>
      <c r="H80" s="723"/>
      <c r="I80" s="726"/>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793"/>
      <c r="Q80" s="777"/>
      <c r="R80" s="779"/>
      <c r="S80" s="712"/>
      <c r="T80" s="779"/>
      <c r="U80" s="712"/>
      <c r="V80" s="710"/>
    </row>
    <row r="81" spans="1:22" ht="14.5" x14ac:dyDescent="0.35">
      <c r="A81" s="745"/>
      <c r="B81" s="723"/>
      <c r="C81" s="740"/>
      <c r="D81" s="560"/>
      <c r="E81" s="64" t="b">
        <f>'Sensitivity Labels'!F151</f>
        <v>0</v>
      </c>
      <c r="F81" t="str">
        <f>'Sensitivity Labels'!G151</f>
        <v>Meetings</v>
      </c>
      <c r="G81" s="720"/>
      <c r="H81" s="723"/>
      <c r="I81" s="726"/>
      <c r="J81" s="790" t="str">
        <f>IF('Emails, Files, &amp; Other Data'!AB216=TRUE,"Yes","No")</f>
        <v>No</v>
      </c>
      <c r="K81" s="308"/>
      <c r="L81" s="308"/>
      <c r="M81" s="308"/>
      <c r="N81" s="308"/>
      <c r="O81" s="788" t="str">
        <f>O$13</f>
        <v>Auto-labeling for files and emails: "Client-side Auto-Labeling"</v>
      </c>
      <c r="P81" s="793"/>
      <c r="Q81" s="786" t="str">
        <f>IF('Groups &amp; Sites'!H168=TRUE,"Yes","No")</f>
        <v>No</v>
      </c>
      <c r="R81" s="785" t="str">
        <f>R$13</f>
        <v>Let Microsoft 365 Group owners add people outside your organization to the group as guests.</v>
      </c>
      <c r="S81" s="780" t="str">
        <f>IF('Groups &amp; Sites'!K167=TRUE,"Yes","No")</f>
        <v>No</v>
      </c>
      <c r="T81" s="782" t="str">
        <f>T$13</f>
        <v>Use Microsoft Entra Conditional Access to protect labeled SharePoint sites</v>
      </c>
      <c r="U81" s="784" t="str">
        <f>IF(OR('Groups &amp; Sites'!S169=TRUE,'Groups &amp; Sites'!S170=TRUE,'Groups &amp; Sites'!S171=TRUE),"Yes","No")</f>
        <v>No</v>
      </c>
      <c r="V81" s="715" t="str">
        <f>V$13</f>
        <v>Teams shared channels</v>
      </c>
    </row>
    <row r="82" spans="1:22" ht="15" thickBot="1" x14ac:dyDescent="0.4">
      <c r="A82" s="745"/>
      <c r="B82" s="724"/>
      <c r="C82" s="741"/>
      <c r="D82" s="561"/>
      <c r="E82" s="69" t="b">
        <f>'Sensitivity Labels'!F153</f>
        <v>0</v>
      </c>
      <c r="F82" s="67" t="str">
        <f>'Sensitivity Labels'!G153</f>
        <v>Groups &amp; Sites</v>
      </c>
      <c r="G82" s="721"/>
      <c r="H82" s="724"/>
      <c r="I82" s="727"/>
      <c r="J82" s="791"/>
      <c r="K82" s="310"/>
      <c r="L82" s="310"/>
      <c r="M82" s="310"/>
      <c r="N82" s="310"/>
      <c r="O82" s="789"/>
      <c r="P82" s="794"/>
      <c r="Q82" s="787"/>
      <c r="R82" s="783"/>
      <c r="S82" s="781"/>
      <c r="T82" s="783"/>
      <c r="U82" s="781"/>
      <c r="V82" s="716"/>
    </row>
    <row r="83" spans="1:22" ht="14.5" customHeight="1" x14ac:dyDescent="0.35">
      <c r="A83" s="742">
        <f>A79+1</f>
        <v>19</v>
      </c>
      <c r="B83" s="730">
        <f>'Sensitivity Labels'!C155</f>
        <v>0</v>
      </c>
      <c r="C83" s="734">
        <f>'Sensitivity Labels'!D155</f>
        <v>0</v>
      </c>
      <c r="D83" s="736">
        <f>'Sensitivity Labels'!E155</f>
        <v>0</v>
      </c>
      <c r="E83" s="340" t="b">
        <f>'Sensitivity Labels'!F155</f>
        <v>0</v>
      </c>
      <c r="F83" s="341" t="str">
        <f>'Sensitivity Labels'!G155</f>
        <v>Files &amp; Other Data assets</v>
      </c>
      <c r="G83" s="728">
        <f>'Sensitivity Labels'!I155</f>
        <v>0</v>
      </c>
      <c r="H83" s="730">
        <f>'Sensitivity Labels'!J155</f>
        <v>0</v>
      </c>
      <c r="I83" s="732">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774" t="str">
        <f>IF(E85=TRUE,"Yes","No")</f>
        <v>No</v>
      </c>
      <c r="Q83" s="761" t="str">
        <f>IF(OR('Groups &amp; Sites'!H175=INputs!AN$3,'Groups &amp; Sites'!H175=INputs!AN$4),"Yes","No")</f>
        <v>No</v>
      </c>
      <c r="R83" s="762" t="str">
        <f>R$11</f>
        <v>Privacy and external user access</v>
      </c>
      <c r="S83" s="732" t="str">
        <f>IF('Groups &amp; Sites'!K175=TRUE,"Yes","No")</f>
        <v>No</v>
      </c>
      <c r="T83" s="762" t="str">
        <f>T$11</f>
        <v>Content can be shared with</v>
      </c>
      <c r="U83" s="732" t="str">
        <f>IF('Groups &amp; Sites'!S176=TRUE,"Yes","No")</f>
        <v>No</v>
      </c>
      <c r="V83" s="713" t="str">
        <f>V$11</f>
        <v>Allow users to discover private teams that have this label applied.</v>
      </c>
    </row>
    <row r="84" spans="1:22" ht="14.5" x14ac:dyDescent="0.35">
      <c r="A84" s="743"/>
      <c r="B84" s="730"/>
      <c r="C84" s="734"/>
      <c r="D84" s="737"/>
      <c r="E84" s="340" t="b">
        <f>'Sensitivity Labels'!F157</f>
        <v>0</v>
      </c>
      <c r="F84" s="341" t="str">
        <f>'Sensitivity Labels'!G157</f>
        <v>Emails</v>
      </c>
      <c r="G84" s="728"/>
      <c r="H84" s="730"/>
      <c r="I84" s="732"/>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774"/>
      <c r="Q84" s="764"/>
      <c r="R84" s="763"/>
      <c r="S84" s="757"/>
      <c r="T84" s="763"/>
      <c r="U84" s="757"/>
      <c r="V84" s="714"/>
    </row>
    <row r="85" spans="1:22" ht="14.5" customHeight="1" x14ac:dyDescent="0.35">
      <c r="A85" s="743"/>
      <c r="B85" s="730"/>
      <c r="C85" s="734"/>
      <c r="D85" s="737"/>
      <c r="E85" s="340" t="b">
        <f>'Sensitivity Labels'!F159</f>
        <v>0</v>
      </c>
      <c r="F85" s="341" t="str">
        <f>'Sensitivity Labels'!G159</f>
        <v>Meetings</v>
      </c>
      <c r="G85" s="728"/>
      <c r="H85" s="730"/>
      <c r="I85" s="732"/>
      <c r="J85" s="767" t="str">
        <f>IF('Emails, Files, &amp; Other Data'!AB228=TRUE,"Yes","No")</f>
        <v>No</v>
      </c>
      <c r="K85" s="347"/>
      <c r="L85" s="347"/>
      <c r="M85" s="347"/>
      <c r="N85" s="347"/>
      <c r="O85" s="765" t="str">
        <f>O$13</f>
        <v>Auto-labeling for files and emails: "Client-side Auto-Labeling"</v>
      </c>
      <c r="P85" s="774"/>
      <c r="Q85" s="760" t="str">
        <f>IF('Groups &amp; Sites'!H177=TRUE,"Yes","No")</f>
        <v>No</v>
      </c>
      <c r="R85" s="758" t="str">
        <f>R$13</f>
        <v>Let Microsoft 365 Group owners add people outside your organization to the group as guests.</v>
      </c>
      <c r="S85" s="732" t="str">
        <f>IF('Groups &amp; Sites'!K176=TRUE,"Yes","No")</f>
        <v>No</v>
      </c>
      <c r="T85" s="759" t="str">
        <f>T$13</f>
        <v>Use Microsoft Entra Conditional Access to protect labeled SharePoint sites</v>
      </c>
      <c r="U85" s="773" t="str">
        <f>IF(OR('Groups &amp; Sites'!S178=TRUE,'Groups &amp; Sites'!S179=TRUE,'Groups &amp; Sites'!S180=TRUE),"Yes","No")</f>
        <v>No</v>
      </c>
      <c r="V85" s="717" t="str">
        <f>V$13</f>
        <v>Teams shared channels</v>
      </c>
    </row>
    <row r="86" spans="1:22" ht="15" thickBot="1" x14ac:dyDescent="0.4">
      <c r="A86" s="744"/>
      <c r="B86" s="731"/>
      <c r="C86" s="735"/>
      <c r="D86" s="738"/>
      <c r="E86" s="350" t="b">
        <f>'Sensitivity Labels'!F161</f>
        <v>0</v>
      </c>
      <c r="F86" s="351" t="str">
        <f>'Sensitivity Labels'!G161</f>
        <v>Groups &amp; Sites</v>
      </c>
      <c r="G86" s="729"/>
      <c r="H86" s="731"/>
      <c r="I86" s="733"/>
      <c r="J86" s="768"/>
      <c r="K86" s="352"/>
      <c r="L86" s="352"/>
      <c r="M86" s="352"/>
      <c r="N86" s="352"/>
      <c r="O86" s="766"/>
      <c r="P86" s="775"/>
      <c r="Q86" s="761"/>
      <c r="R86" s="759"/>
      <c r="S86" s="732"/>
      <c r="T86" s="759"/>
      <c r="U86" s="732"/>
      <c r="V86" s="718"/>
    </row>
    <row r="87" spans="1:22" ht="14.5" customHeight="1" x14ac:dyDescent="0.35">
      <c r="A87" s="745">
        <f>A83+1</f>
        <v>20</v>
      </c>
      <c r="B87" s="722">
        <f>'Sensitivity Labels'!C163</f>
        <v>0</v>
      </c>
      <c r="C87" s="739">
        <f>'Sensitivity Labels'!D163</f>
        <v>0</v>
      </c>
      <c r="D87" s="559">
        <f>'Sensitivity Labels'!E163</f>
        <v>0</v>
      </c>
      <c r="E87" s="60" t="b">
        <f>'Sensitivity Labels'!F163</f>
        <v>0</v>
      </c>
      <c r="F87" s="62" t="str">
        <f>'Sensitivity Labels'!G163</f>
        <v>Files &amp; Other Data assets</v>
      </c>
      <c r="G87" s="719">
        <f>'Sensitivity Labels'!I163</f>
        <v>0</v>
      </c>
      <c r="H87" s="722">
        <f>'Sensitivity Labels'!J163</f>
        <v>0</v>
      </c>
      <c r="I87" s="725">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792" t="str">
        <f>IF(E89=TRUE,"Yes","No")</f>
        <v>No</v>
      </c>
      <c r="Q87" s="776" t="str">
        <f>IF(OR('Groups &amp; Sites'!H184=INputs!AN$3,'Groups &amp; Sites'!H184=INputs!AN$4),"Yes","No")</f>
        <v>No</v>
      </c>
      <c r="R87" s="778" t="str">
        <f>R$11</f>
        <v>Privacy and external user access</v>
      </c>
      <c r="S87" s="711" t="str">
        <f>IF('Groups &amp; Sites'!K184=TRUE,"Yes","No")</f>
        <v>No</v>
      </c>
      <c r="T87" s="778" t="str">
        <f>T$11</f>
        <v>Content can be shared with</v>
      </c>
      <c r="U87" s="711" t="str">
        <f>IF('Groups &amp; Sites'!S185=TRUE,"Yes","No")</f>
        <v>No</v>
      </c>
      <c r="V87" s="709" t="str">
        <f>V$11</f>
        <v>Allow users to discover private teams that have this label applied.</v>
      </c>
    </row>
    <row r="88" spans="1:22" ht="14.5" x14ac:dyDescent="0.35">
      <c r="A88" s="745"/>
      <c r="B88" s="723"/>
      <c r="C88" s="740"/>
      <c r="D88" s="560"/>
      <c r="E88" s="64" t="b">
        <f>'Sensitivity Labels'!F165</f>
        <v>0</v>
      </c>
      <c r="F88" t="str">
        <f>'Sensitivity Labels'!G165</f>
        <v>Emails</v>
      </c>
      <c r="G88" s="720"/>
      <c r="H88" s="723"/>
      <c r="I88" s="726"/>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793"/>
      <c r="Q88" s="777"/>
      <c r="R88" s="779"/>
      <c r="S88" s="712"/>
      <c r="T88" s="779"/>
      <c r="U88" s="712"/>
      <c r="V88" s="710"/>
    </row>
    <row r="89" spans="1:22" ht="14.5" customHeight="1" x14ac:dyDescent="0.35">
      <c r="A89" s="745"/>
      <c r="B89" s="723"/>
      <c r="C89" s="740"/>
      <c r="D89" s="560"/>
      <c r="E89" s="64" t="b">
        <f>'Sensitivity Labels'!F167</f>
        <v>0</v>
      </c>
      <c r="F89" t="str">
        <f>'Sensitivity Labels'!G167</f>
        <v>Meetings</v>
      </c>
      <c r="G89" s="720"/>
      <c r="H89" s="723"/>
      <c r="I89" s="726"/>
      <c r="J89" s="790" t="str">
        <f>IF('Emails, Files, &amp; Other Data'!AB240=TRUE,"Yes","No")</f>
        <v>No</v>
      </c>
      <c r="K89" s="308"/>
      <c r="L89" s="308"/>
      <c r="M89" s="308"/>
      <c r="N89" s="308"/>
      <c r="O89" s="788" t="str">
        <f>O$13</f>
        <v>Auto-labeling for files and emails: "Client-side Auto-Labeling"</v>
      </c>
      <c r="P89" s="793"/>
      <c r="Q89" s="786" t="str">
        <f>IF('Groups &amp; Sites'!H186=TRUE,"Yes","No")</f>
        <v>No</v>
      </c>
      <c r="R89" s="785" t="str">
        <f>R$13</f>
        <v>Let Microsoft 365 Group owners add people outside your organization to the group as guests.</v>
      </c>
      <c r="S89" s="780" t="str">
        <f>IF('Groups &amp; Sites'!K185=TRUE,"Yes","No")</f>
        <v>No</v>
      </c>
      <c r="T89" s="782" t="str">
        <f>T$13</f>
        <v>Use Microsoft Entra Conditional Access to protect labeled SharePoint sites</v>
      </c>
      <c r="U89" s="784" t="str">
        <f>IF(OR('Groups &amp; Sites'!S187=TRUE,'Groups &amp; Sites'!S188=TRUE,'Groups &amp; Sites'!S189=TRUE),"Yes","No")</f>
        <v>No</v>
      </c>
      <c r="V89" s="715" t="str">
        <f>V$13</f>
        <v>Teams shared channels</v>
      </c>
    </row>
    <row r="90" spans="1:22" ht="15" thickBot="1" x14ac:dyDescent="0.4">
      <c r="A90" s="745"/>
      <c r="B90" s="724"/>
      <c r="C90" s="741"/>
      <c r="D90" s="561"/>
      <c r="E90" s="69" t="b">
        <f>'Sensitivity Labels'!F169</f>
        <v>0</v>
      </c>
      <c r="F90" s="67" t="str">
        <f>'Sensitivity Labels'!G169</f>
        <v>Groups &amp; Sites</v>
      </c>
      <c r="G90" s="721"/>
      <c r="H90" s="724"/>
      <c r="I90" s="727"/>
      <c r="J90" s="791"/>
      <c r="K90" s="310"/>
      <c r="L90" s="310"/>
      <c r="M90" s="310"/>
      <c r="N90" s="310"/>
      <c r="O90" s="789"/>
      <c r="P90" s="794"/>
      <c r="Q90" s="787"/>
      <c r="R90" s="783"/>
      <c r="S90" s="781"/>
      <c r="T90" s="783"/>
      <c r="U90" s="781"/>
      <c r="V90" s="716"/>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Z21" sqref="Z21"/>
    </sheetView>
  </sheetViews>
  <sheetFormatPr defaultRowHeight="14.5" outlineLevelRow="1" x14ac:dyDescent="0.35"/>
  <cols>
    <col min="1" max="1" width="3.7265625" style="87" customWidth="1"/>
    <col min="2" max="2" width="5.1796875" style="87" hidden="1" customWidth="1"/>
    <col min="3" max="3" width="40.81640625" bestFit="1" customWidth="1"/>
    <col min="4" max="4" width="1.54296875" customWidth="1"/>
    <col min="5" max="5" width="41.7265625" customWidth="1"/>
    <col min="6" max="6" width="1.54296875" customWidth="1"/>
    <col min="7" max="7" width="48.81640625" customWidth="1"/>
    <col min="8" max="8" width="1.54296875" customWidth="1"/>
    <col min="9" max="9" width="48.54296875" customWidth="1"/>
    <col min="10" max="10" width="1.54296875" customWidth="1"/>
    <col min="11" max="11" width="34.1796875" customWidth="1"/>
    <col min="12" max="12" width="2.1796875" customWidth="1"/>
    <col min="13" max="13" width="3.54296875" customWidth="1"/>
    <col min="14" max="14" width="70.453125" customWidth="1"/>
    <col min="15" max="15" width="2.1796875" customWidth="1"/>
    <col min="16" max="16" width="3.54296875" customWidth="1"/>
    <col min="17" max="17" width="34.1796875" customWidth="1"/>
    <col min="18" max="18" width="2.1796875" customWidth="1"/>
    <col min="19" max="19" width="3.54296875" customWidth="1"/>
    <col min="20" max="20" width="48.54296875" customWidth="1"/>
    <col min="21" max="21" width="2.1796875" customWidth="1"/>
    <col min="22" max="22" width="2.81640625" style="114" customWidth="1"/>
    <col min="23" max="23" width="60.54296875" customWidth="1"/>
    <col min="24" max="24" width="2.1796875" customWidth="1"/>
    <col min="25" max="25" width="3" customWidth="1"/>
    <col min="26" max="26" width="60.54296875" customWidth="1"/>
    <col min="27" max="27" width="2.1796875" customWidth="1"/>
    <col min="28" max="28" width="2.7265625" customWidth="1"/>
    <col min="29" max="29" width="53.81640625" customWidth="1"/>
    <col min="30" max="30" width="0.7265625" customWidth="1"/>
  </cols>
  <sheetData>
    <row r="1" spans="1:30" ht="23.5" x14ac:dyDescent="0.55000000000000004">
      <c r="C1" s="43" t="s">
        <v>99</v>
      </c>
      <c r="T1" s="486"/>
    </row>
    <row r="2" spans="1:30" ht="10.5" customHeight="1" thickBot="1" x14ac:dyDescent="0.4"/>
    <row r="3" spans="1:30" ht="27.75" customHeight="1" thickBot="1" x14ac:dyDescent="0.4">
      <c r="C3" s="96" t="s">
        <v>113</v>
      </c>
      <c r="D3" s="17"/>
      <c r="E3" s="96" t="s">
        <v>266</v>
      </c>
      <c r="F3" s="17"/>
      <c r="G3" s="96" t="s">
        <v>267</v>
      </c>
      <c r="H3" s="17"/>
      <c r="I3" s="96" t="s">
        <v>268</v>
      </c>
      <c r="J3" s="17"/>
      <c r="K3" s="96" t="s">
        <v>269</v>
      </c>
      <c r="L3" s="17"/>
      <c r="M3" s="678" t="s">
        <v>270</v>
      </c>
      <c r="N3" s="679"/>
      <c r="O3" s="17"/>
      <c r="P3" s="616" t="s">
        <v>271</v>
      </c>
      <c r="Q3" s="617"/>
      <c r="R3" s="17"/>
      <c r="S3" s="678" t="s">
        <v>272</v>
      </c>
      <c r="T3" s="679"/>
      <c r="U3" s="18"/>
      <c r="V3" s="678" t="s">
        <v>273</v>
      </c>
      <c r="W3" s="679"/>
      <c r="X3" s="137"/>
      <c r="Y3" s="678" t="s">
        <v>274</v>
      </c>
      <c r="Z3" s="679"/>
      <c r="AA3" s="17"/>
      <c r="AB3" s="678" t="s">
        <v>275</v>
      </c>
      <c r="AC3" s="679"/>
    </row>
    <row r="4" spans="1:30" ht="7" hidden="1" customHeight="1" x14ac:dyDescent="0.3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5" hidden="1" customHeight="1" outlineLevel="1" x14ac:dyDescent="0.35">
      <c r="A5" s="225" t="s">
        <v>119</v>
      </c>
      <c r="B5" s="147"/>
      <c r="C5" s="168" t="s">
        <v>276</v>
      </c>
      <c r="D5" s="154"/>
      <c r="E5" s="169" t="s">
        <v>277</v>
      </c>
      <c r="F5" s="154"/>
      <c r="G5" s="169" t="s">
        <v>278</v>
      </c>
      <c r="H5" s="154"/>
      <c r="I5" s="169" t="s">
        <v>279</v>
      </c>
      <c r="J5" s="154"/>
      <c r="K5" s="169" t="s">
        <v>280</v>
      </c>
      <c r="L5" s="154"/>
      <c r="M5" s="804" t="s">
        <v>281</v>
      </c>
      <c r="N5" s="805"/>
      <c r="O5" s="154"/>
      <c r="P5" s="804" t="s">
        <v>282</v>
      </c>
      <c r="Q5" s="805"/>
      <c r="R5" s="154"/>
      <c r="S5" s="804" t="s">
        <v>283</v>
      </c>
      <c r="T5" s="586"/>
      <c r="U5" s="170"/>
      <c r="V5" s="586" t="s">
        <v>284</v>
      </c>
      <c r="W5" s="586"/>
      <c r="X5" s="170"/>
      <c r="Y5" s="586" t="s">
        <v>285</v>
      </c>
      <c r="Z5" s="586"/>
      <c r="AA5" s="170"/>
      <c r="AB5" s="586" t="s">
        <v>286</v>
      </c>
      <c r="AC5" s="586"/>
    </row>
    <row r="6" spans="1:30" s="3" customFormat="1" ht="14.5" hidden="1" customHeight="1" outlineLevel="1" x14ac:dyDescent="0.35">
      <c r="A6" s="655" t="s">
        <v>127</v>
      </c>
      <c r="B6" s="225"/>
      <c r="C6" s="160" t="s">
        <v>287</v>
      </c>
      <c r="D6" s="124"/>
      <c r="E6" s="163"/>
      <c r="F6" s="124"/>
      <c r="G6" s="163"/>
      <c r="H6" s="124"/>
      <c r="I6" s="160" t="s">
        <v>288</v>
      </c>
      <c r="J6" s="124"/>
      <c r="K6" s="160" t="s">
        <v>289</v>
      </c>
      <c r="L6" s="124"/>
      <c r="M6" s="589" t="s">
        <v>287</v>
      </c>
      <c r="N6" s="589"/>
      <c r="O6" s="124"/>
      <c r="P6" s="589" t="s">
        <v>290</v>
      </c>
      <c r="Q6" s="589"/>
      <c r="R6" s="124"/>
      <c r="S6" s="589" t="s">
        <v>290</v>
      </c>
      <c r="T6" s="589"/>
      <c r="U6" s="124"/>
      <c r="V6" s="589" t="s">
        <v>221</v>
      </c>
      <c r="W6" s="589"/>
      <c r="X6" s="124"/>
      <c r="Y6" s="589" t="s">
        <v>291</v>
      </c>
      <c r="Z6" s="589"/>
      <c r="AA6" s="124"/>
      <c r="AB6" s="589" t="s">
        <v>292</v>
      </c>
      <c r="AC6" s="589"/>
    </row>
    <row r="7" spans="1:30" s="3" customFormat="1" ht="14.5" hidden="1" customHeight="1" outlineLevel="1" x14ac:dyDescent="0.35">
      <c r="A7" s="655"/>
      <c r="B7" s="225"/>
      <c r="C7" s="163"/>
      <c r="D7" s="124"/>
      <c r="E7" s="163"/>
      <c r="F7" s="124"/>
      <c r="G7" s="163"/>
      <c r="H7" s="124"/>
      <c r="I7" s="163"/>
      <c r="J7" s="124"/>
      <c r="K7" s="163"/>
      <c r="L7" s="124"/>
      <c r="M7" s="589" t="s">
        <v>293</v>
      </c>
      <c r="N7" s="589"/>
      <c r="O7" s="124"/>
      <c r="P7" s="591"/>
      <c r="Q7" s="591"/>
      <c r="R7" s="124"/>
      <c r="S7" s="589" t="s">
        <v>294</v>
      </c>
      <c r="T7" s="589"/>
      <c r="U7" s="124"/>
      <c r="V7" s="591"/>
      <c r="W7" s="591"/>
      <c r="X7" s="124"/>
      <c r="Y7" s="591"/>
      <c r="Z7" s="591"/>
      <c r="AA7" s="124"/>
      <c r="AB7" s="591"/>
      <c r="AC7" s="591"/>
    </row>
    <row r="8" spans="1:30" s="3" customFormat="1" hidden="1" outlineLevel="1" x14ac:dyDescent="0.35">
      <c r="A8" s="655"/>
      <c r="B8" s="225"/>
      <c r="C8" s="163"/>
      <c r="D8" s="124"/>
      <c r="E8" s="163"/>
      <c r="F8" s="124"/>
      <c r="G8" s="163"/>
      <c r="H8" s="124"/>
      <c r="I8" s="163"/>
      <c r="J8" s="124"/>
      <c r="K8" s="163"/>
      <c r="L8" s="124"/>
      <c r="M8" s="589" t="s">
        <v>295</v>
      </c>
      <c r="N8" s="589"/>
      <c r="O8" s="124"/>
      <c r="P8" s="591"/>
      <c r="Q8" s="591"/>
      <c r="R8" s="124"/>
      <c r="S8" s="591"/>
      <c r="T8" s="591"/>
      <c r="U8" s="124"/>
      <c r="V8" s="591"/>
      <c r="W8" s="591"/>
      <c r="X8" s="124"/>
      <c r="Y8" s="591"/>
      <c r="Z8" s="591"/>
      <c r="AA8" s="124"/>
      <c r="AB8" s="591"/>
      <c r="AC8" s="591"/>
    </row>
    <row r="9" spans="1:30" s="3" customFormat="1" hidden="1" outlineLevel="1" x14ac:dyDescent="0.35">
      <c r="A9" s="655"/>
      <c r="B9" s="225"/>
      <c r="C9" s="163"/>
      <c r="D9" s="124"/>
      <c r="E9" s="163"/>
      <c r="F9" s="124"/>
      <c r="G9" s="163"/>
      <c r="H9" s="124"/>
      <c r="I9" s="163"/>
      <c r="J9" s="124"/>
      <c r="K9" s="163"/>
      <c r="L9" s="124"/>
      <c r="M9" s="589" t="s">
        <v>296</v>
      </c>
      <c r="N9" s="589"/>
      <c r="O9" s="124"/>
      <c r="P9" s="591"/>
      <c r="Q9" s="591"/>
      <c r="R9" s="124"/>
      <c r="S9" s="591"/>
      <c r="T9" s="591"/>
      <c r="U9" s="124"/>
      <c r="V9" s="591"/>
      <c r="W9" s="591"/>
      <c r="X9" s="124"/>
      <c r="Y9" s="591"/>
      <c r="Z9" s="591"/>
      <c r="AA9" s="124"/>
      <c r="AB9" s="591"/>
      <c r="AC9" s="591"/>
    </row>
    <row r="10" spans="1:30" s="3" customFormat="1" hidden="1" outlineLevel="1" x14ac:dyDescent="0.35">
      <c r="A10" s="655"/>
      <c r="B10" s="225"/>
      <c r="C10" s="163"/>
      <c r="D10" s="124"/>
      <c r="E10" s="163"/>
      <c r="F10" s="124"/>
      <c r="G10" s="163"/>
      <c r="H10" s="124"/>
      <c r="I10" s="163"/>
      <c r="J10" s="124"/>
      <c r="K10" s="163"/>
      <c r="L10" s="124"/>
      <c r="M10" s="589" t="s">
        <v>293</v>
      </c>
      <c r="N10" s="589"/>
      <c r="O10" s="124"/>
      <c r="P10" s="591"/>
      <c r="Q10" s="591"/>
      <c r="R10" s="124"/>
      <c r="S10" s="591"/>
      <c r="T10" s="591"/>
      <c r="U10" s="124"/>
      <c r="V10" s="591"/>
      <c r="W10" s="591"/>
      <c r="X10" s="124"/>
      <c r="Y10" s="591"/>
      <c r="Z10" s="591"/>
      <c r="AA10" s="124"/>
      <c r="AB10" s="591"/>
      <c r="AC10" s="591"/>
    </row>
    <row r="11" spans="1:30" collapsed="1" x14ac:dyDescent="0.35">
      <c r="C11" s="7" t="s">
        <v>135</v>
      </c>
      <c r="D11" s="17"/>
      <c r="E11" s="7" t="s">
        <v>135</v>
      </c>
      <c r="F11" s="17"/>
      <c r="G11" s="7" t="s">
        <v>135</v>
      </c>
      <c r="H11" s="17"/>
      <c r="I11" s="7" t="s">
        <v>135</v>
      </c>
      <c r="J11" s="17"/>
      <c r="K11" s="7" t="s">
        <v>135</v>
      </c>
      <c r="L11" s="17"/>
      <c r="M11" s="18"/>
      <c r="N11" s="29" t="s">
        <v>136</v>
      </c>
      <c r="O11" s="29"/>
      <c r="P11" s="653" t="s">
        <v>136</v>
      </c>
      <c r="Q11" s="653"/>
      <c r="R11" s="29"/>
      <c r="S11" s="653" t="s">
        <v>136</v>
      </c>
      <c r="T11" s="653"/>
      <c r="U11" s="29"/>
      <c r="V11" s="653" t="s">
        <v>136</v>
      </c>
      <c r="W11" s="653"/>
      <c r="X11" s="8"/>
      <c r="Y11" s="653" t="s">
        <v>136</v>
      </c>
      <c r="Z11" s="653"/>
      <c r="AA11" s="29"/>
      <c r="AB11" s="806" t="s">
        <v>136</v>
      </c>
      <c r="AC11" s="806"/>
      <c r="AD11" s="29"/>
    </row>
    <row r="12" spans="1:30" ht="6" customHeight="1" thickBot="1" x14ac:dyDescent="0.4">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35">
      <c r="A13" s="569">
        <v>1</v>
      </c>
      <c r="B13" s="13">
        <f>A13+10</f>
        <v>11</v>
      </c>
      <c r="C13" s="798" t="s">
        <v>398</v>
      </c>
      <c r="D13" s="78"/>
      <c r="E13" s="795"/>
      <c r="F13" s="78"/>
      <c r="G13" s="556" t="s">
        <v>399</v>
      </c>
      <c r="H13" s="78"/>
      <c r="I13" s="795"/>
      <c r="J13" s="78"/>
      <c r="K13" s="795" t="s">
        <v>400</v>
      </c>
      <c r="L13" s="62"/>
      <c r="M13" s="60" t="b">
        <v>1</v>
      </c>
      <c r="N13" s="62" t="s">
        <v>297</v>
      </c>
      <c r="O13" s="62"/>
      <c r="P13" s="62"/>
      <c r="Q13" s="62" t="s">
        <v>298</v>
      </c>
      <c r="R13" s="62"/>
      <c r="S13" s="739"/>
      <c r="T13" s="62" t="s">
        <v>299</v>
      </c>
      <c r="U13" s="62"/>
      <c r="V13" s="739"/>
      <c r="W13" s="62" t="s">
        <v>300</v>
      </c>
      <c r="X13" s="62"/>
      <c r="Y13" s="739"/>
      <c r="Z13" s="62" t="s">
        <v>301</v>
      </c>
      <c r="AA13" s="62"/>
      <c r="AB13" s="739"/>
      <c r="AC13" s="62" t="s">
        <v>302</v>
      </c>
      <c r="AD13" s="71"/>
    </row>
    <row r="14" spans="1:30" x14ac:dyDescent="0.35">
      <c r="A14" s="570"/>
      <c r="B14" s="233">
        <f t="shared" ref="B14:B22" si="0">B13+1</f>
        <v>12</v>
      </c>
      <c r="C14" s="799"/>
      <c r="D14" s="25"/>
      <c r="E14" s="537"/>
      <c r="F14" s="25"/>
      <c r="G14" s="557"/>
      <c r="H14" s="25"/>
      <c r="I14" s="537"/>
      <c r="J14" s="25"/>
      <c r="K14" s="537"/>
      <c r="M14" s="64" t="b">
        <v>1</v>
      </c>
      <c r="N14" t="s">
        <v>303</v>
      </c>
      <c r="Q14" s="485" t="s">
        <v>135</v>
      </c>
      <c r="S14" s="740"/>
      <c r="T14" s="485" t="s">
        <v>135</v>
      </c>
      <c r="V14" s="740"/>
      <c r="W14" s="485" t="s">
        <v>135</v>
      </c>
      <c r="Y14" s="740"/>
      <c r="Z14" s="485" t="s">
        <v>135</v>
      </c>
      <c r="AB14" s="740"/>
      <c r="AC14" s="485" t="s">
        <v>135</v>
      </c>
      <c r="AD14" s="66"/>
    </row>
    <row r="15" spans="1:30" x14ac:dyDescent="0.35">
      <c r="A15" s="570"/>
      <c r="B15" s="233">
        <f t="shared" si="0"/>
        <v>13</v>
      </c>
      <c r="C15" s="799"/>
      <c r="D15" s="25"/>
      <c r="E15" s="537"/>
      <c r="F15" s="25"/>
      <c r="G15" s="557"/>
      <c r="H15" s="25"/>
      <c r="I15" s="537"/>
      <c r="J15" s="25"/>
      <c r="K15" s="537"/>
      <c r="M15" s="64" t="b">
        <v>0</v>
      </c>
      <c r="N15" t="s">
        <v>304</v>
      </c>
      <c r="Q15" s="5" t="s">
        <v>378</v>
      </c>
      <c r="T15" s="10" t="s">
        <v>378</v>
      </c>
      <c r="W15" s="10" t="s">
        <v>378</v>
      </c>
      <c r="Z15" s="10" t="s">
        <v>378</v>
      </c>
      <c r="AC15" s="10"/>
      <c r="AD15" s="66"/>
    </row>
    <row r="16" spans="1:30" ht="1.5" customHeight="1" x14ac:dyDescent="0.35">
      <c r="A16" s="570"/>
      <c r="B16" s="233">
        <f t="shared" si="0"/>
        <v>14</v>
      </c>
      <c r="C16" s="799"/>
      <c r="D16" s="25"/>
      <c r="E16" s="537"/>
      <c r="F16" s="25"/>
      <c r="G16" s="557"/>
      <c r="H16" s="25"/>
      <c r="I16" s="537"/>
      <c r="J16" s="25"/>
      <c r="K16" s="537"/>
      <c r="Q16" s="3"/>
      <c r="AD16" s="66"/>
    </row>
    <row r="17" spans="1:30" x14ac:dyDescent="0.35">
      <c r="A17" s="570"/>
      <c r="B17" s="233">
        <f t="shared" si="0"/>
        <v>15</v>
      </c>
      <c r="C17" s="799"/>
      <c r="D17" s="25"/>
      <c r="E17" s="537"/>
      <c r="F17" s="25"/>
      <c r="G17" s="557"/>
      <c r="H17" s="25"/>
      <c r="I17" s="537"/>
      <c r="J17" s="25"/>
      <c r="K17" s="537"/>
      <c r="M17" s="64" t="b">
        <v>1</v>
      </c>
      <c r="N17" t="s">
        <v>305</v>
      </c>
      <c r="Q17" s="9"/>
      <c r="S17" s="45" t="b">
        <v>1</v>
      </c>
      <c r="T17" s="44" t="s">
        <v>306</v>
      </c>
      <c r="V17" s="115" t="b">
        <v>1</v>
      </c>
      <c r="W17" t="s">
        <v>307</v>
      </c>
      <c r="Y17" s="802" t="b">
        <v>1</v>
      </c>
      <c r="Z17" t="s">
        <v>308</v>
      </c>
      <c r="AD17" s="66"/>
    </row>
    <row r="18" spans="1:30" ht="3.65" customHeight="1" x14ac:dyDescent="0.35">
      <c r="A18" s="570"/>
      <c r="B18" s="233">
        <f t="shared" si="0"/>
        <v>16</v>
      </c>
      <c r="C18" s="799"/>
      <c r="D18" s="25"/>
      <c r="E18" s="537"/>
      <c r="F18" s="25"/>
      <c r="G18" s="557"/>
      <c r="H18" s="25"/>
      <c r="I18" s="537"/>
      <c r="J18" s="25"/>
      <c r="K18" s="537"/>
      <c r="Q18" s="9"/>
      <c r="S18" s="44"/>
      <c r="T18" s="44"/>
      <c r="Y18" s="802"/>
      <c r="AD18" s="66"/>
    </row>
    <row r="19" spans="1:30" x14ac:dyDescent="0.35">
      <c r="A19" s="570"/>
      <c r="B19" s="233">
        <f t="shared" si="0"/>
        <v>17</v>
      </c>
      <c r="C19" s="799"/>
      <c r="D19" s="25"/>
      <c r="E19" s="537"/>
      <c r="F19" s="25"/>
      <c r="G19" s="557"/>
      <c r="H19" s="25"/>
      <c r="I19" s="537"/>
      <c r="J19" s="25"/>
      <c r="K19" s="537"/>
      <c r="N19" s="73" t="s">
        <v>135</v>
      </c>
      <c r="S19" s="803" t="s">
        <v>309</v>
      </c>
      <c r="T19" s="803"/>
      <c r="V19" s="803" t="s">
        <v>310</v>
      </c>
      <c r="W19" s="803"/>
      <c r="Y19" s="802"/>
      <c r="AD19" s="66"/>
    </row>
    <row r="20" spans="1:30" x14ac:dyDescent="0.35">
      <c r="A20" s="570"/>
      <c r="B20" s="233">
        <f t="shared" si="0"/>
        <v>18</v>
      </c>
      <c r="C20" s="799"/>
      <c r="D20" s="25"/>
      <c r="E20" s="537"/>
      <c r="F20" s="25"/>
      <c r="G20" s="557"/>
      <c r="H20" s="25"/>
      <c r="I20" s="537"/>
      <c r="J20" s="25"/>
      <c r="K20" s="537"/>
      <c r="N20" s="674" t="s">
        <v>401</v>
      </c>
      <c r="S20" s="64" t="b">
        <v>1</v>
      </c>
      <c r="T20" t="s">
        <v>311</v>
      </c>
      <c r="W20" t="s">
        <v>312</v>
      </c>
      <c r="AD20" s="66"/>
    </row>
    <row r="21" spans="1:30" x14ac:dyDescent="0.35">
      <c r="A21" s="570"/>
      <c r="B21" s="233">
        <f t="shared" si="0"/>
        <v>19</v>
      </c>
      <c r="C21" s="799"/>
      <c r="D21" s="25"/>
      <c r="E21" s="537"/>
      <c r="F21" s="25"/>
      <c r="G21" s="557"/>
      <c r="H21" s="25"/>
      <c r="I21" s="537"/>
      <c r="J21" s="25"/>
      <c r="K21" s="537"/>
      <c r="N21" s="674"/>
      <c r="T21" s="73" t="s">
        <v>137</v>
      </c>
      <c r="W21" s="488" t="s">
        <v>137</v>
      </c>
      <c r="X21" s="73"/>
      <c r="Y21" s="73"/>
      <c r="Z21" s="73"/>
      <c r="AD21" s="66"/>
    </row>
    <row r="22" spans="1:30" x14ac:dyDescent="0.35">
      <c r="A22" s="570"/>
      <c r="B22" s="233">
        <f t="shared" si="0"/>
        <v>20</v>
      </c>
      <c r="C22" s="800"/>
      <c r="D22" s="25"/>
      <c r="E22" s="796"/>
      <c r="F22" s="25"/>
      <c r="G22" s="557"/>
      <c r="H22" s="25"/>
      <c r="I22" s="796"/>
      <c r="J22" s="25"/>
      <c r="K22" s="796"/>
      <c r="N22" s="482"/>
      <c r="T22" s="44" t="s">
        <v>22</v>
      </c>
      <c r="W22" s="10" t="s">
        <v>22</v>
      </c>
      <c r="X22" s="73"/>
      <c r="Y22" s="73"/>
      <c r="Z22" s="73"/>
      <c r="AD22" s="66"/>
    </row>
    <row r="23" spans="1:30" ht="9.65" customHeight="1" thickBot="1" x14ac:dyDescent="0.4">
      <c r="A23" s="571"/>
      <c r="B23" s="233"/>
      <c r="C23" s="801"/>
      <c r="D23" s="120"/>
      <c r="E23" s="797"/>
      <c r="F23" s="120"/>
      <c r="G23" s="558"/>
      <c r="H23" s="120"/>
      <c r="I23" s="797"/>
      <c r="J23" s="120"/>
      <c r="K23" s="797"/>
      <c r="L23" s="67"/>
      <c r="M23" s="67"/>
      <c r="N23" s="67"/>
      <c r="O23" s="67"/>
      <c r="P23" s="67"/>
      <c r="Q23" s="67"/>
      <c r="R23" s="67"/>
      <c r="S23" s="67"/>
      <c r="T23" s="67"/>
      <c r="U23" s="67"/>
      <c r="V23" s="99"/>
      <c r="W23" s="67"/>
      <c r="X23" s="74"/>
      <c r="Y23" s="74"/>
      <c r="Z23" s="74"/>
      <c r="AA23" s="67"/>
      <c r="AB23" s="67"/>
      <c r="AC23" s="67"/>
      <c r="AD23" s="70"/>
    </row>
    <row r="24" spans="1:30" ht="7" customHeight="1" thickBot="1" x14ac:dyDescent="0.4">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35">
      <c r="A25" s="569">
        <f>A13+1</f>
        <v>2</v>
      </c>
      <c r="B25" s="13">
        <f>(A25*10)+1</f>
        <v>21</v>
      </c>
      <c r="C25" s="798"/>
      <c r="D25" s="78"/>
      <c r="E25" s="795"/>
      <c r="F25" s="78"/>
      <c r="G25" s="556"/>
      <c r="H25" s="78"/>
      <c r="I25" s="795"/>
      <c r="J25" s="78"/>
      <c r="K25" s="795"/>
      <c r="L25" s="62"/>
      <c r="M25" s="60" t="b">
        <v>0</v>
      </c>
      <c r="N25" s="62" t="s">
        <v>297</v>
      </c>
      <c r="O25" s="62"/>
      <c r="P25" s="62"/>
      <c r="Q25" s="62" t="s">
        <v>298</v>
      </c>
      <c r="R25" s="62"/>
      <c r="S25" s="739"/>
      <c r="T25" s="62" t="s">
        <v>299</v>
      </c>
      <c r="U25" s="62"/>
      <c r="V25" s="739"/>
      <c r="W25" s="62" t="s">
        <v>300</v>
      </c>
      <c r="X25" s="62"/>
      <c r="Y25" s="739"/>
      <c r="Z25" s="62" t="s">
        <v>301</v>
      </c>
      <c r="AA25" s="62"/>
      <c r="AB25" s="739"/>
      <c r="AC25" s="62" t="s">
        <v>302</v>
      </c>
      <c r="AD25" s="71"/>
    </row>
    <row r="26" spans="1:30" ht="15" customHeight="1" x14ac:dyDescent="0.35">
      <c r="A26" s="570"/>
      <c r="B26" s="233">
        <f t="shared" ref="B26:B34" si="1">B25+1</f>
        <v>22</v>
      </c>
      <c r="C26" s="799"/>
      <c r="D26" s="25"/>
      <c r="E26" s="537"/>
      <c r="F26" s="25"/>
      <c r="G26" s="557"/>
      <c r="H26" s="25"/>
      <c r="I26" s="537"/>
      <c r="J26" s="25"/>
      <c r="K26" s="537"/>
      <c r="M26" s="64" t="b">
        <v>0</v>
      </c>
      <c r="N26" t="s">
        <v>303</v>
      </c>
      <c r="Q26" s="485" t="s">
        <v>135</v>
      </c>
      <c r="S26" s="740"/>
      <c r="T26" s="485" t="s">
        <v>135</v>
      </c>
      <c r="V26" s="740"/>
      <c r="W26" s="485" t="s">
        <v>135</v>
      </c>
      <c r="Y26" s="740"/>
      <c r="Z26" s="485" t="s">
        <v>135</v>
      </c>
      <c r="AB26" s="740"/>
      <c r="AC26" s="485" t="s">
        <v>135</v>
      </c>
      <c r="AD26" s="66"/>
    </row>
    <row r="27" spans="1:30" ht="15" customHeight="1" x14ac:dyDescent="0.35">
      <c r="A27" s="570"/>
      <c r="B27" s="233">
        <f t="shared" si="1"/>
        <v>23</v>
      </c>
      <c r="C27" s="799"/>
      <c r="D27" s="25"/>
      <c r="E27" s="537"/>
      <c r="F27" s="25"/>
      <c r="G27" s="557"/>
      <c r="H27" s="25"/>
      <c r="I27" s="537"/>
      <c r="J27" s="25"/>
      <c r="K27" s="537"/>
      <c r="M27" s="64" t="b">
        <v>0</v>
      </c>
      <c r="N27" t="s">
        <v>304</v>
      </c>
      <c r="Q27" s="5"/>
      <c r="T27" s="10"/>
      <c r="W27" s="10"/>
      <c r="Z27" s="10"/>
      <c r="AC27" s="10"/>
      <c r="AD27" s="66"/>
    </row>
    <row r="28" spans="1:30" ht="4" customHeight="1" x14ac:dyDescent="0.35">
      <c r="A28" s="570"/>
      <c r="B28" s="233">
        <f t="shared" si="1"/>
        <v>24</v>
      </c>
      <c r="C28" s="799"/>
      <c r="D28" s="25"/>
      <c r="E28" s="537"/>
      <c r="F28" s="25"/>
      <c r="G28" s="557"/>
      <c r="H28" s="25"/>
      <c r="I28" s="537"/>
      <c r="J28" s="25"/>
      <c r="K28" s="537"/>
      <c r="Q28" s="3"/>
      <c r="AD28" s="66"/>
    </row>
    <row r="29" spans="1:30" ht="15" customHeight="1" x14ac:dyDescent="0.35">
      <c r="A29" s="570"/>
      <c r="B29" s="233">
        <f t="shared" si="1"/>
        <v>25</v>
      </c>
      <c r="C29" s="799"/>
      <c r="D29" s="25"/>
      <c r="E29" s="537"/>
      <c r="F29" s="25"/>
      <c r="G29" s="557"/>
      <c r="H29" s="25"/>
      <c r="I29" s="537"/>
      <c r="J29" s="25"/>
      <c r="K29" s="537"/>
      <c r="M29" s="64" t="b">
        <v>0</v>
      </c>
      <c r="N29" t="s">
        <v>305</v>
      </c>
      <c r="Q29" s="9"/>
      <c r="S29" s="45" t="b">
        <v>0</v>
      </c>
      <c r="T29" s="44" t="s">
        <v>306</v>
      </c>
      <c r="V29" s="115" t="b">
        <v>0</v>
      </c>
      <c r="W29" t="s">
        <v>307</v>
      </c>
      <c r="Y29" s="802" t="b">
        <v>0</v>
      </c>
      <c r="Z29" t="s">
        <v>308</v>
      </c>
      <c r="AD29" s="66"/>
    </row>
    <row r="30" spans="1:30" ht="4" customHeight="1" x14ac:dyDescent="0.35">
      <c r="A30" s="570"/>
      <c r="B30" s="233">
        <f t="shared" si="1"/>
        <v>26</v>
      </c>
      <c r="C30" s="799"/>
      <c r="D30" s="25"/>
      <c r="E30" s="537"/>
      <c r="F30" s="25"/>
      <c r="G30" s="557"/>
      <c r="H30" s="25"/>
      <c r="I30" s="537"/>
      <c r="J30" s="25"/>
      <c r="K30" s="537"/>
      <c r="Q30" s="9"/>
      <c r="T30" s="44"/>
      <c r="Y30" s="802"/>
      <c r="AD30" s="66"/>
    </row>
    <row r="31" spans="1:30" ht="15" customHeight="1" x14ac:dyDescent="0.35">
      <c r="A31" s="570"/>
      <c r="B31" s="233">
        <f t="shared" si="1"/>
        <v>27</v>
      </c>
      <c r="C31" s="799"/>
      <c r="D31" s="25"/>
      <c r="E31" s="537"/>
      <c r="F31" s="25"/>
      <c r="G31" s="557"/>
      <c r="H31" s="25"/>
      <c r="I31" s="537"/>
      <c r="J31" s="25"/>
      <c r="K31" s="537"/>
      <c r="N31" s="73" t="s">
        <v>135</v>
      </c>
      <c r="S31" s="803" t="s">
        <v>309</v>
      </c>
      <c r="T31" s="803"/>
      <c r="V31" s="803" t="s">
        <v>310</v>
      </c>
      <c r="W31" s="803"/>
      <c r="Y31" s="802"/>
      <c r="AD31" s="66"/>
    </row>
    <row r="32" spans="1:30" ht="15" customHeight="1" x14ac:dyDescent="0.35">
      <c r="A32" s="570"/>
      <c r="B32" s="233">
        <f t="shared" si="1"/>
        <v>28</v>
      </c>
      <c r="C32" s="799"/>
      <c r="D32" s="25"/>
      <c r="E32" s="537"/>
      <c r="F32" s="25"/>
      <c r="G32" s="557"/>
      <c r="H32" s="25"/>
      <c r="I32" s="537"/>
      <c r="J32" s="25"/>
      <c r="K32" s="537"/>
      <c r="N32" s="674"/>
      <c r="S32" s="64" t="b">
        <v>0</v>
      </c>
      <c r="T32" t="s">
        <v>311</v>
      </c>
      <c r="W32" t="s">
        <v>312</v>
      </c>
      <c r="AD32" s="66"/>
    </row>
    <row r="33" spans="1:30" ht="15" customHeight="1" x14ac:dyDescent="0.35">
      <c r="A33" s="570"/>
      <c r="B33" s="233">
        <f t="shared" si="1"/>
        <v>29</v>
      </c>
      <c r="C33" s="799"/>
      <c r="D33" s="25"/>
      <c r="E33" s="537"/>
      <c r="F33" s="25"/>
      <c r="G33" s="557"/>
      <c r="H33" s="25"/>
      <c r="I33" s="537"/>
      <c r="J33" s="25"/>
      <c r="K33" s="537"/>
      <c r="N33" s="674"/>
      <c r="T33" s="73" t="s">
        <v>137</v>
      </c>
      <c r="W33" s="488" t="s">
        <v>137</v>
      </c>
      <c r="X33" s="73"/>
      <c r="Y33" s="73"/>
      <c r="Z33" s="73"/>
      <c r="AD33" s="66"/>
    </row>
    <row r="34" spans="1:30" ht="15" customHeight="1" x14ac:dyDescent="0.35">
      <c r="A34" s="570"/>
      <c r="B34" s="233">
        <f t="shared" si="1"/>
        <v>30</v>
      </c>
      <c r="C34" s="800"/>
      <c r="D34" s="25"/>
      <c r="E34" s="796"/>
      <c r="F34" s="25"/>
      <c r="G34" s="557"/>
      <c r="H34" s="25"/>
      <c r="I34" s="796"/>
      <c r="J34" s="25"/>
      <c r="K34" s="796"/>
      <c r="N34" s="482"/>
      <c r="T34" s="44"/>
      <c r="W34" s="10"/>
      <c r="X34" s="73"/>
      <c r="Y34" s="73"/>
      <c r="Z34" s="73"/>
      <c r="AD34" s="66"/>
    </row>
    <row r="35" spans="1:30" ht="8.15" customHeight="1" thickBot="1" x14ac:dyDescent="0.4">
      <c r="A35" s="571"/>
      <c r="B35" s="233"/>
      <c r="C35" s="801"/>
      <c r="D35" s="120"/>
      <c r="E35" s="797"/>
      <c r="F35" s="120"/>
      <c r="G35" s="558"/>
      <c r="H35" s="120"/>
      <c r="I35" s="797"/>
      <c r="J35" s="120"/>
      <c r="K35" s="797"/>
      <c r="L35" s="67"/>
      <c r="M35" s="67"/>
      <c r="N35" s="67"/>
      <c r="O35" s="67"/>
      <c r="P35" s="67"/>
      <c r="Q35" s="67"/>
      <c r="R35" s="67"/>
      <c r="S35" s="67"/>
      <c r="T35" s="67"/>
      <c r="U35" s="67"/>
      <c r="V35" s="99"/>
      <c r="W35" s="67"/>
      <c r="X35" s="74"/>
      <c r="Y35" s="74"/>
      <c r="Z35" s="74"/>
      <c r="AA35" s="67"/>
      <c r="AB35" s="67"/>
      <c r="AC35" s="67"/>
      <c r="AD35" s="70"/>
    </row>
    <row r="36" spans="1:30" ht="7" customHeight="1" thickBot="1" x14ac:dyDescent="0.4">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35">
      <c r="A37" s="569">
        <f>A25+1</f>
        <v>3</v>
      </c>
      <c r="B37" s="13">
        <f>(A37*10)+1</f>
        <v>31</v>
      </c>
      <c r="C37" s="798"/>
      <c r="D37" s="78"/>
      <c r="E37" s="795"/>
      <c r="F37" s="78"/>
      <c r="G37" s="556"/>
      <c r="H37" s="78"/>
      <c r="I37" s="795"/>
      <c r="J37" s="78"/>
      <c r="K37" s="795"/>
      <c r="L37" s="62"/>
      <c r="M37" s="60" t="b">
        <v>0</v>
      </c>
      <c r="N37" s="62" t="s">
        <v>297</v>
      </c>
      <c r="O37" s="62"/>
      <c r="P37" s="62"/>
      <c r="Q37" s="62" t="s">
        <v>298</v>
      </c>
      <c r="R37" s="62"/>
      <c r="S37" s="739"/>
      <c r="T37" s="62" t="s">
        <v>299</v>
      </c>
      <c r="U37" s="62"/>
      <c r="V37" s="739"/>
      <c r="W37" s="62" t="s">
        <v>300</v>
      </c>
      <c r="X37" s="62"/>
      <c r="Y37" s="739"/>
      <c r="Z37" s="62" t="s">
        <v>301</v>
      </c>
      <c r="AA37" s="62"/>
      <c r="AB37" s="739"/>
      <c r="AC37" s="62" t="s">
        <v>302</v>
      </c>
      <c r="AD37" s="71"/>
    </row>
    <row r="38" spans="1:30" ht="15" customHeight="1" x14ac:dyDescent="0.35">
      <c r="A38" s="570"/>
      <c r="B38" s="233">
        <f t="shared" ref="B38:B46" si="2">B37+1</f>
        <v>32</v>
      </c>
      <c r="C38" s="799"/>
      <c r="D38" s="25"/>
      <c r="E38" s="537"/>
      <c r="F38" s="25"/>
      <c r="G38" s="557"/>
      <c r="H38" s="25"/>
      <c r="I38" s="537"/>
      <c r="J38" s="25"/>
      <c r="K38" s="537"/>
      <c r="M38" s="64" t="b">
        <v>0</v>
      </c>
      <c r="N38" t="s">
        <v>303</v>
      </c>
      <c r="Q38" s="485" t="s">
        <v>135</v>
      </c>
      <c r="S38" s="740"/>
      <c r="T38" s="485" t="s">
        <v>135</v>
      </c>
      <c r="V38" s="740"/>
      <c r="W38" s="485" t="s">
        <v>135</v>
      </c>
      <c r="Y38" s="740"/>
      <c r="Z38" s="485" t="s">
        <v>135</v>
      </c>
      <c r="AB38" s="740"/>
      <c r="AC38" s="485" t="s">
        <v>135</v>
      </c>
      <c r="AD38" s="66"/>
    </row>
    <row r="39" spans="1:30" ht="15" customHeight="1" x14ac:dyDescent="0.35">
      <c r="A39" s="570"/>
      <c r="B39" s="233">
        <f t="shared" si="2"/>
        <v>33</v>
      </c>
      <c r="C39" s="799"/>
      <c r="D39" s="25"/>
      <c r="E39" s="537"/>
      <c r="F39" s="25"/>
      <c r="G39" s="557"/>
      <c r="H39" s="25"/>
      <c r="I39" s="537"/>
      <c r="J39" s="25"/>
      <c r="K39" s="537"/>
      <c r="M39" s="64" t="b">
        <v>0</v>
      </c>
      <c r="N39" t="s">
        <v>304</v>
      </c>
      <c r="Q39" s="5"/>
      <c r="T39" s="10"/>
      <c r="W39" s="10"/>
      <c r="Z39" s="10"/>
      <c r="AC39" s="10"/>
      <c r="AD39" s="66"/>
    </row>
    <row r="40" spans="1:30" ht="4" customHeight="1" x14ac:dyDescent="0.35">
      <c r="A40" s="570"/>
      <c r="B40" s="233">
        <f t="shared" si="2"/>
        <v>34</v>
      </c>
      <c r="C40" s="799"/>
      <c r="D40" s="25"/>
      <c r="E40" s="537"/>
      <c r="F40" s="25"/>
      <c r="G40" s="557"/>
      <c r="H40" s="25"/>
      <c r="I40" s="537"/>
      <c r="J40" s="25"/>
      <c r="K40" s="537"/>
      <c r="Q40" s="3"/>
      <c r="AD40" s="66"/>
    </row>
    <row r="41" spans="1:30" ht="15" customHeight="1" x14ac:dyDescent="0.35">
      <c r="A41" s="570"/>
      <c r="B41" s="233">
        <f t="shared" si="2"/>
        <v>35</v>
      </c>
      <c r="C41" s="799"/>
      <c r="D41" s="25"/>
      <c r="E41" s="537"/>
      <c r="F41" s="25"/>
      <c r="G41" s="557"/>
      <c r="H41" s="25"/>
      <c r="I41" s="537"/>
      <c r="J41" s="25"/>
      <c r="K41" s="537"/>
      <c r="M41" s="64" t="b">
        <v>0</v>
      </c>
      <c r="N41" t="s">
        <v>305</v>
      </c>
      <c r="Q41" s="9"/>
      <c r="S41" s="45" t="b">
        <v>0</v>
      </c>
      <c r="T41" s="44" t="s">
        <v>306</v>
      </c>
      <c r="V41" s="115" t="b">
        <v>0</v>
      </c>
      <c r="W41" t="s">
        <v>307</v>
      </c>
      <c r="Y41" s="802" t="b">
        <v>0</v>
      </c>
      <c r="Z41" t="s">
        <v>308</v>
      </c>
      <c r="AD41" s="66"/>
    </row>
    <row r="42" spans="1:30" ht="4" customHeight="1" x14ac:dyDescent="0.35">
      <c r="A42" s="570"/>
      <c r="B42" s="233">
        <f t="shared" si="2"/>
        <v>36</v>
      </c>
      <c r="C42" s="799"/>
      <c r="D42" s="25"/>
      <c r="E42" s="537"/>
      <c r="F42" s="25"/>
      <c r="G42" s="557"/>
      <c r="H42" s="25"/>
      <c r="I42" s="537"/>
      <c r="J42" s="25"/>
      <c r="K42" s="537"/>
      <c r="Q42" s="9"/>
      <c r="S42" s="44"/>
      <c r="T42" s="44"/>
      <c r="Y42" s="802"/>
      <c r="AD42" s="66"/>
    </row>
    <row r="43" spans="1:30" ht="15" customHeight="1" x14ac:dyDescent="0.35">
      <c r="A43" s="570"/>
      <c r="B43" s="233">
        <f t="shared" si="2"/>
        <v>37</v>
      </c>
      <c r="C43" s="799"/>
      <c r="D43" s="25"/>
      <c r="E43" s="537"/>
      <c r="F43" s="25"/>
      <c r="G43" s="557"/>
      <c r="H43" s="25"/>
      <c r="I43" s="537"/>
      <c r="J43" s="25"/>
      <c r="K43" s="537"/>
      <c r="N43" s="73" t="s">
        <v>135</v>
      </c>
      <c r="S43" s="803" t="s">
        <v>309</v>
      </c>
      <c r="T43" s="803"/>
      <c r="V43" s="803" t="s">
        <v>310</v>
      </c>
      <c r="W43" s="803"/>
      <c r="Y43" s="802"/>
      <c r="AD43" s="66"/>
    </row>
    <row r="44" spans="1:30" ht="15" customHeight="1" x14ac:dyDescent="0.35">
      <c r="A44" s="570"/>
      <c r="B44" s="233">
        <f t="shared" si="2"/>
        <v>38</v>
      </c>
      <c r="C44" s="799"/>
      <c r="D44" s="25"/>
      <c r="E44" s="537"/>
      <c r="F44" s="25"/>
      <c r="G44" s="557"/>
      <c r="H44" s="25"/>
      <c r="I44" s="537"/>
      <c r="J44" s="25"/>
      <c r="K44" s="537"/>
      <c r="N44" s="674"/>
      <c r="S44" s="64" t="b">
        <v>0</v>
      </c>
      <c r="T44" t="s">
        <v>311</v>
      </c>
      <c r="W44" t="s">
        <v>312</v>
      </c>
      <c r="AD44" s="66"/>
    </row>
    <row r="45" spans="1:30" ht="15" customHeight="1" x14ac:dyDescent="0.35">
      <c r="A45" s="570"/>
      <c r="B45" s="233">
        <f t="shared" si="2"/>
        <v>39</v>
      </c>
      <c r="C45" s="799"/>
      <c r="D45" s="25"/>
      <c r="E45" s="537"/>
      <c r="F45" s="25"/>
      <c r="G45" s="557"/>
      <c r="H45" s="25"/>
      <c r="I45" s="537"/>
      <c r="J45" s="25"/>
      <c r="K45" s="537"/>
      <c r="N45" s="674"/>
      <c r="T45" s="73" t="s">
        <v>137</v>
      </c>
      <c r="W45" s="488" t="s">
        <v>137</v>
      </c>
      <c r="X45" s="73"/>
      <c r="Y45" s="73"/>
      <c r="Z45" s="73"/>
      <c r="AD45" s="66"/>
    </row>
    <row r="46" spans="1:30" ht="15" customHeight="1" x14ac:dyDescent="0.35">
      <c r="A46" s="570"/>
      <c r="B46" s="233">
        <f t="shared" si="2"/>
        <v>40</v>
      </c>
      <c r="C46" s="800"/>
      <c r="D46" s="25"/>
      <c r="E46" s="796"/>
      <c r="F46" s="25"/>
      <c r="G46" s="557"/>
      <c r="H46" s="25"/>
      <c r="I46" s="796"/>
      <c r="J46" s="25"/>
      <c r="K46" s="796"/>
      <c r="N46" s="482"/>
      <c r="T46" s="44"/>
      <c r="W46" s="10"/>
      <c r="X46" s="73"/>
      <c r="Y46" s="73"/>
      <c r="Z46" s="73"/>
      <c r="AD46" s="66"/>
    </row>
    <row r="47" spans="1:30" ht="8.15" customHeight="1" thickBot="1" x14ac:dyDescent="0.4">
      <c r="A47" s="571"/>
      <c r="B47" s="233"/>
      <c r="C47" s="801"/>
      <c r="D47" s="120"/>
      <c r="E47" s="797"/>
      <c r="F47" s="120"/>
      <c r="G47" s="558"/>
      <c r="H47" s="120"/>
      <c r="I47" s="797"/>
      <c r="J47" s="120"/>
      <c r="K47" s="797"/>
      <c r="L47" s="67"/>
      <c r="M47" s="67"/>
      <c r="N47" s="67"/>
      <c r="O47" s="67"/>
      <c r="P47" s="67"/>
      <c r="Q47" s="67"/>
      <c r="R47" s="67"/>
      <c r="S47" s="67"/>
      <c r="T47" s="67"/>
      <c r="U47" s="67"/>
      <c r="V47" s="99"/>
      <c r="W47" s="67"/>
      <c r="X47" s="74"/>
      <c r="Y47" s="74"/>
      <c r="Z47" s="74"/>
      <c r="AA47" s="67"/>
      <c r="AB47" s="67"/>
      <c r="AC47" s="67"/>
      <c r="AD47" s="70"/>
    </row>
    <row r="48" spans="1:30" ht="15" customHeight="1" thickBot="1" x14ac:dyDescent="0.4">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35">
      <c r="A49" s="569">
        <f>A37+1</f>
        <v>4</v>
      </c>
      <c r="B49" s="13">
        <f>(A49*10)+1</f>
        <v>41</v>
      </c>
      <c r="C49" s="798"/>
      <c r="D49" s="78"/>
      <c r="E49" s="795"/>
      <c r="F49" s="78"/>
      <c r="G49" s="556"/>
      <c r="H49" s="78"/>
      <c r="I49" s="795"/>
      <c r="J49" s="78"/>
      <c r="K49" s="795"/>
      <c r="L49" s="62"/>
      <c r="M49" s="60" t="b">
        <v>0</v>
      </c>
      <c r="N49" s="62" t="s">
        <v>297</v>
      </c>
      <c r="O49" s="62"/>
      <c r="P49" s="62"/>
      <c r="Q49" s="62" t="s">
        <v>298</v>
      </c>
      <c r="R49" s="62"/>
      <c r="S49" s="739"/>
      <c r="T49" s="62" t="s">
        <v>299</v>
      </c>
      <c r="U49" s="62"/>
      <c r="V49" s="739"/>
      <c r="W49" s="62" t="s">
        <v>300</v>
      </c>
      <c r="X49" s="62"/>
      <c r="Y49" s="739"/>
      <c r="Z49" s="62" t="s">
        <v>301</v>
      </c>
      <c r="AA49" s="62"/>
      <c r="AB49" s="739"/>
      <c r="AC49" s="62" t="s">
        <v>302</v>
      </c>
      <c r="AD49" s="71"/>
    </row>
    <row r="50" spans="1:30" ht="15" customHeight="1" x14ac:dyDescent="0.35">
      <c r="A50" s="570"/>
      <c r="B50" s="233">
        <f t="shared" ref="B50:B58" si="3">B49+1</f>
        <v>42</v>
      </c>
      <c r="C50" s="799"/>
      <c r="D50" s="25"/>
      <c r="E50" s="537"/>
      <c r="F50" s="25"/>
      <c r="G50" s="557"/>
      <c r="H50" s="25"/>
      <c r="I50" s="537"/>
      <c r="J50" s="25"/>
      <c r="K50" s="537"/>
      <c r="M50" s="64" t="b">
        <v>0</v>
      </c>
      <c r="N50" t="s">
        <v>303</v>
      </c>
      <c r="Q50" s="485" t="s">
        <v>135</v>
      </c>
      <c r="S50" s="740"/>
      <c r="T50" s="485" t="s">
        <v>135</v>
      </c>
      <c r="V50" s="740"/>
      <c r="W50" s="485" t="s">
        <v>135</v>
      </c>
      <c r="Y50" s="740"/>
      <c r="Z50" s="485" t="s">
        <v>135</v>
      </c>
      <c r="AB50" s="740"/>
      <c r="AC50" s="485" t="s">
        <v>135</v>
      </c>
      <c r="AD50" s="66"/>
    </row>
    <row r="51" spans="1:30" ht="15" customHeight="1" x14ac:dyDescent="0.35">
      <c r="A51" s="570"/>
      <c r="B51" s="233">
        <f t="shared" si="3"/>
        <v>43</v>
      </c>
      <c r="C51" s="799"/>
      <c r="D51" s="25"/>
      <c r="E51" s="537"/>
      <c r="F51" s="25"/>
      <c r="G51" s="557"/>
      <c r="H51" s="25"/>
      <c r="I51" s="537"/>
      <c r="J51" s="25"/>
      <c r="K51" s="537"/>
      <c r="M51" s="64" t="b">
        <v>0</v>
      </c>
      <c r="N51" t="s">
        <v>304</v>
      </c>
      <c r="Q51" s="5"/>
      <c r="T51" s="10"/>
      <c r="W51" s="10"/>
      <c r="Z51" s="10"/>
      <c r="AC51" s="10"/>
      <c r="AD51" s="66"/>
    </row>
    <row r="52" spans="1:30" ht="4" customHeight="1" x14ac:dyDescent="0.35">
      <c r="A52" s="570"/>
      <c r="B52" s="233">
        <f t="shared" si="3"/>
        <v>44</v>
      </c>
      <c r="C52" s="799"/>
      <c r="D52" s="25"/>
      <c r="E52" s="537"/>
      <c r="F52" s="25"/>
      <c r="G52" s="557"/>
      <c r="H52" s="25"/>
      <c r="I52" s="537"/>
      <c r="J52" s="25"/>
      <c r="K52" s="537"/>
      <c r="Q52" s="3"/>
      <c r="AD52" s="66"/>
    </row>
    <row r="53" spans="1:30" ht="15" customHeight="1" x14ac:dyDescent="0.35">
      <c r="A53" s="570"/>
      <c r="B53" s="233">
        <f t="shared" si="3"/>
        <v>45</v>
      </c>
      <c r="C53" s="799"/>
      <c r="D53" s="25"/>
      <c r="E53" s="537"/>
      <c r="F53" s="25"/>
      <c r="G53" s="557"/>
      <c r="H53" s="25"/>
      <c r="I53" s="537"/>
      <c r="J53" s="25"/>
      <c r="K53" s="537"/>
      <c r="M53" s="64" t="b">
        <v>0</v>
      </c>
      <c r="N53" t="s">
        <v>305</v>
      </c>
      <c r="Q53" s="9"/>
      <c r="S53" s="45" t="b">
        <v>0</v>
      </c>
      <c r="T53" s="44" t="s">
        <v>306</v>
      </c>
      <c r="V53" s="115" t="b">
        <v>0</v>
      </c>
      <c r="W53" t="s">
        <v>307</v>
      </c>
      <c r="Y53" s="802" t="b">
        <v>0</v>
      </c>
      <c r="Z53" t="s">
        <v>308</v>
      </c>
      <c r="AD53" s="66"/>
    </row>
    <row r="54" spans="1:30" ht="4" customHeight="1" x14ac:dyDescent="0.35">
      <c r="A54" s="570"/>
      <c r="B54" s="233">
        <f t="shared" si="3"/>
        <v>46</v>
      </c>
      <c r="C54" s="799"/>
      <c r="D54" s="25"/>
      <c r="E54" s="537"/>
      <c r="F54" s="25"/>
      <c r="G54" s="557"/>
      <c r="H54" s="25"/>
      <c r="I54" s="537"/>
      <c r="J54" s="25"/>
      <c r="K54" s="537"/>
      <c r="Q54" s="9"/>
      <c r="S54" s="44"/>
      <c r="T54" s="44"/>
      <c r="Y54" s="802"/>
      <c r="AD54" s="66"/>
    </row>
    <row r="55" spans="1:30" ht="15" customHeight="1" x14ac:dyDescent="0.35">
      <c r="A55" s="570"/>
      <c r="B55" s="233">
        <f t="shared" si="3"/>
        <v>47</v>
      </c>
      <c r="C55" s="799"/>
      <c r="D55" s="25"/>
      <c r="E55" s="537"/>
      <c r="F55" s="25"/>
      <c r="G55" s="557"/>
      <c r="H55" s="25"/>
      <c r="I55" s="537"/>
      <c r="J55" s="25"/>
      <c r="K55" s="537"/>
      <c r="N55" s="73" t="s">
        <v>135</v>
      </c>
      <c r="S55" s="803" t="s">
        <v>309</v>
      </c>
      <c r="T55" s="803"/>
      <c r="V55" s="803" t="s">
        <v>310</v>
      </c>
      <c r="W55" s="803"/>
      <c r="Y55" s="802"/>
      <c r="AD55" s="66"/>
    </row>
    <row r="56" spans="1:30" ht="15" customHeight="1" x14ac:dyDescent="0.35">
      <c r="A56" s="570"/>
      <c r="B56" s="233">
        <f t="shared" si="3"/>
        <v>48</v>
      </c>
      <c r="C56" s="799"/>
      <c r="D56" s="25"/>
      <c r="E56" s="537"/>
      <c r="F56" s="25"/>
      <c r="G56" s="557"/>
      <c r="H56" s="25"/>
      <c r="I56" s="537"/>
      <c r="J56" s="25"/>
      <c r="K56" s="537"/>
      <c r="N56" s="674"/>
      <c r="S56" s="64" t="b">
        <v>0</v>
      </c>
      <c r="T56" t="s">
        <v>311</v>
      </c>
      <c r="W56" t="s">
        <v>312</v>
      </c>
      <c r="AD56" s="66"/>
    </row>
    <row r="57" spans="1:30" ht="15" customHeight="1" x14ac:dyDescent="0.35">
      <c r="A57" s="570"/>
      <c r="B57" s="233">
        <f t="shared" si="3"/>
        <v>49</v>
      </c>
      <c r="C57" s="799"/>
      <c r="D57" s="25"/>
      <c r="E57" s="537"/>
      <c r="F57" s="25"/>
      <c r="G57" s="557"/>
      <c r="H57" s="25"/>
      <c r="I57" s="537"/>
      <c r="J57" s="25"/>
      <c r="K57" s="537"/>
      <c r="N57" s="674"/>
      <c r="T57" s="73" t="s">
        <v>137</v>
      </c>
      <c r="W57" s="488" t="s">
        <v>137</v>
      </c>
      <c r="X57" s="73"/>
      <c r="Y57" s="73"/>
      <c r="Z57" s="73"/>
      <c r="AD57" s="66"/>
    </row>
    <row r="58" spans="1:30" ht="15" customHeight="1" x14ac:dyDescent="0.35">
      <c r="A58" s="570"/>
      <c r="B58" s="233">
        <f t="shared" si="3"/>
        <v>50</v>
      </c>
      <c r="C58" s="800"/>
      <c r="D58" s="25"/>
      <c r="E58" s="796"/>
      <c r="F58" s="25"/>
      <c r="G58" s="557"/>
      <c r="H58" s="25"/>
      <c r="I58" s="796"/>
      <c r="J58" s="25"/>
      <c r="K58" s="796"/>
      <c r="N58" s="482"/>
      <c r="T58" s="44"/>
      <c r="W58" s="10"/>
      <c r="X58" s="73"/>
      <c r="Y58" s="73"/>
      <c r="Z58" s="73"/>
      <c r="AD58" s="66"/>
    </row>
    <row r="59" spans="1:30" ht="8.15" customHeight="1" thickBot="1" x14ac:dyDescent="0.4">
      <c r="A59" s="571"/>
      <c r="B59" s="233"/>
      <c r="C59" s="801"/>
      <c r="D59" s="120"/>
      <c r="E59" s="797"/>
      <c r="F59" s="120"/>
      <c r="G59" s="558"/>
      <c r="H59" s="120"/>
      <c r="I59" s="797"/>
      <c r="J59" s="120"/>
      <c r="K59" s="797"/>
      <c r="L59" s="67"/>
      <c r="M59" s="67"/>
      <c r="N59" s="67"/>
      <c r="O59" s="67"/>
      <c r="P59" s="67"/>
      <c r="Q59" s="67"/>
      <c r="R59" s="67"/>
      <c r="S59" s="67"/>
      <c r="T59" s="67"/>
      <c r="U59" s="67"/>
      <c r="V59" s="99"/>
      <c r="W59" s="67"/>
      <c r="X59" s="74"/>
      <c r="Y59" s="74"/>
      <c r="Z59" s="74"/>
      <c r="AA59" s="67"/>
      <c r="AB59" s="67"/>
      <c r="AC59" s="67"/>
      <c r="AD59" s="70"/>
    </row>
    <row r="60" spans="1:30" ht="15" customHeight="1" thickBot="1" x14ac:dyDescent="0.4">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35">
      <c r="A61" s="569">
        <f>A49+1</f>
        <v>5</v>
      </c>
      <c r="B61" s="13">
        <f>(A61*10)+1</f>
        <v>51</v>
      </c>
      <c r="C61" s="798"/>
      <c r="D61" s="78"/>
      <c r="E61" s="795"/>
      <c r="F61" s="78"/>
      <c r="G61" s="556"/>
      <c r="H61" s="78"/>
      <c r="I61" s="795"/>
      <c r="J61" s="78"/>
      <c r="K61" s="795"/>
      <c r="L61" s="62"/>
      <c r="M61" s="60" t="b">
        <v>0</v>
      </c>
      <c r="N61" s="62" t="s">
        <v>297</v>
      </c>
      <c r="O61" s="62"/>
      <c r="P61" s="62"/>
      <c r="Q61" s="62" t="s">
        <v>298</v>
      </c>
      <c r="R61" s="62"/>
      <c r="S61" s="739"/>
      <c r="T61" s="62" t="s">
        <v>299</v>
      </c>
      <c r="U61" s="62"/>
      <c r="V61" s="739"/>
      <c r="W61" s="62" t="s">
        <v>300</v>
      </c>
      <c r="X61" s="62"/>
      <c r="Y61" s="739"/>
      <c r="Z61" s="62" t="s">
        <v>301</v>
      </c>
      <c r="AA61" s="62"/>
      <c r="AB61" s="739"/>
      <c r="AC61" s="62" t="s">
        <v>302</v>
      </c>
      <c r="AD61" s="71"/>
    </row>
    <row r="62" spans="1:30" ht="15" customHeight="1" x14ac:dyDescent="0.35">
      <c r="A62" s="570"/>
      <c r="B62" s="233">
        <f t="shared" ref="B62:B70" si="4">B61+1</f>
        <v>52</v>
      </c>
      <c r="C62" s="799"/>
      <c r="D62" s="25"/>
      <c r="E62" s="537"/>
      <c r="F62" s="25"/>
      <c r="G62" s="557"/>
      <c r="H62" s="25"/>
      <c r="I62" s="537"/>
      <c r="J62" s="25"/>
      <c r="K62" s="537"/>
      <c r="M62" s="64" t="b">
        <v>0</v>
      </c>
      <c r="N62" t="s">
        <v>303</v>
      </c>
      <c r="Q62" s="485" t="s">
        <v>135</v>
      </c>
      <c r="S62" s="740"/>
      <c r="T62" s="485" t="s">
        <v>135</v>
      </c>
      <c r="V62" s="740"/>
      <c r="W62" s="485" t="s">
        <v>135</v>
      </c>
      <c r="Y62" s="740"/>
      <c r="Z62" s="485" t="s">
        <v>135</v>
      </c>
      <c r="AB62" s="740"/>
      <c r="AC62" s="485" t="s">
        <v>135</v>
      </c>
      <c r="AD62" s="66"/>
    </row>
    <row r="63" spans="1:30" ht="15" customHeight="1" x14ac:dyDescent="0.35">
      <c r="A63" s="570"/>
      <c r="B63" s="233">
        <f t="shared" si="4"/>
        <v>53</v>
      </c>
      <c r="C63" s="799"/>
      <c r="D63" s="25"/>
      <c r="E63" s="537"/>
      <c r="F63" s="25"/>
      <c r="G63" s="557"/>
      <c r="H63" s="25"/>
      <c r="I63" s="537"/>
      <c r="J63" s="25"/>
      <c r="K63" s="537"/>
      <c r="M63" s="64" t="b">
        <v>0</v>
      </c>
      <c r="N63" t="s">
        <v>304</v>
      </c>
      <c r="Q63" s="5"/>
      <c r="T63" s="10"/>
      <c r="W63" s="10"/>
      <c r="Z63" s="10"/>
      <c r="AC63" s="10"/>
      <c r="AD63" s="66"/>
    </row>
    <row r="64" spans="1:30" ht="4" customHeight="1" x14ac:dyDescent="0.35">
      <c r="A64" s="570"/>
      <c r="B64" s="233">
        <f t="shared" si="4"/>
        <v>54</v>
      </c>
      <c r="C64" s="799"/>
      <c r="D64" s="25"/>
      <c r="E64" s="537"/>
      <c r="F64" s="25"/>
      <c r="G64" s="557"/>
      <c r="H64" s="25"/>
      <c r="I64" s="537"/>
      <c r="J64" s="25"/>
      <c r="K64" s="537"/>
      <c r="Q64" s="3"/>
      <c r="AD64" s="66"/>
    </row>
    <row r="65" spans="1:30" ht="15" customHeight="1" x14ac:dyDescent="0.35">
      <c r="A65" s="570"/>
      <c r="B65" s="233">
        <f t="shared" si="4"/>
        <v>55</v>
      </c>
      <c r="C65" s="799"/>
      <c r="D65" s="25"/>
      <c r="E65" s="537"/>
      <c r="F65" s="25"/>
      <c r="G65" s="557"/>
      <c r="H65" s="25"/>
      <c r="I65" s="537"/>
      <c r="J65" s="25"/>
      <c r="K65" s="537"/>
      <c r="M65" s="64" t="b">
        <v>0</v>
      </c>
      <c r="N65" t="s">
        <v>305</v>
      </c>
      <c r="Q65" s="9"/>
      <c r="S65" s="45" t="b">
        <v>0</v>
      </c>
      <c r="T65" s="44" t="s">
        <v>306</v>
      </c>
      <c r="V65" s="115" t="b">
        <v>0</v>
      </c>
      <c r="W65" t="s">
        <v>307</v>
      </c>
      <c r="Y65" s="802" t="b">
        <v>0</v>
      </c>
      <c r="Z65" t="s">
        <v>308</v>
      </c>
      <c r="AD65" s="66"/>
    </row>
    <row r="66" spans="1:30" ht="4" customHeight="1" x14ac:dyDescent="0.35">
      <c r="A66" s="570"/>
      <c r="B66" s="233">
        <f t="shared" si="4"/>
        <v>56</v>
      </c>
      <c r="C66" s="799"/>
      <c r="D66" s="25"/>
      <c r="E66" s="537"/>
      <c r="F66" s="25"/>
      <c r="G66" s="557"/>
      <c r="H66" s="25"/>
      <c r="I66" s="537"/>
      <c r="J66" s="25"/>
      <c r="K66" s="537"/>
      <c r="Q66" s="9"/>
      <c r="S66" s="44"/>
      <c r="T66" s="44"/>
      <c r="Y66" s="802"/>
      <c r="AD66" s="66"/>
    </row>
    <row r="67" spans="1:30" ht="15" customHeight="1" x14ac:dyDescent="0.35">
      <c r="A67" s="570"/>
      <c r="B67" s="233">
        <f t="shared" si="4"/>
        <v>57</v>
      </c>
      <c r="C67" s="799"/>
      <c r="D67" s="25"/>
      <c r="E67" s="537"/>
      <c r="F67" s="25"/>
      <c r="G67" s="557"/>
      <c r="H67" s="25"/>
      <c r="I67" s="537"/>
      <c r="J67" s="25"/>
      <c r="K67" s="537"/>
      <c r="N67" s="73" t="s">
        <v>135</v>
      </c>
      <c r="S67" s="803" t="s">
        <v>309</v>
      </c>
      <c r="T67" s="803"/>
      <c r="V67" s="803" t="s">
        <v>310</v>
      </c>
      <c r="W67" s="803"/>
      <c r="Y67" s="802"/>
      <c r="AD67" s="66"/>
    </row>
    <row r="68" spans="1:30" ht="15" customHeight="1" x14ac:dyDescent="0.35">
      <c r="A68" s="570"/>
      <c r="B68" s="233">
        <f t="shared" si="4"/>
        <v>58</v>
      </c>
      <c r="C68" s="799"/>
      <c r="D68" s="25"/>
      <c r="E68" s="537"/>
      <c r="F68" s="25"/>
      <c r="G68" s="557"/>
      <c r="H68" s="25"/>
      <c r="I68" s="537"/>
      <c r="J68" s="25"/>
      <c r="K68" s="537"/>
      <c r="N68" s="674"/>
      <c r="S68" s="64" t="b">
        <v>0</v>
      </c>
      <c r="T68" t="s">
        <v>311</v>
      </c>
      <c r="W68" t="s">
        <v>312</v>
      </c>
      <c r="AD68" s="66"/>
    </row>
    <row r="69" spans="1:30" ht="15" customHeight="1" x14ac:dyDescent="0.35">
      <c r="A69" s="570"/>
      <c r="B69" s="233">
        <f t="shared" si="4"/>
        <v>59</v>
      </c>
      <c r="C69" s="799"/>
      <c r="D69" s="25"/>
      <c r="E69" s="537"/>
      <c r="F69" s="25"/>
      <c r="G69" s="557"/>
      <c r="H69" s="25"/>
      <c r="I69" s="537"/>
      <c r="J69" s="25"/>
      <c r="K69" s="537"/>
      <c r="N69" s="674"/>
      <c r="T69" s="73" t="s">
        <v>137</v>
      </c>
      <c r="W69" s="488" t="s">
        <v>137</v>
      </c>
      <c r="X69" s="73"/>
      <c r="Y69" s="73"/>
      <c r="Z69" s="73"/>
      <c r="AD69" s="66"/>
    </row>
    <row r="70" spans="1:30" ht="15" customHeight="1" x14ac:dyDescent="0.35">
      <c r="A70" s="570"/>
      <c r="B70" s="233">
        <f t="shared" si="4"/>
        <v>60</v>
      </c>
      <c r="C70" s="800"/>
      <c r="D70" s="25"/>
      <c r="E70" s="796"/>
      <c r="F70" s="25"/>
      <c r="G70" s="557"/>
      <c r="H70" s="25"/>
      <c r="I70" s="796"/>
      <c r="J70" s="25"/>
      <c r="K70" s="796"/>
      <c r="N70" s="482"/>
      <c r="T70" s="44"/>
      <c r="W70" s="10"/>
      <c r="X70" s="73"/>
      <c r="Y70" s="73"/>
      <c r="Z70" s="73"/>
      <c r="AD70" s="66"/>
    </row>
    <row r="71" spans="1:30" ht="8.15" customHeight="1" thickBot="1" x14ac:dyDescent="0.4">
      <c r="A71" s="571"/>
      <c r="B71" s="233"/>
      <c r="C71" s="801"/>
      <c r="D71" s="120"/>
      <c r="E71" s="797"/>
      <c r="F71" s="120"/>
      <c r="G71" s="558"/>
      <c r="H71" s="120"/>
      <c r="I71" s="797"/>
      <c r="J71" s="120"/>
      <c r="K71" s="797"/>
      <c r="L71" s="67"/>
      <c r="M71" s="67"/>
      <c r="N71" s="67"/>
      <c r="O71" s="67"/>
      <c r="P71" s="67"/>
      <c r="Q71" s="67"/>
      <c r="R71" s="67"/>
      <c r="S71" s="67"/>
      <c r="T71" s="67"/>
      <c r="U71" s="67"/>
      <c r="V71" s="99"/>
      <c r="W71" s="67"/>
      <c r="X71" s="74"/>
      <c r="Y71" s="74"/>
      <c r="Z71" s="74"/>
      <c r="AA71" s="67"/>
      <c r="AB71" s="67"/>
      <c r="AC71" s="67"/>
      <c r="AD71" s="70"/>
    </row>
    <row r="72" spans="1:30" ht="15" customHeight="1" thickBot="1" x14ac:dyDescent="0.4">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35">
      <c r="A73" s="569">
        <f>A61+1</f>
        <v>6</v>
      </c>
      <c r="B73" s="13">
        <f>(A73*10)+1</f>
        <v>61</v>
      </c>
      <c r="C73" s="798"/>
      <c r="D73" s="78"/>
      <c r="E73" s="795"/>
      <c r="F73" s="78"/>
      <c r="G73" s="556"/>
      <c r="H73" s="78"/>
      <c r="I73" s="795"/>
      <c r="J73" s="78"/>
      <c r="K73" s="795"/>
      <c r="L73" s="62"/>
      <c r="M73" s="60" t="b">
        <v>0</v>
      </c>
      <c r="N73" s="62" t="s">
        <v>297</v>
      </c>
      <c r="O73" s="62"/>
      <c r="P73" s="62"/>
      <c r="Q73" s="62" t="s">
        <v>298</v>
      </c>
      <c r="R73" s="62"/>
      <c r="S73" s="739"/>
      <c r="T73" s="62" t="s">
        <v>299</v>
      </c>
      <c r="U73" s="62"/>
      <c r="V73" s="739"/>
      <c r="W73" s="62" t="s">
        <v>300</v>
      </c>
      <c r="X73" s="62"/>
      <c r="Y73" s="739"/>
      <c r="Z73" s="62" t="s">
        <v>301</v>
      </c>
      <c r="AA73" s="62"/>
      <c r="AB73" s="739"/>
      <c r="AC73" s="62" t="s">
        <v>302</v>
      </c>
      <c r="AD73" s="71"/>
    </row>
    <row r="74" spans="1:30" ht="15" customHeight="1" x14ac:dyDescent="0.35">
      <c r="A74" s="570"/>
      <c r="B74" s="233">
        <f t="shared" ref="B74:B82" si="5">B73+1</f>
        <v>62</v>
      </c>
      <c r="C74" s="799"/>
      <c r="D74" s="25"/>
      <c r="E74" s="537"/>
      <c r="F74" s="25"/>
      <c r="G74" s="557"/>
      <c r="H74" s="25"/>
      <c r="I74" s="537"/>
      <c r="J74" s="25"/>
      <c r="K74" s="537"/>
      <c r="M74" s="64" t="b">
        <v>0</v>
      </c>
      <c r="N74" t="s">
        <v>303</v>
      </c>
      <c r="Q74" s="485" t="s">
        <v>135</v>
      </c>
      <c r="S74" s="740"/>
      <c r="T74" s="485" t="s">
        <v>135</v>
      </c>
      <c r="V74" s="740"/>
      <c r="W74" s="485" t="s">
        <v>135</v>
      </c>
      <c r="Y74" s="740"/>
      <c r="Z74" s="485" t="s">
        <v>135</v>
      </c>
      <c r="AB74" s="740"/>
      <c r="AC74" s="485" t="s">
        <v>135</v>
      </c>
      <c r="AD74" s="66"/>
    </row>
    <row r="75" spans="1:30" ht="15" customHeight="1" x14ac:dyDescent="0.35">
      <c r="A75" s="570"/>
      <c r="B75" s="233">
        <f t="shared" si="5"/>
        <v>63</v>
      </c>
      <c r="C75" s="799"/>
      <c r="D75" s="25"/>
      <c r="E75" s="537"/>
      <c r="F75" s="25"/>
      <c r="G75" s="557"/>
      <c r="H75" s="25"/>
      <c r="I75" s="537"/>
      <c r="J75" s="25"/>
      <c r="K75" s="537"/>
      <c r="M75" s="64" t="b">
        <v>0</v>
      </c>
      <c r="N75" t="s">
        <v>304</v>
      </c>
      <c r="Q75" s="5"/>
      <c r="T75" s="10"/>
      <c r="W75" s="10"/>
      <c r="Z75" s="10"/>
      <c r="AC75" s="10"/>
      <c r="AD75" s="66"/>
    </row>
    <row r="76" spans="1:30" ht="4" customHeight="1" x14ac:dyDescent="0.35">
      <c r="A76" s="570"/>
      <c r="B76" s="233">
        <f t="shared" si="5"/>
        <v>64</v>
      </c>
      <c r="C76" s="799"/>
      <c r="D76" s="25"/>
      <c r="E76" s="537"/>
      <c r="F76" s="25"/>
      <c r="G76" s="557"/>
      <c r="H76" s="25"/>
      <c r="I76" s="537"/>
      <c r="J76" s="25"/>
      <c r="K76" s="537"/>
      <c r="Q76" s="3"/>
      <c r="AD76" s="66"/>
    </row>
    <row r="77" spans="1:30" ht="15" customHeight="1" x14ac:dyDescent="0.35">
      <c r="A77" s="570"/>
      <c r="B77" s="233">
        <f t="shared" si="5"/>
        <v>65</v>
      </c>
      <c r="C77" s="799"/>
      <c r="D77" s="25"/>
      <c r="E77" s="537"/>
      <c r="F77" s="25"/>
      <c r="G77" s="557"/>
      <c r="H77" s="25"/>
      <c r="I77" s="537"/>
      <c r="J77" s="25"/>
      <c r="K77" s="537"/>
      <c r="M77" s="64" t="b">
        <v>0</v>
      </c>
      <c r="N77" t="s">
        <v>305</v>
      </c>
      <c r="Q77" s="9"/>
      <c r="S77" s="45" t="b">
        <v>0</v>
      </c>
      <c r="T77" s="44" t="s">
        <v>306</v>
      </c>
      <c r="V77" s="115" t="b">
        <v>0</v>
      </c>
      <c r="W77" t="s">
        <v>307</v>
      </c>
      <c r="Y77" s="802" t="b">
        <v>0</v>
      </c>
      <c r="Z77" t="s">
        <v>308</v>
      </c>
      <c r="AD77" s="66"/>
    </row>
    <row r="78" spans="1:30" ht="4" customHeight="1" x14ac:dyDescent="0.35">
      <c r="A78" s="570"/>
      <c r="B78" s="233">
        <f t="shared" si="5"/>
        <v>66</v>
      </c>
      <c r="C78" s="799"/>
      <c r="D78" s="25"/>
      <c r="E78" s="537"/>
      <c r="F78" s="25"/>
      <c r="G78" s="557"/>
      <c r="H78" s="25"/>
      <c r="I78" s="537"/>
      <c r="J78" s="25"/>
      <c r="K78" s="537"/>
      <c r="Q78" s="9"/>
      <c r="S78" s="44"/>
      <c r="T78" s="44"/>
      <c r="Y78" s="802"/>
      <c r="AD78" s="66"/>
    </row>
    <row r="79" spans="1:30" ht="15" customHeight="1" x14ac:dyDescent="0.35">
      <c r="A79" s="570"/>
      <c r="B79" s="233">
        <f t="shared" si="5"/>
        <v>67</v>
      </c>
      <c r="C79" s="799"/>
      <c r="D79" s="25"/>
      <c r="E79" s="537"/>
      <c r="F79" s="25"/>
      <c r="G79" s="557"/>
      <c r="H79" s="25"/>
      <c r="I79" s="537"/>
      <c r="J79" s="25"/>
      <c r="K79" s="537"/>
      <c r="N79" s="73" t="s">
        <v>135</v>
      </c>
      <c r="S79" s="803" t="s">
        <v>309</v>
      </c>
      <c r="T79" s="803"/>
      <c r="V79" s="803" t="s">
        <v>310</v>
      </c>
      <c r="W79" s="803"/>
      <c r="Y79" s="802"/>
      <c r="AD79" s="66"/>
    </row>
    <row r="80" spans="1:30" ht="15" customHeight="1" x14ac:dyDescent="0.35">
      <c r="A80" s="570"/>
      <c r="B80" s="233">
        <f t="shared" si="5"/>
        <v>68</v>
      </c>
      <c r="C80" s="799"/>
      <c r="D80" s="25"/>
      <c r="E80" s="537"/>
      <c r="F80" s="25"/>
      <c r="G80" s="557"/>
      <c r="H80" s="25"/>
      <c r="I80" s="537"/>
      <c r="J80" s="25"/>
      <c r="K80" s="537"/>
      <c r="N80" s="674"/>
      <c r="S80" s="64" t="b">
        <v>0</v>
      </c>
      <c r="T80" t="s">
        <v>311</v>
      </c>
      <c r="W80" t="s">
        <v>312</v>
      </c>
      <c r="AD80" s="66"/>
    </row>
    <row r="81" spans="1:30" ht="15" customHeight="1" x14ac:dyDescent="0.35">
      <c r="A81" s="570"/>
      <c r="B81" s="233">
        <f t="shared" si="5"/>
        <v>69</v>
      </c>
      <c r="C81" s="799"/>
      <c r="D81" s="25"/>
      <c r="E81" s="537"/>
      <c r="F81" s="25"/>
      <c r="G81" s="557"/>
      <c r="H81" s="25"/>
      <c r="I81" s="537"/>
      <c r="J81" s="25"/>
      <c r="K81" s="537"/>
      <c r="N81" s="674"/>
      <c r="T81" s="73" t="s">
        <v>137</v>
      </c>
      <c r="W81" s="488" t="s">
        <v>137</v>
      </c>
      <c r="X81" s="73"/>
      <c r="Y81" s="73"/>
      <c r="Z81" s="73"/>
      <c r="AD81" s="66"/>
    </row>
    <row r="82" spans="1:30" ht="15" customHeight="1" x14ac:dyDescent="0.35">
      <c r="A82" s="570"/>
      <c r="B82" s="233">
        <f t="shared" si="5"/>
        <v>70</v>
      </c>
      <c r="C82" s="800"/>
      <c r="D82" s="25"/>
      <c r="E82" s="796"/>
      <c r="F82" s="25"/>
      <c r="G82" s="557"/>
      <c r="H82" s="25"/>
      <c r="I82" s="796"/>
      <c r="J82" s="25"/>
      <c r="K82" s="796"/>
      <c r="N82" s="482"/>
      <c r="T82" s="44"/>
      <c r="W82" s="10"/>
      <c r="X82" s="73"/>
      <c r="Y82" s="73"/>
      <c r="Z82" s="73"/>
      <c r="AD82" s="66"/>
    </row>
    <row r="83" spans="1:30" ht="8.15" customHeight="1" thickBot="1" x14ac:dyDescent="0.4">
      <c r="A83" s="571"/>
      <c r="B83" s="233"/>
      <c r="C83" s="801"/>
      <c r="D83" s="120"/>
      <c r="E83" s="797"/>
      <c r="F83" s="120"/>
      <c r="G83" s="558"/>
      <c r="H83" s="120"/>
      <c r="I83" s="797"/>
      <c r="J83" s="120"/>
      <c r="K83" s="797"/>
      <c r="L83" s="67"/>
      <c r="M83" s="67"/>
      <c r="N83" s="67"/>
      <c r="O83" s="67"/>
      <c r="P83" s="67"/>
      <c r="Q83" s="67"/>
      <c r="R83" s="67"/>
      <c r="S83" s="67"/>
      <c r="T83" s="67"/>
      <c r="U83" s="67"/>
      <c r="V83" s="99"/>
      <c r="W83" s="67"/>
      <c r="X83" s="74"/>
      <c r="Y83" s="74"/>
      <c r="Z83" s="74"/>
      <c r="AA83" s="67"/>
      <c r="AB83" s="67"/>
      <c r="AC83" s="67"/>
      <c r="AD83" s="70"/>
    </row>
    <row r="84" spans="1:30" ht="15" customHeight="1" thickBot="1" x14ac:dyDescent="0.4">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35">
      <c r="A85" s="569">
        <f>A73+1</f>
        <v>7</v>
      </c>
      <c r="B85" s="13">
        <f>(A85*10)+1</f>
        <v>71</v>
      </c>
      <c r="C85" s="798"/>
      <c r="D85" s="78"/>
      <c r="E85" s="795"/>
      <c r="F85" s="78"/>
      <c r="G85" s="556"/>
      <c r="H85" s="78"/>
      <c r="I85" s="795"/>
      <c r="J85" s="78"/>
      <c r="K85" s="795"/>
      <c r="L85" s="62"/>
      <c r="M85" s="60" t="b">
        <v>0</v>
      </c>
      <c r="N85" s="62" t="s">
        <v>297</v>
      </c>
      <c r="O85" s="62"/>
      <c r="P85" s="62"/>
      <c r="Q85" s="62" t="s">
        <v>298</v>
      </c>
      <c r="R85" s="62"/>
      <c r="S85" s="739"/>
      <c r="T85" s="62" t="s">
        <v>299</v>
      </c>
      <c r="U85" s="62"/>
      <c r="V85" s="739"/>
      <c r="W85" s="62" t="s">
        <v>300</v>
      </c>
      <c r="X85" s="62"/>
      <c r="Y85" s="739"/>
      <c r="Z85" s="62" t="s">
        <v>301</v>
      </c>
      <c r="AA85" s="62"/>
      <c r="AB85" s="739"/>
      <c r="AC85" s="62" t="s">
        <v>302</v>
      </c>
      <c r="AD85" s="71"/>
    </row>
    <row r="86" spans="1:30" ht="15" customHeight="1" x14ac:dyDescent="0.35">
      <c r="A86" s="570"/>
      <c r="B86" s="233">
        <f t="shared" ref="B86:B94" si="6">B85+1</f>
        <v>72</v>
      </c>
      <c r="C86" s="799"/>
      <c r="D86" s="25"/>
      <c r="E86" s="537"/>
      <c r="F86" s="25"/>
      <c r="G86" s="557"/>
      <c r="H86" s="25"/>
      <c r="I86" s="537"/>
      <c r="J86" s="25"/>
      <c r="K86" s="537"/>
      <c r="M86" s="64" t="b">
        <v>0</v>
      </c>
      <c r="N86" t="s">
        <v>303</v>
      </c>
      <c r="Q86" s="485" t="s">
        <v>135</v>
      </c>
      <c r="S86" s="740"/>
      <c r="T86" s="485" t="s">
        <v>135</v>
      </c>
      <c r="V86" s="740"/>
      <c r="W86" s="485" t="s">
        <v>135</v>
      </c>
      <c r="Y86" s="740"/>
      <c r="Z86" s="485" t="s">
        <v>135</v>
      </c>
      <c r="AB86" s="740"/>
      <c r="AC86" s="485" t="s">
        <v>135</v>
      </c>
      <c r="AD86" s="66"/>
    </row>
    <row r="87" spans="1:30" ht="15" customHeight="1" x14ac:dyDescent="0.35">
      <c r="A87" s="570"/>
      <c r="B87" s="233">
        <f t="shared" si="6"/>
        <v>73</v>
      </c>
      <c r="C87" s="799"/>
      <c r="D87" s="25"/>
      <c r="E87" s="537"/>
      <c r="F87" s="25"/>
      <c r="G87" s="557"/>
      <c r="H87" s="25"/>
      <c r="I87" s="537"/>
      <c r="J87" s="25"/>
      <c r="K87" s="537"/>
      <c r="M87" s="64" t="b">
        <v>0</v>
      </c>
      <c r="N87" t="s">
        <v>304</v>
      </c>
      <c r="Q87" s="5"/>
      <c r="T87" s="10"/>
      <c r="W87" s="10"/>
      <c r="Z87" s="10"/>
      <c r="AC87" s="10"/>
      <c r="AD87" s="66"/>
    </row>
    <row r="88" spans="1:30" ht="4" customHeight="1" x14ac:dyDescent="0.35">
      <c r="A88" s="570"/>
      <c r="B88" s="233">
        <f t="shared" si="6"/>
        <v>74</v>
      </c>
      <c r="C88" s="799"/>
      <c r="D88" s="25"/>
      <c r="E88" s="537"/>
      <c r="F88" s="25"/>
      <c r="G88" s="557"/>
      <c r="H88" s="25"/>
      <c r="I88" s="537"/>
      <c r="J88" s="25"/>
      <c r="K88" s="537"/>
      <c r="Q88" s="3"/>
      <c r="AD88" s="66"/>
    </row>
    <row r="89" spans="1:30" ht="15" customHeight="1" x14ac:dyDescent="0.35">
      <c r="A89" s="570"/>
      <c r="B89" s="233">
        <f t="shared" si="6"/>
        <v>75</v>
      </c>
      <c r="C89" s="799"/>
      <c r="D89" s="25"/>
      <c r="E89" s="537"/>
      <c r="F89" s="25"/>
      <c r="G89" s="557"/>
      <c r="H89" s="25"/>
      <c r="I89" s="537"/>
      <c r="J89" s="25"/>
      <c r="K89" s="537"/>
      <c r="M89" s="64" t="b">
        <v>0</v>
      </c>
      <c r="N89" t="s">
        <v>305</v>
      </c>
      <c r="Q89" s="9"/>
      <c r="S89" s="45" t="b">
        <v>0</v>
      </c>
      <c r="T89" s="44" t="s">
        <v>306</v>
      </c>
      <c r="V89" s="115" t="b">
        <v>0</v>
      </c>
      <c r="W89" t="s">
        <v>307</v>
      </c>
      <c r="Y89" s="802" t="b">
        <v>0</v>
      </c>
      <c r="Z89" t="s">
        <v>308</v>
      </c>
      <c r="AD89" s="66"/>
    </row>
    <row r="90" spans="1:30" ht="4" customHeight="1" x14ac:dyDescent="0.35">
      <c r="A90" s="570"/>
      <c r="B90" s="233">
        <f t="shared" si="6"/>
        <v>76</v>
      </c>
      <c r="C90" s="799"/>
      <c r="D90" s="25"/>
      <c r="E90" s="537"/>
      <c r="F90" s="25"/>
      <c r="G90" s="557"/>
      <c r="H90" s="25"/>
      <c r="I90" s="537"/>
      <c r="J90" s="25"/>
      <c r="K90" s="537"/>
      <c r="Q90" s="9"/>
      <c r="S90" s="44"/>
      <c r="T90" s="44"/>
      <c r="Y90" s="802"/>
      <c r="AD90" s="66"/>
    </row>
    <row r="91" spans="1:30" ht="15" customHeight="1" x14ac:dyDescent="0.35">
      <c r="A91" s="570"/>
      <c r="B91" s="233">
        <f t="shared" si="6"/>
        <v>77</v>
      </c>
      <c r="C91" s="799"/>
      <c r="D91" s="25"/>
      <c r="E91" s="537"/>
      <c r="F91" s="25"/>
      <c r="G91" s="557"/>
      <c r="H91" s="25"/>
      <c r="I91" s="537"/>
      <c r="J91" s="25"/>
      <c r="K91" s="537"/>
      <c r="N91" s="73" t="s">
        <v>135</v>
      </c>
      <c r="S91" s="803" t="s">
        <v>309</v>
      </c>
      <c r="T91" s="803"/>
      <c r="V91" s="803" t="s">
        <v>310</v>
      </c>
      <c r="W91" s="803"/>
      <c r="Y91" s="802"/>
      <c r="AD91" s="66"/>
    </row>
    <row r="92" spans="1:30" ht="15" customHeight="1" x14ac:dyDescent="0.35">
      <c r="A92" s="570"/>
      <c r="B92" s="233">
        <f t="shared" si="6"/>
        <v>78</v>
      </c>
      <c r="C92" s="799"/>
      <c r="D92" s="25"/>
      <c r="E92" s="537"/>
      <c r="F92" s="25"/>
      <c r="G92" s="557"/>
      <c r="H92" s="25"/>
      <c r="I92" s="537"/>
      <c r="J92" s="25"/>
      <c r="K92" s="537"/>
      <c r="N92" s="674"/>
      <c r="S92" s="64" t="b">
        <v>0</v>
      </c>
      <c r="T92" t="s">
        <v>311</v>
      </c>
      <c r="W92" t="s">
        <v>312</v>
      </c>
      <c r="AD92" s="66"/>
    </row>
    <row r="93" spans="1:30" ht="15" customHeight="1" x14ac:dyDescent="0.35">
      <c r="A93" s="570"/>
      <c r="B93" s="233">
        <f t="shared" si="6"/>
        <v>79</v>
      </c>
      <c r="C93" s="799"/>
      <c r="D93" s="25"/>
      <c r="E93" s="537"/>
      <c r="F93" s="25"/>
      <c r="G93" s="557"/>
      <c r="H93" s="25"/>
      <c r="I93" s="537"/>
      <c r="J93" s="25"/>
      <c r="K93" s="537"/>
      <c r="N93" s="674"/>
      <c r="T93" s="73" t="s">
        <v>137</v>
      </c>
      <c r="W93" s="488" t="s">
        <v>137</v>
      </c>
      <c r="X93" s="73"/>
      <c r="Y93" s="73"/>
      <c r="Z93" s="73"/>
      <c r="AD93" s="66"/>
    </row>
    <row r="94" spans="1:30" ht="15" customHeight="1" x14ac:dyDescent="0.35">
      <c r="A94" s="570"/>
      <c r="B94" s="233">
        <f t="shared" si="6"/>
        <v>80</v>
      </c>
      <c r="C94" s="800"/>
      <c r="D94" s="25"/>
      <c r="E94" s="796"/>
      <c r="F94" s="25"/>
      <c r="G94" s="557"/>
      <c r="H94" s="25"/>
      <c r="I94" s="796"/>
      <c r="J94" s="25"/>
      <c r="K94" s="796"/>
      <c r="N94" s="482"/>
      <c r="T94" s="44"/>
      <c r="W94" s="10"/>
      <c r="X94" s="73"/>
      <c r="Y94" s="73"/>
      <c r="Z94" s="73"/>
      <c r="AD94" s="66"/>
    </row>
    <row r="95" spans="1:30" ht="8.15" customHeight="1" thickBot="1" x14ac:dyDescent="0.4">
      <c r="A95" s="571"/>
      <c r="B95" s="233"/>
      <c r="C95" s="801"/>
      <c r="D95" s="120"/>
      <c r="E95" s="797"/>
      <c r="F95" s="120"/>
      <c r="G95" s="558"/>
      <c r="H95" s="120"/>
      <c r="I95" s="797"/>
      <c r="J95" s="120"/>
      <c r="K95" s="797"/>
      <c r="L95" s="67"/>
      <c r="M95" s="67"/>
      <c r="N95" s="67"/>
      <c r="O95" s="67"/>
      <c r="P95" s="67"/>
      <c r="Q95" s="67"/>
      <c r="R95" s="67"/>
      <c r="S95" s="67"/>
      <c r="T95" s="67"/>
      <c r="U95" s="67"/>
      <c r="V95" s="99"/>
      <c r="W95" s="67"/>
      <c r="X95" s="74"/>
      <c r="Y95" s="74"/>
      <c r="Z95" s="74"/>
      <c r="AA95" s="67"/>
      <c r="AB95" s="67"/>
      <c r="AC95" s="67"/>
      <c r="AD95" s="70"/>
    </row>
    <row r="96" spans="1:30" ht="15" customHeight="1" thickBot="1" x14ac:dyDescent="0.4">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35">
      <c r="A97" s="569">
        <f>A85+1</f>
        <v>8</v>
      </c>
      <c r="B97" s="13">
        <f>(A97*10)+1</f>
        <v>81</v>
      </c>
      <c r="C97" s="798"/>
      <c r="D97" s="78"/>
      <c r="E97" s="795"/>
      <c r="F97" s="78"/>
      <c r="G97" s="556"/>
      <c r="H97" s="78"/>
      <c r="I97" s="795"/>
      <c r="J97" s="78"/>
      <c r="K97" s="795"/>
      <c r="L97" s="62"/>
      <c r="M97" s="60" t="b">
        <v>0</v>
      </c>
      <c r="N97" s="62" t="s">
        <v>297</v>
      </c>
      <c r="O97" s="62"/>
      <c r="P97" s="62"/>
      <c r="Q97" s="62" t="s">
        <v>298</v>
      </c>
      <c r="R97" s="62"/>
      <c r="S97" s="739"/>
      <c r="T97" s="62" t="s">
        <v>299</v>
      </c>
      <c r="U97" s="62"/>
      <c r="V97" s="739"/>
      <c r="W97" s="62" t="s">
        <v>300</v>
      </c>
      <c r="X97" s="62"/>
      <c r="Y97" s="739"/>
      <c r="Z97" s="62" t="s">
        <v>301</v>
      </c>
      <c r="AA97" s="62"/>
      <c r="AB97" s="739"/>
      <c r="AC97" s="62" t="s">
        <v>302</v>
      </c>
      <c r="AD97" s="71"/>
    </row>
    <row r="98" spans="1:30" ht="15" customHeight="1" x14ac:dyDescent="0.35">
      <c r="A98" s="570"/>
      <c r="B98" s="233">
        <f t="shared" ref="B98:B106" si="7">B97+1</f>
        <v>82</v>
      </c>
      <c r="C98" s="799"/>
      <c r="D98" s="25"/>
      <c r="E98" s="537"/>
      <c r="F98" s="25"/>
      <c r="G98" s="557"/>
      <c r="H98" s="25"/>
      <c r="I98" s="537"/>
      <c r="J98" s="25"/>
      <c r="K98" s="537"/>
      <c r="M98" s="64" t="b">
        <v>0</v>
      </c>
      <c r="N98" t="s">
        <v>303</v>
      </c>
      <c r="Q98" s="485" t="s">
        <v>135</v>
      </c>
      <c r="S98" s="740"/>
      <c r="T98" s="485" t="s">
        <v>135</v>
      </c>
      <c r="V98" s="740"/>
      <c r="W98" s="485" t="s">
        <v>135</v>
      </c>
      <c r="Y98" s="740"/>
      <c r="Z98" s="485" t="s">
        <v>135</v>
      </c>
      <c r="AB98" s="740"/>
      <c r="AC98" s="485" t="s">
        <v>135</v>
      </c>
      <c r="AD98" s="66"/>
    </row>
    <row r="99" spans="1:30" ht="15" customHeight="1" x14ac:dyDescent="0.35">
      <c r="A99" s="570"/>
      <c r="B99" s="233">
        <f t="shared" si="7"/>
        <v>83</v>
      </c>
      <c r="C99" s="799"/>
      <c r="D99" s="25"/>
      <c r="E99" s="537"/>
      <c r="F99" s="25"/>
      <c r="G99" s="557"/>
      <c r="H99" s="25"/>
      <c r="I99" s="537"/>
      <c r="J99" s="25"/>
      <c r="K99" s="537"/>
      <c r="M99" s="64" t="b">
        <v>0</v>
      </c>
      <c r="N99" t="s">
        <v>304</v>
      </c>
      <c r="Q99" s="5"/>
      <c r="T99" s="10"/>
      <c r="W99" s="10"/>
      <c r="Z99" s="10"/>
      <c r="AC99" s="10"/>
      <c r="AD99" s="66"/>
    </row>
    <row r="100" spans="1:30" ht="4" customHeight="1" x14ac:dyDescent="0.35">
      <c r="A100" s="570"/>
      <c r="B100" s="233">
        <f t="shared" si="7"/>
        <v>84</v>
      </c>
      <c r="C100" s="799"/>
      <c r="D100" s="25"/>
      <c r="E100" s="537"/>
      <c r="F100" s="25"/>
      <c r="G100" s="557"/>
      <c r="H100" s="25"/>
      <c r="I100" s="537"/>
      <c r="J100" s="25"/>
      <c r="K100" s="537"/>
      <c r="Q100" s="3"/>
      <c r="AD100" s="66"/>
    </row>
    <row r="101" spans="1:30" ht="15" customHeight="1" x14ac:dyDescent="0.35">
      <c r="A101" s="570"/>
      <c r="B101" s="233">
        <f t="shared" si="7"/>
        <v>85</v>
      </c>
      <c r="C101" s="799"/>
      <c r="D101" s="25"/>
      <c r="E101" s="537"/>
      <c r="F101" s="25"/>
      <c r="G101" s="557"/>
      <c r="H101" s="25"/>
      <c r="I101" s="537"/>
      <c r="J101" s="25"/>
      <c r="K101" s="537"/>
      <c r="M101" s="64" t="b">
        <v>0</v>
      </c>
      <c r="N101" t="s">
        <v>305</v>
      </c>
      <c r="Q101" s="9"/>
      <c r="S101" s="45" t="b">
        <v>0</v>
      </c>
      <c r="T101" s="44" t="s">
        <v>306</v>
      </c>
      <c r="V101" s="115" t="b">
        <v>0</v>
      </c>
      <c r="W101" t="s">
        <v>307</v>
      </c>
      <c r="Y101" s="802" t="b">
        <v>0</v>
      </c>
      <c r="Z101" t="s">
        <v>308</v>
      </c>
      <c r="AD101" s="66"/>
    </row>
    <row r="102" spans="1:30" ht="4" customHeight="1" x14ac:dyDescent="0.35">
      <c r="A102" s="570"/>
      <c r="B102" s="233">
        <f t="shared" si="7"/>
        <v>86</v>
      </c>
      <c r="C102" s="799"/>
      <c r="D102" s="25"/>
      <c r="E102" s="537"/>
      <c r="F102" s="25"/>
      <c r="G102" s="557"/>
      <c r="H102" s="25"/>
      <c r="I102" s="537"/>
      <c r="J102" s="25"/>
      <c r="K102" s="537"/>
      <c r="Q102" s="9"/>
      <c r="S102" s="44"/>
      <c r="T102" s="44"/>
      <c r="Y102" s="802"/>
      <c r="AD102" s="66"/>
    </row>
    <row r="103" spans="1:30" ht="15" customHeight="1" x14ac:dyDescent="0.35">
      <c r="A103" s="570"/>
      <c r="B103" s="233">
        <f t="shared" si="7"/>
        <v>87</v>
      </c>
      <c r="C103" s="799"/>
      <c r="D103" s="25"/>
      <c r="E103" s="537"/>
      <c r="F103" s="25"/>
      <c r="G103" s="557"/>
      <c r="H103" s="25"/>
      <c r="I103" s="537"/>
      <c r="J103" s="25"/>
      <c r="K103" s="537"/>
      <c r="N103" s="73" t="s">
        <v>135</v>
      </c>
      <c r="S103" s="803" t="s">
        <v>309</v>
      </c>
      <c r="T103" s="803"/>
      <c r="V103" s="803" t="s">
        <v>310</v>
      </c>
      <c r="W103" s="803"/>
      <c r="Y103" s="802"/>
      <c r="AD103" s="66"/>
    </row>
    <row r="104" spans="1:30" ht="15" customHeight="1" x14ac:dyDescent="0.35">
      <c r="A104" s="570"/>
      <c r="B104" s="233">
        <f t="shared" si="7"/>
        <v>88</v>
      </c>
      <c r="C104" s="799"/>
      <c r="D104" s="25"/>
      <c r="E104" s="537"/>
      <c r="F104" s="25"/>
      <c r="G104" s="557"/>
      <c r="H104" s="25"/>
      <c r="I104" s="537"/>
      <c r="J104" s="25"/>
      <c r="K104" s="537"/>
      <c r="N104" s="674"/>
      <c r="S104" s="64" t="b">
        <v>0</v>
      </c>
      <c r="T104" t="s">
        <v>311</v>
      </c>
      <c r="W104" t="s">
        <v>312</v>
      </c>
      <c r="AD104" s="66"/>
    </row>
    <row r="105" spans="1:30" ht="15" customHeight="1" x14ac:dyDescent="0.35">
      <c r="A105" s="570"/>
      <c r="B105" s="233">
        <f t="shared" si="7"/>
        <v>89</v>
      </c>
      <c r="C105" s="799"/>
      <c r="D105" s="25"/>
      <c r="E105" s="537"/>
      <c r="F105" s="25"/>
      <c r="G105" s="557"/>
      <c r="H105" s="25"/>
      <c r="I105" s="537"/>
      <c r="J105" s="25"/>
      <c r="K105" s="537"/>
      <c r="N105" s="674"/>
      <c r="T105" s="73" t="s">
        <v>137</v>
      </c>
      <c r="W105" s="488" t="s">
        <v>137</v>
      </c>
      <c r="X105" s="73"/>
      <c r="Y105" s="73"/>
      <c r="Z105" s="73"/>
      <c r="AD105" s="66"/>
    </row>
    <row r="106" spans="1:30" ht="15" customHeight="1" x14ac:dyDescent="0.35">
      <c r="A106" s="570"/>
      <c r="B106" s="233">
        <f t="shared" si="7"/>
        <v>90</v>
      </c>
      <c r="C106" s="800"/>
      <c r="D106" s="25"/>
      <c r="E106" s="796"/>
      <c r="F106" s="25"/>
      <c r="G106" s="557"/>
      <c r="H106" s="25"/>
      <c r="I106" s="796"/>
      <c r="J106" s="25"/>
      <c r="K106" s="796"/>
      <c r="N106" s="482"/>
      <c r="T106" s="44"/>
      <c r="W106" s="10"/>
      <c r="X106" s="73"/>
      <c r="Y106" s="73"/>
      <c r="Z106" s="73"/>
      <c r="AD106" s="66"/>
    </row>
    <row r="107" spans="1:30" ht="8.15" customHeight="1" thickBot="1" x14ac:dyDescent="0.4">
      <c r="A107" s="571"/>
      <c r="B107" s="233"/>
      <c r="C107" s="801"/>
      <c r="D107" s="120"/>
      <c r="E107" s="797"/>
      <c r="F107" s="120"/>
      <c r="G107" s="558"/>
      <c r="H107" s="120"/>
      <c r="I107" s="797"/>
      <c r="J107" s="120"/>
      <c r="K107" s="797"/>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4">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35">
      <c r="A109" s="569">
        <f>A97+1</f>
        <v>9</v>
      </c>
      <c r="B109" s="13">
        <f>(A109*10)+1</f>
        <v>91</v>
      </c>
      <c r="C109" s="798"/>
      <c r="D109" s="78"/>
      <c r="E109" s="795"/>
      <c r="F109" s="78"/>
      <c r="G109" s="556"/>
      <c r="H109" s="78"/>
      <c r="I109" s="795"/>
      <c r="J109" s="78"/>
      <c r="K109" s="795"/>
      <c r="L109" s="62"/>
      <c r="M109" s="60" t="b">
        <v>0</v>
      </c>
      <c r="N109" s="62" t="s">
        <v>297</v>
      </c>
      <c r="O109" s="62"/>
      <c r="P109" s="62"/>
      <c r="Q109" s="62" t="s">
        <v>298</v>
      </c>
      <c r="R109" s="62"/>
      <c r="S109" s="739"/>
      <c r="T109" s="62" t="s">
        <v>299</v>
      </c>
      <c r="U109" s="62"/>
      <c r="V109" s="739"/>
      <c r="W109" s="62" t="s">
        <v>300</v>
      </c>
      <c r="X109" s="62"/>
      <c r="Y109" s="739"/>
      <c r="Z109" s="62" t="s">
        <v>301</v>
      </c>
      <c r="AA109" s="62"/>
      <c r="AB109" s="739"/>
      <c r="AC109" s="62" t="s">
        <v>302</v>
      </c>
      <c r="AD109" s="71"/>
    </row>
    <row r="110" spans="1:30" ht="15" customHeight="1" x14ac:dyDescent="0.35">
      <c r="A110" s="570"/>
      <c r="B110" s="233">
        <f t="shared" ref="B110:B118" si="8">B109+1</f>
        <v>92</v>
      </c>
      <c r="C110" s="799"/>
      <c r="D110" s="25"/>
      <c r="E110" s="537"/>
      <c r="F110" s="25"/>
      <c r="G110" s="557"/>
      <c r="H110" s="25"/>
      <c r="I110" s="537"/>
      <c r="J110" s="25"/>
      <c r="K110" s="537"/>
      <c r="M110" s="64" t="b">
        <v>0</v>
      </c>
      <c r="N110" t="s">
        <v>303</v>
      </c>
      <c r="Q110" s="485" t="s">
        <v>135</v>
      </c>
      <c r="S110" s="740"/>
      <c r="T110" s="485" t="s">
        <v>135</v>
      </c>
      <c r="V110" s="740"/>
      <c r="W110" s="485" t="s">
        <v>135</v>
      </c>
      <c r="Y110" s="740"/>
      <c r="Z110" s="485" t="s">
        <v>135</v>
      </c>
      <c r="AB110" s="740"/>
      <c r="AC110" s="485" t="s">
        <v>135</v>
      </c>
      <c r="AD110" s="66"/>
    </row>
    <row r="111" spans="1:30" ht="15" customHeight="1" x14ac:dyDescent="0.35">
      <c r="A111" s="570"/>
      <c r="B111" s="233">
        <f t="shared" si="8"/>
        <v>93</v>
      </c>
      <c r="C111" s="799"/>
      <c r="D111" s="25"/>
      <c r="E111" s="537"/>
      <c r="F111" s="25"/>
      <c r="G111" s="557"/>
      <c r="H111" s="25"/>
      <c r="I111" s="537"/>
      <c r="J111" s="25"/>
      <c r="K111" s="537"/>
      <c r="M111" s="64" t="b">
        <v>0</v>
      </c>
      <c r="N111" t="s">
        <v>304</v>
      </c>
      <c r="Q111" s="5"/>
      <c r="T111" s="10"/>
      <c r="W111" s="10"/>
      <c r="Z111" s="10"/>
      <c r="AC111" s="10"/>
      <c r="AD111" s="66"/>
    </row>
    <row r="112" spans="1:30" ht="4" customHeight="1" x14ac:dyDescent="0.35">
      <c r="A112" s="570"/>
      <c r="B112" s="233">
        <f t="shared" si="8"/>
        <v>94</v>
      </c>
      <c r="C112" s="799"/>
      <c r="D112" s="25"/>
      <c r="E112" s="537"/>
      <c r="F112" s="25"/>
      <c r="G112" s="557"/>
      <c r="H112" s="25"/>
      <c r="I112" s="537"/>
      <c r="J112" s="25"/>
      <c r="K112" s="537"/>
      <c r="Q112" s="3"/>
      <c r="AD112" s="66"/>
    </row>
    <row r="113" spans="1:30" ht="15" customHeight="1" x14ac:dyDescent="0.35">
      <c r="A113" s="570"/>
      <c r="B113" s="233">
        <f t="shared" si="8"/>
        <v>95</v>
      </c>
      <c r="C113" s="799"/>
      <c r="D113" s="25"/>
      <c r="E113" s="537"/>
      <c r="F113" s="25"/>
      <c r="G113" s="557"/>
      <c r="H113" s="25"/>
      <c r="I113" s="537"/>
      <c r="J113" s="25"/>
      <c r="K113" s="537"/>
      <c r="M113" s="64" t="b">
        <v>0</v>
      </c>
      <c r="N113" t="s">
        <v>305</v>
      </c>
      <c r="Q113" s="9"/>
      <c r="S113" s="45" t="b">
        <v>0</v>
      </c>
      <c r="T113" s="44" t="s">
        <v>306</v>
      </c>
      <c r="V113" s="115" t="b">
        <v>0</v>
      </c>
      <c r="W113" t="s">
        <v>307</v>
      </c>
      <c r="Y113" s="802" t="b">
        <v>0</v>
      </c>
      <c r="Z113" t="s">
        <v>308</v>
      </c>
      <c r="AD113" s="66"/>
    </row>
    <row r="114" spans="1:30" ht="4" customHeight="1" x14ac:dyDescent="0.35">
      <c r="A114" s="570"/>
      <c r="B114" s="233">
        <f t="shared" si="8"/>
        <v>96</v>
      </c>
      <c r="C114" s="799"/>
      <c r="D114" s="25"/>
      <c r="E114" s="537"/>
      <c r="F114" s="25"/>
      <c r="G114" s="557"/>
      <c r="H114" s="25"/>
      <c r="I114" s="537"/>
      <c r="J114" s="25"/>
      <c r="K114" s="537"/>
      <c r="Q114" s="9"/>
      <c r="S114" s="44"/>
      <c r="T114" s="44"/>
      <c r="Y114" s="802"/>
      <c r="AD114" s="66"/>
    </row>
    <row r="115" spans="1:30" ht="15" customHeight="1" x14ac:dyDescent="0.35">
      <c r="A115" s="570"/>
      <c r="B115" s="233">
        <f t="shared" si="8"/>
        <v>97</v>
      </c>
      <c r="C115" s="799"/>
      <c r="D115" s="25"/>
      <c r="E115" s="537"/>
      <c r="F115" s="25"/>
      <c r="G115" s="557"/>
      <c r="H115" s="25"/>
      <c r="I115" s="537"/>
      <c r="J115" s="25"/>
      <c r="K115" s="537"/>
      <c r="N115" s="73" t="s">
        <v>135</v>
      </c>
      <c r="S115" s="803" t="s">
        <v>309</v>
      </c>
      <c r="T115" s="803"/>
      <c r="V115" s="803" t="s">
        <v>310</v>
      </c>
      <c r="W115" s="803"/>
      <c r="Y115" s="802"/>
      <c r="AD115" s="66"/>
    </row>
    <row r="116" spans="1:30" ht="15" customHeight="1" x14ac:dyDescent="0.35">
      <c r="A116" s="570"/>
      <c r="B116" s="233">
        <f t="shared" si="8"/>
        <v>98</v>
      </c>
      <c r="C116" s="799"/>
      <c r="D116" s="25"/>
      <c r="E116" s="537"/>
      <c r="F116" s="25"/>
      <c r="G116" s="557"/>
      <c r="H116" s="25"/>
      <c r="I116" s="537"/>
      <c r="J116" s="25"/>
      <c r="K116" s="537"/>
      <c r="N116" s="674"/>
      <c r="S116" s="64" t="b">
        <v>0</v>
      </c>
      <c r="T116" t="s">
        <v>311</v>
      </c>
      <c r="W116" t="s">
        <v>312</v>
      </c>
      <c r="AD116" s="66"/>
    </row>
    <row r="117" spans="1:30" ht="15" customHeight="1" x14ac:dyDescent="0.35">
      <c r="A117" s="570"/>
      <c r="B117" s="233">
        <f t="shared" si="8"/>
        <v>99</v>
      </c>
      <c r="C117" s="799"/>
      <c r="D117" s="25"/>
      <c r="E117" s="537"/>
      <c r="F117" s="25"/>
      <c r="G117" s="557"/>
      <c r="H117" s="25"/>
      <c r="I117" s="537"/>
      <c r="J117" s="25"/>
      <c r="K117" s="537"/>
      <c r="N117" s="674"/>
      <c r="T117" s="73" t="s">
        <v>137</v>
      </c>
      <c r="W117" s="488" t="s">
        <v>137</v>
      </c>
      <c r="X117" s="73"/>
      <c r="Y117" s="73"/>
      <c r="Z117" s="73"/>
      <c r="AD117" s="66"/>
    </row>
    <row r="118" spans="1:30" ht="15" customHeight="1" x14ac:dyDescent="0.35">
      <c r="A118" s="570"/>
      <c r="B118" s="233">
        <f t="shared" si="8"/>
        <v>100</v>
      </c>
      <c r="C118" s="800"/>
      <c r="D118" s="25"/>
      <c r="E118" s="796"/>
      <c r="F118" s="25"/>
      <c r="G118" s="557"/>
      <c r="H118" s="25"/>
      <c r="I118" s="796"/>
      <c r="J118" s="25"/>
      <c r="K118" s="796"/>
      <c r="N118" s="482"/>
      <c r="T118" s="44"/>
      <c r="W118" s="10"/>
      <c r="X118" s="73"/>
      <c r="Y118" s="73"/>
      <c r="Z118" s="73"/>
      <c r="AD118" s="66"/>
    </row>
    <row r="119" spans="1:30" ht="8.15" customHeight="1" thickBot="1" x14ac:dyDescent="0.4">
      <c r="A119" s="571"/>
      <c r="B119" s="233"/>
      <c r="C119" s="801"/>
      <c r="D119" s="120"/>
      <c r="E119" s="797"/>
      <c r="F119" s="120"/>
      <c r="G119" s="558"/>
      <c r="H119" s="120"/>
      <c r="I119" s="797"/>
      <c r="J119" s="120"/>
      <c r="K119" s="797"/>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4">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35">
      <c r="A121" s="569">
        <f>A109+1</f>
        <v>10</v>
      </c>
      <c r="B121" s="13">
        <f>(A121*10)+1</f>
        <v>101</v>
      </c>
      <c r="C121" s="798"/>
      <c r="D121" s="78"/>
      <c r="E121" s="795"/>
      <c r="F121" s="78"/>
      <c r="G121" s="556"/>
      <c r="H121" s="78"/>
      <c r="I121" s="795"/>
      <c r="J121" s="78"/>
      <c r="K121" s="795"/>
      <c r="L121" s="62"/>
      <c r="M121" s="60" t="b">
        <v>0</v>
      </c>
      <c r="N121" s="62" t="s">
        <v>297</v>
      </c>
      <c r="O121" s="62"/>
      <c r="P121" s="62"/>
      <c r="Q121" s="62" t="s">
        <v>298</v>
      </c>
      <c r="R121" s="62"/>
      <c r="S121" s="739"/>
      <c r="T121" s="62" t="s">
        <v>299</v>
      </c>
      <c r="U121" s="62"/>
      <c r="V121" s="739"/>
      <c r="W121" s="62" t="s">
        <v>300</v>
      </c>
      <c r="X121" s="62"/>
      <c r="Y121" s="739"/>
      <c r="Z121" s="62" t="s">
        <v>301</v>
      </c>
      <c r="AA121" s="62"/>
      <c r="AB121" s="739"/>
      <c r="AC121" s="62" t="s">
        <v>302</v>
      </c>
      <c r="AD121" s="71"/>
    </row>
    <row r="122" spans="1:30" ht="15" customHeight="1" x14ac:dyDescent="0.35">
      <c r="A122" s="570"/>
      <c r="B122" s="233">
        <f t="shared" ref="B122:B130" si="9">B121+1</f>
        <v>102</v>
      </c>
      <c r="C122" s="799"/>
      <c r="D122" s="25"/>
      <c r="E122" s="537"/>
      <c r="F122" s="25"/>
      <c r="G122" s="557"/>
      <c r="H122" s="25"/>
      <c r="I122" s="537"/>
      <c r="J122" s="25"/>
      <c r="K122" s="537"/>
      <c r="M122" s="64" t="b">
        <v>0</v>
      </c>
      <c r="N122" t="s">
        <v>303</v>
      </c>
      <c r="Q122" s="485" t="s">
        <v>135</v>
      </c>
      <c r="S122" s="740"/>
      <c r="T122" s="485" t="s">
        <v>135</v>
      </c>
      <c r="V122" s="740"/>
      <c r="W122" s="485" t="s">
        <v>135</v>
      </c>
      <c r="Y122" s="740"/>
      <c r="Z122" s="485" t="s">
        <v>135</v>
      </c>
      <c r="AB122" s="740"/>
      <c r="AC122" s="485" t="s">
        <v>135</v>
      </c>
      <c r="AD122" s="66"/>
    </row>
    <row r="123" spans="1:30" ht="15" customHeight="1" x14ac:dyDescent="0.35">
      <c r="A123" s="570"/>
      <c r="B123" s="233">
        <f t="shared" si="9"/>
        <v>103</v>
      </c>
      <c r="C123" s="799"/>
      <c r="D123" s="25"/>
      <c r="E123" s="537"/>
      <c r="F123" s="25"/>
      <c r="G123" s="557"/>
      <c r="H123" s="25"/>
      <c r="I123" s="537"/>
      <c r="J123" s="25"/>
      <c r="K123" s="537"/>
      <c r="M123" s="64" t="b">
        <v>0</v>
      </c>
      <c r="N123" t="s">
        <v>304</v>
      </c>
      <c r="Q123" s="5"/>
      <c r="T123" s="10"/>
      <c r="W123" s="10"/>
      <c r="Z123" s="10"/>
      <c r="AC123" s="10"/>
      <c r="AD123" s="66"/>
    </row>
    <row r="124" spans="1:30" ht="4" customHeight="1" x14ac:dyDescent="0.35">
      <c r="A124" s="570"/>
      <c r="B124" s="233">
        <f t="shared" si="9"/>
        <v>104</v>
      </c>
      <c r="C124" s="799"/>
      <c r="D124" s="25"/>
      <c r="E124" s="537"/>
      <c r="F124" s="25"/>
      <c r="G124" s="557"/>
      <c r="H124" s="25"/>
      <c r="I124" s="537"/>
      <c r="J124" s="25"/>
      <c r="K124" s="537"/>
      <c r="Q124" s="3"/>
      <c r="AD124" s="66"/>
    </row>
    <row r="125" spans="1:30" ht="15" customHeight="1" x14ac:dyDescent="0.35">
      <c r="A125" s="570"/>
      <c r="B125" s="233">
        <f t="shared" si="9"/>
        <v>105</v>
      </c>
      <c r="C125" s="799"/>
      <c r="D125" s="25"/>
      <c r="E125" s="537"/>
      <c r="F125" s="25"/>
      <c r="G125" s="557"/>
      <c r="H125" s="25"/>
      <c r="I125" s="537"/>
      <c r="J125" s="25"/>
      <c r="K125" s="537"/>
      <c r="M125" s="64" t="b">
        <v>0</v>
      </c>
      <c r="N125" t="s">
        <v>305</v>
      </c>
      <c r="Q125" s="9"/>
      <c r="S125" s="45" t="b">
        <v>0</v>
      </c>
      <c r="T125" s="44" t="s">
        <v>306</v>
      </c>
      <c r="V125" s="115" t="b">
        <v>0</v>
      </c>
      <c r="W125" t="s">
        <v>307</v>
      </c>
      <c r="Y125" s="802" t="b">
        <v>0</v>
      </c>
      <c r="Z125" t="s">
        <v>308</v>
      </c>
      <c r="AD125" s="66"/>
    </row>
    <row r="126" spans="1:30" ht="4" customHeight="1" x14ac:dyDescent="0.35">
      <c r="A126" s="570"/>
      <c r="B126" s="233">
        <f t="shared" si="9"/>
        <v>106</v>
      </c>
      <c r="C126" s="799"/>
      <c r="D126" s="25"/>
      <c r="E126" s="537"/>
      <c r="F126" s="25"/>
      <c r="G126" s="557"/>
      <c r="H126" s="25"/>
      <c r="I126" s="537"/>
      <c r="J126" s="25"/>
      <c r="K126" s="537"/>
      <c r="Q126" s="9"/>
      <c r="S126" s="44"/>
      <c r="T126" s="44"/>
      <c r="Y126" s="802"/>
      <c r="AD126" s="66"/>
    </row>
    <row r="127" spans="1:30" ht="15" customHeight="1" x14ac:dyDescent="0.35">
      <c r="A127" s="570"/>
      <c r="B127" s="233">
        <f t="shared" si="9"/>
        <v>107</v>
      </c>
      <c r="C127" s="799"/>
      <c r="D127" s="25"/>
      <c r="E127" s="537"/>
      <c r="F127" s="25"/>
      <c r="G127" s="557"/>
      <c r="H127" s="25"/>
      <c r="I127" s="537"/>
      <c r="J127" s="25"/>
      <c r="K127" s="537"/>
      <c r="N127" s="73" t="s">
        <v>135</v>
      </c>
      <c r="S127" s="803" t="s">
        <v>309</v>
      </c>
      <c r="T127" s="803"/>
      <c r="V127" s="803" t="s">
        <v>310</v>
      </c>
      <c r="W127" s="803"/>
      <c r="Y127" s="802"/>
      <c r="AD127" s="66"/>
    </row>
    <row r="128" spans="1:30" ht="15" customHeight="1" x14ac:dyDescent="0.35">
      <c r="A128" s="570"/>
      <c r="B128" s="233">
        <f t="shared" si="9"/>
        <v>108</v>
      </c>
      <c r="C128" s="799"/>
      <c r="D128" s="25"/>
      <c r="E128" s="537"/>
      <c r="F128" s="25"/>
      <c r="G128" s="557"/>
      <c r="H128" s="25"/>
      <c r="I128" s="537"/>
      <c r="J128" s="25"/>
      <c r="K128" s="537"/>
      <c r="N128" s="674"/>
      <c r="S128" s="64" t="b">
        <v>0</v>
      </c>
      <c r="T128" t="s">
        <v>311</v>
      </c>
      <c r="W128" t="s">
        <v>312</v>
      </c>
      <c r="AD128" s="66"/>
    </row>
    <row r="129" spans="1:30" ht="15" customHeight="1" x14ac:dyDescent="0.35">
      <c r="A129" s="570"/>
      <c r="B129" s="233">
        <f t="shared" si="9"/>
        <v>109</v>
      </c>
      <c r="C129" s="799"/>
      <c r="D129" s="25"/>
      <c r="E129" s="537"/>
      <c r="F129" s="25"/>
      <c r="G129" s="557"/>
      <c r="H129" s="25"/>
      <c r="I129" s="537"/>
      <c r="J129" s="25"/>
      <c r="K129" s="537"/>
      <c r="N129" s="674"/>
      <c r="T129" s="73" t="s">
        <v>137</v>
      </c>
      <c r="W129" s="488" t="s">
        <v>137</v>
      </c>
      <c r="X129" s="73"/>
      <c r="Y129" s="73"/>
      <c r="Z129" s="73"/>
      <c r="AD129" s="66"/>
    </row>
    <row r="130" spans="1:30" ht="15" customHeight="1" x14ac:dyDescent="0.35">
      <c r="A130" s="570"/>
      <c r="B130" s="233">
        <f t="shared" si="9"/>
        <v>110</v>
      </c>
      <c r="C130" s="800"/>
      <c r="D130" s="25"/>
      <c r="E130" s="796"/>
      <c r="F130" s="25"/>
      <c r="G130" s="557"/>
      <c r="H130" s="25"/>
      <c r="I130" s="796"/>
      <c r="J130" s="25"/>
      <c r="K130" s="796"/>
      <c r="N130" s="482"/>
      <c r="T130" s="44"/>
      <c r="W130" s="10"/>
      <c r="X130" s="73"/>
      <c r="Y130" s="73"/>
      <c r="Z130" s="73"/>
      <c r="AD130" s="66"/>
    </row>
    <row r="131" spans="1:30" ht="8.15" customHeight="1" thickBot="1" x14ac:dyDescent="0.4">
      <c r="A131" s="571"/>
      <c r="B131" s="233"/>
      <c r="C131" s="801"/>
      <c r="D131" s="120"/>
      <c r="E131" s="797"/>
      <c r="F131" s="120"/>
      <c r="G131" s="558"/>
      <c r="H131" s="120"/>
      <c r="I131" s="797"/>
      <c r="J131" s="120"/>
      <c r="K131" s="797"/>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4">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35">
      <c r="A133" s="569">
        <f>A121+1</f>
        <v>11</v>
      </c>
      <c r="B133" s="13">
        <f>(A133*10)+1</f>
        <v>111</v>
      </c>
      <c r="C133" s="798"/>
      <c r="D133" s="78"/>
      <c r="E133" s="795"/>
      <c r="F133" s="78"/>
      <c r="G133" s="556"/>
      <c r="H133" s="78"/>
      <c r="I133" s="795"/>
      <c r="J133" s="78"/>
      <c r="K133" s="795"/>
      <c r="L133" s="62"/>
      <c r="M133" s="60" t="b">
        <v>0</v>
      </c>
      <c r="N133" s="62" t="s">
        <v>297</v>
      </c>
      <c r="O133" s="62"/>
      <c r="P133" s="62"/>
      <c r="Q133" s="62" t="s">
        <v>298</v>
      </c>
      <c r="R133" s="62"/>
      <c r="S133" s="739"/>
      <c r="T133" s="62" t="s">
        <v>299</v>
      </c>
      <c r="U133" s="62"/>
      <c r="V133" s="739"/>
      <c r="W133" s="62" t="s">
        <v>300</v>
      </c>
      <c r="X133" s="62"/>
      <c r="Y133" s="739"/>
      <c r="Z133" s="62" t="s">
        <v>301</v>
      </c>
      <c r="AA133" s="62"/>
      <c r="AB133" s="739"/>
      <c r="AC133" s="62" t="s">
        <v>302</v>
      </c>
      <c r="AD133" s="71"/>
    </row>
    <row r="134" spans="1:30" ht="15" customHeight="1" x14ac:dyDescent="0.35">
      <c r="A134" s="570"/>
      <c r="B134" s="233">
        <f t="shared" ref="B134:B142" si="10">B133+1</f>
        <v>112</v>
      </c>
      <c r="C134" s="799"/>
      <c r="D134" s="25"/>
      <c r="E134" s="537"/>
      <c r="F134" s="25"/>
      <c r="G134" s="557"/>
      <c r="H134" s="25"/>
      <c r="I134" s="537"/>
      <c r="J134" s="25"/>
      <c r="K134" s="537"/>
      <c r="M134" s="64" t="b">
        <v>0</v>
      </c>
      <c r="N134" t="s">
        <v>303</v>
      </c>
      <c r="Q134" s="485" t="s">
        <v>135</v>
      </c>
      <c r="S134" s="740"/>
      <c r="T134" s="485" t="s">
        <v>135</v>
      </c>
      <c r="V134" s="740"/>
      <c r="W134" s="485" t="s">
        <v>135</v>
      </c>
      <c r="Y134" s="740"/>
      <c r="Z134" s="485" t="s">
        <v>135</v>
      </c>
      <c r="AB134" s="740"/>
      <c r="AC134" s="485" t="s">
        <v>135</v>
      </c>
      <c r="AD134" s="66"/>
    </row>
    <row r="135" spans="1:30" ht="15" customHeight="1" x14ac:dyDescent="0.35">
      <c r="A135" s="570"/>
      <c r="B135" s="233">
        <f t="shared" si="10"/>
        <v>113</v>
      </c>
      <c r="C135" s="799"/>
      <c r="D135" s="25"/>
      <c r="E135" s="537"/>
      <c r="F135" s="25"/>
      <c r="G135" s="557"/>
      <c r="H135" s="25"/>
      <c r="I135" s="537"/>
      <c r="J135" s="25"/>
      <c r="K135" s="537"/>
      <c r="M135" s="64" t="b">
        <v>0</v>
      </c>
      <c r="N135" t="s">
        <v>304</v>
      </c>
      <c r="Q135" s="5"/>
      <c r="T135" s="10"/>
      <c r="W135" s="10"/>
      <c r="Z135" s="10"/>
      <c r="AC135" s="10"/>
      <c r="AD135" s="66"/>
    </row>
    <row r="136" spans="1:30" ht="4" customHeight="1" x14ac:dyDescent="0.35">
      <c r="A136" s="570"/>
      <c r="B136" s="233">
        <f t="shared" si="10"/>
        <v>114</v>
      </c>
      <c r="C136" s="799"/>
      <c r="D136" s="25"/>
      <c r="E136" s="537"/>
      <c r="F136" s="25"/>
      <c r="G136" s="557"/>
      <c r="H136" s="25"/>
      <c r="I136" s="537"/>
      <c r="J136" s="25"/>
      <c r="K136" s="537"/>
      <c r="Q136" s="3"/>
      <c r="AD136" s="66"/>
    </row>
    <row r="137" spans="1:30" ht="15" customHeight="1" x14ac:dyDescent="0.35">
      <c r="A137" s="570"/>
      <c r="B137" s="233">
        <f t="shared" si="10"/>
        <v>115</v>
      </c>
      <c r="C137" s="799"/>
      <c r="D137" s="25"/>
      <c r="E137" s="537"/>
      <c r="F137" s="25"/>
      <c r="G137" s="557"/>
      <c r="H137" s="25"/>
      <c r="I137" s="537"/>
      <c r="J137" s="25"/>
      <c r="K137" s="537"/>
      <c r="M137" s="64" t="b">
        <v>0</v>
      </c>
      <c r="N137" t="s">
        <v>305</v>
      </c>
      <c r="Q137" s="9"/>
      <c r="S137" s="45" t="b">
        <v>0</v>
      </c>
      <c r="T137" s="44" t="s">
        <v>306</v>
      </c>
      <c r="V137" s="115" t="b">
        <v>0</v>
      </c>
      <c r="W137" t="s">
        <v>307</v>
      </c>
      <c r="Y137" s="802" t="b">
        <v>0</v>
      </c>
      <c r="Z137" t="s">
        <v>308</v>
      </c>
      <c r="AD137" s="66"/>
    </row>
    <row r="138" spans="1:30" ht="4" customHeight="1" x14ac:dyDescent="0.35">
      <c r="A138" s="570"/>
      <c r="B138" s="233">
        <f t="shared" si="10"/>
        <v>116</v>
      </c>
      <c r="C138" s="799"/>
      <c r="D138" s="25"/>
      <c r="E138" s="537"/>
      <c r="F138" s="25"/>
      <c r="G138" s="557"/>
      <c r="H138" s="25"/>
      <c r="I138" s="537"/>
      <c r="J138" s="25"/>
      <c r="K138" s="537"/>
      <c r="Q138" s="9"/>
      <c r="S138" s="44"/>
      <c r="T138" s="44"/>
      <c r="Y138" s="802"/>
      <c r="AD138" s="66"/>
    </row>
    <row r="139" spans="1:30" ht="15" customHeight="1" x14ac:dyDescent="0.35">
      <c r="A139" s="570"/>
      <c r="B139" s="233">
        <f t="shared" si="10"/>
        <v>117</v>
      </c>
      <c r="C139" s="799"/>
      <c r="D139" s="25"/>
      <c r="E139" s="537"/>
      <c r="F139" s="25"/>
      <c r="G139" s="557"/>
      <c r="H139" s="25"/>
      <c r="I139" s="537"/>
      <c r="J139" s="25"/>
      <c r="K139" s="537"/>
      <c r="N139" s="73" t="s">
        <v>135</v>
      </c>
      <c r="S139" s="803" t="s">
        <v>309</v>
      </c>
      <c r="T139" s="803"/>
      <c r="V139" s="803" t="s">
        <v>310</v>
      </c>
      <c r="W139" s="803"/>
      <c r="Y139" s="802"/>
      <c r="AD139" s="66"/>
    </row>
    <row r="140" spans="1:30" ht="15" customHeight="1" x14ac:dyDescent="0.35">
      <c r="A140" s="570"/>
      <c r="B140" s="233">
        <f t="shared" si="10"/>
        <v>118</v>
      </c>
      <c r="C140" s="799"/>
      <c r="D140" s="25"/>
      <c r="E140" s="537"/>
      <c r="F140" s="25"/>
      <c r="G140" s="557"/>
      <c r="H140" s="25"/>
      <c r="I140" s="537"/>
      <c r="J140" s="25"/>
      <c r="K140" s="537"/>
      <c r="N140" s="674"/>
      <c r="S140" s="64" t="b">
        <v>0</v>
      </c>
      <c r="T140" t="s">
        <v>311</v>
      </c>
      <c r="W140" t="s">
        <v>312</v>
      </c>
      <c r="AD140" s="66"/>
    </row>
    <row r="141" spans="1:30" ht="15" customHeight="1" x14ac:dyDescent="0.35">
      <c r="A141" s="570"/>
      <c r="B141" s="233">
        <f t="shared" si="10"/>
        <v>119</v>
      </c>
      <c r="C141" s="799"/>
      <c r="D141" s="25"/>
      <c r="E141" s="537"/>
      <c r="F141" s="25"/>
      <c r="G141" s="557"/>
      <c r="H141" s="25"/>
      <c r="I141" s="537"/>
      <c r="J141" s="25"/>
      <c r="K141" s="537"/>
      <c r="N141" s="674"/>
      <c r="T141" s="73" t="s">
        <v>137</v>
      </c>
      <c r="W141" s="488" t="s">
        <v>137</v>
      </c>
      <c r="X141" s="73"/>
      <c r="Y141" s="73"/>
      <c r="Z141" s="73"/>
      <c r="AD141" s="66"/>
    </row>
    <row r="142" spans="1:30" ht="15" customHeight="1" x14ac:dyDescent="0.35">
      <c r="A142" s="570"/>
      <c r="B142" s="233">
        <f t="shared" si="10"/>
        <v>120</v>
      </c>
      <c r="C142" s="800"/>
      <c r="D142" s="25"/>
      <c r="E142" s="796"/>
      <c r="F142" s="25"/>
      <c r="G142" s="557"/>
      <c r="H142" s="25"/>
      <c r="I142" s="796"/>
      <c r="J142" s="25"/>
      <c r="K142" s="796"/>
      <c r="N142" s="482"/>
      <c r="T142" s="44"/>
      <c r="W142" s="10"/>
      <c r="X142" s="73"/>
      <c r="Y142" s="73"/>
      <c r="Z142" s="73"/>
      <c r="AD142" s="66"/>
    </row>
    <row r="143" spans="1:30" ht="8.15" customHeight="1" thickBot="1" x14ac:dyDescent="0.4">
      <c r="A143" s="571"/>
      <c r="B143" s="233"/>
      <c r="C143" s="801"/>
      <c r="D143" s="120"/>
      <c r="E143" s="797"/>
      <c r="F143" s="120"/>
      <c r="G143" s="558"/>
      <c r="H143" s="120"/>
      <c r="I143" s="797"/>
      <c r="J143" s="120"/>
      <c r="K143" s="797"/>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4">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35">
      <c r="A145" s="569">
        <f>A133+1</f>
        <v>12</v>
      </c>
      <c r="B145" s="13">
        <f>(A145*10)+1</f>
        <v>121</v>
      </c>
      <c r="C145" s="798"/>
      <c r="D145" s="78"/>
      <c r="E145" s="795"/>
      <c r="F145" s="78"/>
      <c r="G145" s="556"/>
      <c r="H145" s="78"/>
      <c r="I145" s="795"/>
      <c r="J145" s="78"/>
      <c r="K145" s="795"/>
      <c r="L145" s="62"/>
      <c r="M145" s="60" t="b">
        <v>0</v>
      </c>
      <c r="N145" s="62" t="s">
        <v>297</v>
      </c>
      <c r="O145" s="62"/>
      <c r="P145" s="62"/>
      <c r="Q145" s="62" t="s">
        <v>298</v>
      </c>
      <c r="R145" s="62"/>
      <c r="S145" s="739"/>
      <c r="T145" s="62" t="s">
        <v>299</v>
      </c>
      <c r="U145" s="62"/>
      <c r="V145" s="739"/>
      <c r="W145" s="62" t="s">
        <v>300</v>
      </c>
      <c r="X145" s="62"/>
      <c r="Y145" s="739"/>
      <c r="Z145" s="62" t="s">
        <v>301</v>
      </c>
      <c r="AA145" s="62"/>
      <c r="AB145" s="739"/>
      <c r="AC145" s="62" t="s">
        <v>302</v>
      </c>
      <c r="AD145" s="71"/>
    </row>
    <row r="146" spans="1:30" ht="15" customHeight="1" x14ac:dyDescent="0.35">
      <c r="A146" s="570"/>
      <c r="B146" s="233">
        <f t="shared" ref="B146:B154" si="11">B145+1</f>
        <v>122</v>
      </c>
      <c r="C146" s="799"/>
      <c r="D146" s="25"/>
      <c r="E146" s="537"/>
      <c r="F146" s="25"/>
      <c r="G146" s="557"/>
      <c r="H146" s="25"/>
      <c r="I146" s="537"/>
      <c r="J146" s="25"/>
      <c r="K146" s="537"/>
      <c r="M146" s="64" t="b">
        <v>0</v>
      </c>
      <c r="N146" t="s">
        <v>303</v>
      </c>
      <c r="Q146" s="485" t="s">
        <v>135</v>
      </c>
      <c r="S146" s="740"/>
      <c r="T146" s="485" t="s">
        <v>135</v>
      </c>
      <c r="V146" s="740"/>
      <c r="W146" s="485" t="s">
        <v>135</v>
      </c>
      <c r="Y146" s="740"/>
      <c r="Z146" s="485" t="s">
        <v>135</v>
      </c>
      <c r="AB146" s="740"/>
      <c r="AC146" s="485" t="s">
        <v>135</v>
      </c>
      <c r="AD146" s="66"/>
    </row>
    <row r="147" spans="1:30" ht="15" customHeight="1" x14ac:dyDescent="0.35">
      <c r="A147" s="570"/>
      <c r="B147" s="233">
        <f t="shared" si="11"/>
        <v>123</v>
      </c>
      <c r="C147" s="799"/>
      <c r="D147" s="25"/>
      <c r="E147" s="537"/>
      <c r="F147" s="25"/>
      <c r="G147" s="557"/>
      <c r="H147" s="25"/>
      <c r="I147" s="537"/>
      <c r="J147" s="25"/>
      <c r="K147" s="537"/>
      <c r="M147" s="64" t="b">
        <v>0</v>
      </c>
      <c r="N147" t="s">
        <v>304</v>
      </c>
      <c r="Q147" s="5"/>
      <c r="T147" s="10"/>
      <c r="W147" s="10"/>
      <c r="Z147" s="10"/>
      <c r="AC147" s="10"/>
      <c r="AD147" s="66"/>
    </row>
    <row r="148" spans="1:30" ht="4" customHeight="1" x14ac:dyDescent="0.35">
      <c r="A148" s="570"/>
      <c r="B148" s="233">
        <f t="shared" si="11"/>
        <v>124</v>
      </c>
      <c r="C148" s="799"/>
      <c r="D148" s="25"/>
      <c r="E148" s="537"/>
      <c r="F148" s="25"/>
      <c r="G148" s="557"/>
      <c r="H148" s="25"/>
      <c r="I148" s="537"/>
      <c r="J148" s="25"/>
      <c r="K148" s="537"/>
      <c r="Q148" s="3"/>
      <c r="AD148" s="66"/>
    </row>
    <row r="149" spans="1:30" ht="15" customHeight="1" x14ac:dyDescent="0.35">
      <c r="A149" s="570"/>
      <c r="B149" s="233">
        <f t="shared" si="11"/>
        <v>125</v>
      </c>
      <c r="C149" s="799"/>
      <c r="D149" s="25"/>
      <c r="E149" s="537"/>
      <c r="F149" s="25"/>
      <c r="G149" s="557"/>
      <c r="H149" s="25"/>
      <c r="I149" s="537"/>
      <c r="J149" s="25"/>
      <c r="K149" s="537"/>
      <c r="M149" s="64" t="b">
        <v>0</v>
      </c>
      <c r="N149" t="s">
        <v>305</v>
      </c>
      <c r="Q149" s="9"/>
      <c r="S149" s="45" t="b">
        <v>0</v>
      </c>
      <c r="T149" s="44" t="s">
        <v>306</v>
      </c>
      <c r="V149" s="115" t="b">
        <v>0</v>
      </c>
      <c r="W149" t="s">
        <v>307</v>
      </c>
      <c r="Y149" s="802" t="b">
        <v>0</v>
      </c>
      <c r="Z149" t="s">
        <v>308</v>
      </c>
      <c r="AD149" s="66"/>
    </row>
    <row r="150" spans="1:30" ht="4" customHeight="1" x14ac:dyDescent="0.35">
      <c r="A150" s="570"/>
      <c r="B150" s="233">
        <f t="shared" si="11"/>
        <v>126</v>
      </c>
      <c r="C150" s="799"/>
      <c r="D150" s="25"/>
      <c r="E150" s="537"/>
      <c r="F150" s="25"/>
      <c r="G150" s="557"/>
      <c r="H150" s="25"/>
      <c r="I150" s="537"/>
      <c r="J150" s="25"/>
      <c r="K150" s="537"/>
      <c r="Q150" s="9"/>
      <c r="S150" s="44"/>
      <c r="T150" s="44"/>
      <c r="Y150" s="802"/>
      <c r="AD150" s="66"/>
    </row>
    <row r="151" spans="1:30" ht="15" customHeight="1" x14ac:dyDescent="0.35">
      <c r="A151" s="570"/>
      <c r="B151" s="233">
        <f t="shared" si="11"/>
        <v>127</v>
      </c>
      <c r="C151" s="799"/>
      <c r="D151" s="25"/>
      <c r="E151" s="537"/>
      <c r="F151" s="25"/>
      <c r="G151" s="557"/>
      <c r="H151" s="25"/>
      <c r="I151" s="537"/>
      <c r="J151" s="25"/>
      <c r="K151" s="537"/>
      <c r="N151" s="73" t="s">
        <v>135</v>
      </c>
      <c r="S151" s="803" t="s">
        <v>309</v>
      </c>
      <c r="T151" s="803"/>
      <c r="V151" s="803" t="s">
        <v>310</v>
      </c>
      <c r="W151" s="803"/>
      <c r="Y151" s="802"/>
      <c r="AD151" s="66"/>
    </row>
    <row r="152" spans="1:30" ht="15" customHeight="1" x14ac:dyDescent="0.35">
      <c r="A152" s="570"/>
      <c r="B152" s="233">
        <f t="shared" si="11"/>
        <v>128</v>
      </c>
      <c r="C152" s="799"/>
      <c r="D152" s="25"/>
      <c r="E152" s="537"/>
      <c r="F152" s="25"/>
      <c r="G152" s="557"/>
      <c r="H152" s="25"/>
      <c r="I152" s="537"/>
      <c r="J152" s="25"/>
      <c r="K152" s="537"/>
      <c r="N152" s="674"/>
      <c r="S152" s="64" t="b">
        <v>0</v>
      </c>
      <c r="T152" t="s">
        <v>311</v>
      </c>
      <c r="W152" t="s">
        <v>312</v>
      </c>
      <c r="AD152" s="66"/>
    </row>
    <row r="153" spans="1:30" ht="15" customHeight="1" x14ac:dyDescent="0.35">
      <c r="A153" s="570"/>
      <c r="B153" s="233">
        <f t="shared" si="11"/>
        <v>129</v>
      </c>
      <c r="C153" s="799"/>
      <c r="D153" s="25"/>
      <c r="E153" s="537"/>
      <c r="F153" s="25"/>
      <c r="G153" s="557"/>
      <c r="H153" s="25"/>
      <c r="I153" s="537"/>
      <c r="J153" s="25"/>
      <c r="K153" s="537"/>
      <c r="N153" s="674"/>
      <c r="T153" s="73" t="s">
        <v>137</v>
      </c>
      <c r="W153" s="488" t="s">
        <v>137</v>
      </c>
      <c r="X153" s="73"/>
      <c r="Y153" s="73"/>
      <c r="Z153" s="73"/>
      <c r="AD153" s="66"/>
    </row>
    <row r="154" spans="1:30" ht="15" customHeight="1" x14ac:dyDescent="0.35">
      <c r="A154" s="570"/>
      <c r="B154" s="233">
        <f t="shared" si="11"/>
        <v>130</v>
      </c>
      <c r="C154" s="800"/>
      <c r="D154" s="25"/>
      <c r="E154" s="796"/>
      <c r="F154" s="25"/>
      <c r="G154" s="557"/>
      <c r="H154" s="25"/>
      <c r="I154" s="796"/>
      <c r="J154" s="25"/>
      <c r="K154" s="796"/>
      <c r="N154" s="482"/>
      <c r="T154" s="44"/>
      <c r="W154" s="10"/>
      <c r="X154" s="73"/>
      <c r="Y154" s="73"/>
      <c r="Z154" s="73"/>
      <c r="AD154" s="66"/>
    </row>
    <row r="155" spans="1:30" ht="8.15" customHeight="1" thickBot="1" x14ac:dyDescent="0.4">
      <c r="A155" s="571"/>
      <c r="B155" s="233"/>
      <c r="C155" s="801"/>
      <c r="D155" s="120"/>
      <c r="E155" s="797"/>
      <c r="F155" s="120"/>
      <c r="G155" s="558"/>
      <c r="H155" s="120"/>
      <c r="I155" s="797"/>
      <c r="J155" s="120"/>
      <c r="K155" s="797"/>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4">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35">
      <c r="A157" s="569">
        <f>A145+1</f>
        <v>13</v>
      </c>
      <c r="B157" s="13">
        <f>(A157*10)+1</f>
        <v>131</v>
      </c>
      <c r="C157" s="798"/>
      <c r="D157" s="78"/>
      <c r="E157" s="795"/>
      <c r="F157" s="78"/>
      <c r="G157" s="556"/>
      <c r="H157" s="78"/>
      <c r="I157" s="795"/>
      <c r="J157" s="78"/>
      <c r="K157" s="795"/>
      <c r="L157" s="62"/>
      <c r="M157" s="60" t="b">
        <v>0</v>
      </c>
      <c r="N157" s="62" t="s">
        <v>297</v>
      </c>
      <c r="O157" s="62"/>
      <c r="P157" s="62"/>
      <c r="Q157" s="62" t="s">
        <v>298</v>
      </c>
      <c r="R157" s="62"/>
      <c r="S157" s="739"/>
      <c r="T157" s="62" t="s">
        <v>299</v>
      </c>
      <c r="U157" s="62"/>
      <c r="V157" s="739"/>
      <c r="W157" s="62" t="s">
        <v>300</v>
      </c>
      <c r="X157" s="62"/>
      <c r="Y157" s="739"/>
      <c r="Z157" s="62" t="s">
        <v>301</v>
      </c>
      <c r="AA157" s="62"/>
      <c r="AB157" s="739"/>
      <c r="AC157" s="62" t="s">
        <v>302</v>
      </c>
      <c r="AD157" s="71"/>
    </row>
    <row r="158" spans="1:30" ht="15" customHeight="1" x14ac:dyDescent="0.35">
      <c r="A158" s="570"/>
      <c r="B158" s="233">
        <f t="shared" ref="B158:B166" si="12">B157+1</f>
        <v>132</v>
      </c>
      <c r="C158" s="799"/>
      <c r="D158" s="25"/>
      <c r="E158" s="537"/>
      <c r="F158" s="25"/>
      <c r="G158" s="557"/>
      <c r="H158" s="25"/>
      <c r="I158" s="537"/>
      <c r="J158" s="25"/>
      <c r="K158" s="537"/>
      <c r="M158" s="64" t="b">
        <v>0</v>
      </c>
      <c r="N158" t="s">
        <v>303</v>
      </c>
      <c r="Q158" s="485" t="s">
        <v>135</v>
      </c>
      <c r="S158" s="740"/>
      <c r="T158" s="485" t="s">
        <v>135</v>
      </c>
      <c r="V158" s="740"/>
      <c r="W158" s="485" t="s">
        <v>135</v>
      </c>
      <c r="Y158" s="740"/>
      <c r="Z158" s="485" t="s">
        <v>135</v>
      </c>
      <c r="AB158" s="740"/>
      <c r="AC158" s="485" t="s">
        <v>135</v>
      </c>
      <c r="AD158" s="66"/>
    </row>
    <row r="159" spans="1:30" ht="15" customHeight="1" x14ac:dyDescent="0.35">
      <c r="A159" s="570"/>
      <c r="B159" s="233">
        <f t="shared" si="12"/>
        <v>133</v>
      </c>
      <c r="C159" s="799"/>
      <c r="D159" s="25"/>
      <c r="E159" s="537"/>
      <c r="F159" s="25"/>
      <c r="G159" s="557"/>
      <c r="H159" s="25"/>
      <c r="I159" s="537"/>
      <c r="J159" s="25"/>
      <c r="K159" s="537"/>
      <c r="M159" s="64" t="b">
        <v>0</v>
      </c>
      <c r="N159" t="s">
        <v>304</v>
      </c>
      <c r="Q159" s="5"/>
      <c r="T159" s="10"/>
      <c r="W159" s="10"/>
      <c r="Z159" s="10"/>
      <c r="AC159" s="10"/>
      <c r="AD159" s="66"/>
    </row>
    <row r="160" spans="1:30" ht="4" customHeight="1" x14ac:dyDescent="0.35">
      <c r="A160" s="570"/>
      <c r="B160" s="233">
        <f t="shared" si="12"/>
        <v>134</v>
      </c>
      <c r="C160" s="799"/>
      <c r="D160" s="25"/>
      <c r="E160" s="537"/>
      <c r="F160" s="25"/>
      <c r="G160" s="557"/>
      <c r="H160" s="25"/>
      <c r="I160" s="537"/>
      <c r="J160" s="25"/>
      <c r="K160" s="537"/>
      <c r="Q160" s="3"/>
      <c r="AD160" s="66"/>
    </row>
    <row r="161" spans="1:30" ht="15" customHeight="1" x14ac:dyDescent="0.35">
      <c r="A161" s="570"/>
      <c r="B161" s="233">
        <f t="shared" si="12"/>
        <v>135</v>
      </c>
      <c r="C161" s="799"/>
      <c r="D161" s="25"/>
      <c r="E161" s="537"/>
      <c r="F161" s="25"/>
      <c r="G161" s="557"/>
      <c r="H161" s="25"/>
      <c r="I161" s="537"/>
      <c r="J161" s="25"/>
      <c r="K161" s="537"/>
      <c r="M161" s="64" t="b">
        <v>0</v>
      </c>
      <c r="N161" t="s">
        <v>305</v>
      </c>
      <c r="Q161" s="9"/>
      <c r="S161" s="45" t="b">
        <v>0</v>
      </c>
      <c r="T161" s="44" t="s">
        <v>306</v>
      </c>
      <c r="V161" s="115" t="b">
        <v>0</v>
      </c>
      <c r="W161" t="s">
        <v>307</v>
      </c>
      <c r="Y161" s="802" t="b">
        <v>0</v>
      </c>
      <c r="Z161" t="s">
        <v>308</v>
      </c>
      <c r="AD161" s="66"/>
    </row>
    <row r="162" spans="1:30" ht="4" customHeight="1" x14ac:dyDescent="0.35">
      <c r="A162" s="570"/>
      <c r="B162" s="233">
        <f t="shared" si="12"/>
        <v>136</v>
      </c>
      <c r="C162" s="799"/>
      <c r="D162" s="25"/>
      <c r="E162" s="537"/>
      <c r="F162" s="25"/>
      <c r="G162" s="557"/>
      <c r="H162" s="25"/>
      <c r="I162" s="537"/>
      <c r="J162" s="25"/>
      <c r="K162" s="537"/>
      <c r="Q162" s="9"/>
      <c r="S162" s="44"/>
      <c r="T162" s="44"/>
      <c r="Y162" s="802"/>
      <c r="AD162" s="66"/>
    </row>
    <row r="163" spans="1:30" ht="15" customHeight="1" x14ac:dyDescent="0.35">
      <c r="A163" s="570"/>
      <c r="B163" s="233">
        <f t="shared" si="12"/>
        <v>137</v>
      </c>
      <c r="C163" s="799"/>
      <c r="D163" s="25"/>
      <c r="E163" s="537"/>
      <c r="F163" s="25"/>
      <c r="G163" s="557"/>
      <c r="H163" s="25"/>
      <c r="I163" s="537"/>
      <c r="J163" s="25"/>
      <c r="K163" s="537"/>
      <c r="N163" s="73" t="s">
        <v>135</v>
      </c>
      <c r="S163" s="803" t="s">
        <v>309</v>
      </c>
      <c r="T163" s="803"/>
      <c r="V163" s="803" t="s">
        <v>310</v>
      </c>
      <c r="W163" s="803"/>
      <c r="Y163" s="802"/>
      <c r="AD163" s="66"/>
    </row>
    <row r="164" spans="1:30" ht="15" customHeight="1" x14ac:dyDescent="0.35">
      <c r="A164" s="570"/>
      <c r="B164" s="233">
        <f t="shared" si="12"/>
        <v>138</v>
      </c>
      <c r="C164" s="799"/>
      <c r="D164" s="25"/>
      <c r="E164" s="537"/>
      <c r="F164" s="25"/>
      <c r="G164" s="557"/>
      <c r="H164" s="25"/>
      <c r="I164" s="537"/>
      <c r="J164" s="25"/>
      <c r="K164" s="537"/>
      <c r="N164" s="674"/>
      <c r="S164" s="64" t="b">
        <v>0</v>
      </c>
      <c r="T164" t="s">
        <v>311</v>
      </c>
      <c r="W164" t="s">
        <v>312</v>
      </c>
      <c r="AD164" s="66"/>
    </row>
    <row r="165" spans="1:30" ht="15" customHeight="1" x14ac:dyDescent="0.35">
      <c r="A165" s="570"/>
      <c r="B165" s="233">
        <f t="shared" si="12"/>
        <v>139</v>
      </c>
      <c r="C165" s="799"/>
      <c r="D165" s="25"/>
      <c r="E165" s="537"/>
      <c r="F165" s="25"/>
      <c r="G165" s="557"/>
      <c r="H165" s="25"/>
      <c r="I165" s="537"/>
      <c r="J165" s="25"/>
      <c r="K165" s="537"/>
      <c r="N165" s="674"/>
      <c r="T165" s="73" t="s">
        <v>137</v>
      </c>
      <c r="W165" s="488" t="s">
        <v>137</v>
      </c>
      <c r="X165" s="73"/>
      <c r="Y165" s="73"/>
      <c r="Z165" s="73"/>
      <c r="AD165" s="66"/>
    </row>
    <row r="166" spans="1:30" ht="15" customHeight="1" x14ac:dyDescent="0.35">
      <c r="A166" s="570"/>
      <c r="B166" s="233">
        <f t="shared" si="12"/>
        <v>140</v>
      </c>
      <c r="C166" s="800"/>
      <c r="D166" s="25"/>
      <c r="E166" s="796"/>
      <c r="F166" s="25"/>
      <c r="G166" s="557"/>
      <c r="H166" s="25"/>
      <c r="I166" s="796"/>
      <c r="J166" s="25"/>
      <c r="K166" s="796"/>
      <c r="N166" s="482"/>
      <c r="T166" s="44"/>
      <c r="W166" s="10"/>
      <c r="X166" s="73"/>
      <c r="Y166" s="73"/>
      <c r="Z166" s="73"/>
      <c r="AD166" s="66"/>
    </row>
    <row r="167" spans="1:30" ht="8.15" customHeight="1" thickBot="1" x14ac:dyDescent="0.4">
      <c r="A167" s="571"/>
      <c r="B167" s="233"/>
      <c r="C167" s="801"/>
      <c r="D167" s="120"/>
      <c r="E167" s="797"/>
      <c r="F167" s="120"/>
      <c r="G167" s="558"/>
      <c r="H167" s="120"/>
      <c r="I167" s="797"/>
      <c r="J167" s="120"/>
      <c r="K167" s="797"/>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4">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35">
      <c r="A169" s="569">
        <f>A157+1</f>
        <v>14</v>
      </c>
      <c r="B169" s="13">
        <f>(A169*10)+1</f>
        <v>141</v>
      </c>
      <c r="C169" s="798"/>
      <c r="D169" s="78"/>
      <c r="E169" s="795"/>
      <c r="F169" s="78"/>
      <c r="G169" s="556"/>
      <c r="H169" s="78"/>
      <c r="I169" s="795"/>
      <c r="J169" s="78"/>
      <c r="K169" s="795"/>
      <c r="L169" s="62"/>
      <c r="M169" s="60" t="b">
        <v>0</v>
      </c>
      <c r="N169" s="62" t="s">
        <v>297</v>
      </c>
      <c r="O169" s="62"/>
      <c r="P169" s="62"/>
      <c r="Q169" s="62" t="s">
        <v>298</v>
      </c>
      <c r="R169" s="62"/>
      <c r="S169" s="739"/>
      <c r="T169" s="62" t="s">
        <v>299</v>
      </c>
      <c r="U169" s="62"/>
      <c r="V169" s="739"/>
      <c r="W169" s="62" t="s">
        <v>300</v>
      </c>
      <c r="X169" s="62"/>
      <c r="Y169" s="739"/>
      <c r="Z169" s="62" t="s">
        <v>301</v>
      </c>
      <c r="AA169" s="62"/>
      <c r="AB169" s="739"/>
      <c r="AC169" s="62" t="s">
        <v>302</v>
      </c>
      <c r="AD169" s="71"/>
    </row>
    <row r="170" spans="1:30" ht="15" customHeight="1" x14ac:dyDescent="0.35">
      <c r="A170" s="570"/>
      <c r="B170" s="233">
        <f t="shared" ref="B170:B178" si="13">B169+1</f>
        <v>142</v>
      </c>
      <c r="C170" s="799"/>
      <c r="D170" s="25"/>
      <c r="E170" s="537"/>
      <c r="F170" s="25"/>
      <c r="G170" s="557"/>
      <c r="H170" s="25"/>
      <c r="I170" s="537"/>
      <c r="J170" s="25"/>
      <c r="K170" s="537"/>
      <c r="M170" s="64" t="b">
        <v>0</v>
      </c>
      <c r="N170" t="s">
        <v>303</v>
      </c>
      <c r="Q170" s="485" t="s">
        <v>135</v>
      </c>
      <c r="S170" s="740"/>
      <c r="T170" s="485" t="s">
        <v>135</v>
      </c>
      <c r="V170" s="740"/>
      <c r="W170" s="485" t="s">
        <v>135</v>
      </c>
      <c r="Y170" s="740"/>
      <c r="Z170" s="485" t="s">
        <v>135</v>
      </c>
      <c r="AB170" s="740"/>
      <c r="AC170" s="485" t="s">
        <v>135</v>
      </c>
      <c r="AD170" s="66"/>
    </row>
    <row r="171" spans="1:30" ht="15" customHeight="1" x14ac:dyDescent="0.35">
      <c r="A171" s="570"/>
      <c r="B171" s="233">
        <f t="shared" si="13"/>
        <v>143</v>
      </c>
      <c r="C171" s="799"/>
      <c r="D171" s="25"/>
      <c r="E171" s="537"/>
      <c r="F171" s="25"/>
      <c r="G171" s="557"/>
      <c r="H171" s="25"/>
      <c r="I171" s="537"/>
      <c r="J171" s="25"/>
      <c r="K171" s="537"/>
      <c r="M171" s="64" t="b">
        <v>0</v>
      </c>
      <c r="N171" t="s">
        <v>304</v>
      </c>
      <c r="Q171" s="5"/>
      <c r="T171" s="10"/>
      <c r="W171" s="10"/>
      <c r="Z171" s="10"/>
      <c r="AC171" s="10"/>
      <c r="AD171" s="66"/>
    </row>
    <row r="172" spans="1:30" ht="4" customHeight="1" x14ac:dyDescent="0.35">
      <c r="A172" s="570"/>
      <c r="B172" s="233">
        <f t="shared" si="13"/>
        <v>144</v>
      </c>
      <c r="C172" s="799"/>
      <c r="D172" s="25"/>
      <c r="E172" s="537"/>
      <c r="F172" s="25"/>
      <c r="G172" s="557"/>
      <c r="H172" s="25"/>
      <c r="I172" s="537"/>
      <c r="J172" s="25"/>
      <c r="K172" s="537"/>
      <c r="Q172" s="3"/>
      <c r="AD172" s="66"/>
    </row>
    <row r="173" spans="1:30" ht="15" customHeight="1" x14ac:dyDescent="0.35">
      <c r="A173" s="570"/>
      <c r="B173" s="233">
        <f t="shared" si="13"/>
        <v>145</v>
      </c>
      <c r="C173" s="799"/>
      <c r="D173" s="25"/>
      <c r="E173" s="537"/>
      <c r="F173" s="25"/>
      <c r="G173" s="557"/>
      <c r="H173" s="25"/>
      <c r="I173" s="537"/>
      <c r="J173" s="25"/>
      <c r="K173" s="537"/>
      <c r="M173" s="64" t="b">
        <v>0</v>
      </c>
      <c r="N173" t="s">
        <v>305</v>
      </c>
      <c r="Q173" s="9"/>
      <c r="S173" s="45" t="b">
        <v>0</v>
      </c>
      <c r="T173" s="44" t="s">
        <v>306</v>
      </c>
      <c r="V173" s="115" t="b">
        <v>0</v>
      </c>
      <c r="W173" t="s">
        <v>307</v>
      </c>
      <c r="Y173" s="802" t="b">
        <v>0</v>
      </c>
      <c r="Z173" t="s">
        <v>308</v>
      </c>
      <c r="AD173" s="66"/>
    </row>
    <row r="174" spans="1:30" ht="4" customHeight="1" x14ac:dyDescent="0.35">
      <c r="A174" s="570"/>
      <c r="B174" s="233">
        <f t="shared" si="13"/>
        <v>146</v>
      </c>
      <c r="C174" s="799"/>
      <c r="D174" s="25"/>
      <c r="E174" s="537"/>
      <c r="F174" s="25"/>
      <c r="G174" s="557"/>
      <c r="H174" s="25"/>
      <c r="I174" s="537"/>
      <c r="J174" s="25"/>
      <c r="K174" s="537"/>
      <c r="Q174" s="9"/>
      <c r="S174" s="44"/>
      <c r="T174" s="44"/>
      <c r="Y174" s="802"/>
      <c r="AD174" s="66"/>
    </row>
    <row r="175" spans="1:30" ht="15" customHeight="1" x14ac:dyDescent="0.35">
      <c r="A175" s="570"/>
      <c r="B175" s="233">
        <f t="shared" si="13"/>
        <v>147</v>
      </c>
      <c r="C175" s="799"/>
      <c r="D175" s="25"/>
      <c r="E175" s="537"/>
      <c r="F175" s="25"/>
      <c r="G175" s="557"/>
      <c r="H175" s="25"/>
      <c r="I175" s="537"/>
      <c r="J175" s="25"/>
      <c r="K175" s="537"/>
      <c r="N175" s="73" t="s">
        <v>135</v>
      </c>
      <c r="S175" s="803" t="s">
        <v>309</v>
      </c>
      <c r="T175" s="803"/>
      <c r="V175" s="803" t="s">
        <v>310</v>
      </c>
      <c r="W175" s="803"/>
      <c r="Y175" s="802"/>
      <c r="AD175" s="66"/>
    </row>
    <row r="176" spans="1:30" ht="15" customHeight="1" x14ac:dyDescent="0.35">
      <c r="A176" s="570"/>
      <c r="B176" s="233">
        <f t="shared" si="13"/>
        <v>148</v>
      </c>
      <c r="C176" s="799"/>
      <c r="D176" s="25"/>
      <c r="E176" s="537"/>
      <c r="F176" s="25"/>
      <c r="G176" s="557"/>
      <c r="H176" s="25"/>
      <c r="I176" s="537"/>
      <c r="J176" s="25"/>
      <c r="K176" s="537"/>
      <c r="N176" s="674"/>
      <c r="S176" s="64" t="b">
        <v>0</v>
      </c>
      <c r="T176" t="s">
        <v>311</v>
      </c>
      <c r="W176" t="s">
        <v>312</v>
      </c>
      <c r="AD176" s="66"/>
    </row>
    <row r="177" spans="1:30" ht="15" customHeight="1" x14ac:dyDescent="0.35">
      <c r="A177" s="570"/>
      <c r="B177" s="233">
        <f t="shared" si="13"/>
        <v>149</v>
      </c>
      <c r="C177" s="799"/>
      <c r="D177" s="25"/>
      <c r="E177" s="537"/>
      <c r="F177" s="25"/>
      <c r="G177" s="557"/>
      <c r="H177" s="25"/>
      <c r="I177" s="537"/>
      <c r="J177" s="25"/>
      <c r="K177" s="537"/>
      <c r="N177" s="674"/>
      <c r="T177" s="73" t="s">
        <v>137</v>
      </c>
      <c r="W177" s="488" t="s">
        <v>137</v>
      </c>
      <c r="X177" s="73"/>
      <c r="Y177" s="73"/>
      <c r="Z177" s="73"/>
      <c r="AD177" s="66"/>
    </row>
    <row r="178" spans="1:30" ht="15" customHeight="1" x14ac:dyDescent="0.35">
      <c r="A178" s="570"/>
      <c r="B178" s="233">
        <f t="shared" si="13"/>
        <v>150</v>
      </c>
      <c r="C178" s="800"/>
      <c r="D178" s="25"/>
      <c r="E178" s="796"/>
      <c r="F178" s="25"/>
      <c r="G178" s="557"/>
      <c r="H178" s="25"/>
      <c r="I178" s="796"/>
      <c r="J178" s="25"/>
      <c r="K178" s="796"/>
      <c r="N178" s="482"/>
      <c r="T178" s="44"/>
      <c r="W178" s="10"/>
      <c r="X178" s="73"/>
      <c r="Y178" s="73"/>
      <c r="Z178" s="73"/>
      <c r="AD178" s="66"/>
    </row>
    <row r="179" spans="1:30" ht="8.15" customHeight="1" thickBot="1" x14ac:dyDescent="0.4">
      <c r="A179" s="571"/>
      <c r="B179" s="233"/>
      <c r="C179" s="801"/>
      <c r="D179" s="120"/>
      <c r="E179" s="797"/>
      <c r="F179" s="120"/>
      <c r="G179" s="558"/>
      <c r="H179" s="120"/>
      <c r="I179" s="797"/>
      <c r="J179" s="120"/>
      <c r="K179" s="797"/>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4">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35">
      <c r="A181" s="569">
        <f>A169+1</f>
        <v>15</v>
      </c>
      <c r="B181" s="13">
        <f>(A181*10)+1</f>
        <v>151</v>
      </c>
      <c r="C181" s="798"/>
      <c r="D181" s="78"/>
      <c r="E181" s="795"/>
      <c r="F181" s="78"/>
      <c r="G181" s="556"/>
      <c r="H181" s="78"/>
      <c r="I181" s="795"/>
      <c r="J181" s="78"/>
      <c r="K181" s="795"/>
      <c r="L181" s="62"/>
      <c r="M181" s="60" t="b">
        <v>0</v>
      </c>
      <c r="N181" s="62" t="s">
        <v>297</v>
      </c>
      <c r="O181" s="62"/>
      <c r="P181" s="62"/>
      <c r="Q181" s="62" t="s">
        <v>298</v>
      </c>
      <c r="R181" s="62"/>
      <c r="S181" s="739"/>
      <c r="T181" s="62" t="s">
        <v>299</v>
      </c>
      <c r="U181" s="62"/>
      <c r="V181" s="739"/>
      <c r="W181" s="62" t="s">
        <v>300</v>
      </c>
      <c r="X181" s="62"/>
      <c r="Y181" s="739"/>
      <c r="Z181" s="62" t="s">
        <v>301</v>
      </c>
      <c r="AA181" s="62"/>
      <c r="AB181" s="739"/>
      <c r="AC181" s="62" t="s">
        <v>302</v>
      </c>
      <c r="AD181" s="71"/>
    </row>
    <row r="182" spans="1:30" ht="15" customHeight="1" x14ac:dyDescent="0.35">
      <c r="A182" s="570"/>
      <c r="B182" s="233">
        <f t="shared" ref="B182:B190" si="14">B181+1</f>
        <v>152</v>
      </c>
      <c r="C182" s="799"/>
      <c r="D182" s="25"/>
      <c r="E182" s="537"/>
      <c r="F182" s="25"/>
      <c r="G182" s="557"/>
      <c r="H182" s="25"/>
      <c r="I182" s="537"/>
      <c r="J182" s="25"/>
      <c r="K182" s="537"/>
      <c r="M182" s="64" t="b">
        <v>0</v>
      </c>
      <c r="N182" t="s">
        <v>303</v>
      </c>
      <c r="Q182" s="485" t="s">
        <v>135</v>
      </c>
      <c r="S182" s="740"/>
      <c r="T182" s="485" t="s">
        <v>135</v>
      </c>
      <c r="V182" s="740"/>
      <c r="W182" s="485" t="s">
        <v>135</v>
      </c>
      <c r="Y182" s="740"/>
      <c r="Z182" s="485" t="s">
        <v>135</v>
      </c>
      <c r="AB182" s="740"/>
      <c r="AC182" s="485" t="s">
        <v>135</v>
      </c>
      <c r="AD182" s="66"/>
    </row>
    <row r="183" spans="1:30" ht="15" customHeight="1" x14ac:dyDescent="0.35">
      <c r="A183" s="570"/>
      <c r="B183" s="233">
        <f t="shared" si="14"/>
        <v>153</v>
      </c>
      <c r="C183" s="799"/>
      <c r="D183" s="25"/>
      <c r="E183" s="537"/>
      <c r="F183" s="25"/>
      <c r="G183" s="557"/>
      <c r="H183" s="25"/>
      <c r="I183" s="537"/>
      <c r="J183" s="25"/>
      <c r="K183" s="537"/>
      <c r="M183" s="64" t="b">
        <v>0</v>
      </c>
      <c r="N183" t="s">
        <v>304</v>
      </c>
      <c r="Q183" s="5"/>
      <c r="T183" s="10"/>
      <c r="W183" s="10"/>
      <c r="Z183" s="10"/>
      <c r="AC183" s="10"/>
      <c r="AD183" s="66"/>
    </row>
    <row r="184" spans="1:30" ht="15" customHeight="1" x14ac:dyDescent="0.35">
      <c r="A184" s="570"/>
      <c r="B184" s="233">
        <f t="shared" si="14"/>
        <v>154</v>
      </c>
      <c r="C184" s="799"/>
      <c r="D184" s="25"/>
      <c r="E184" s="537"/>
      <c r="F184" s="25"/>
      <c r="G184" s="557"/>
      <c r="H184" s="25"/>
      <c r="I184" s="537"/>
      <c r="J184" s="25"/>
      <c r="K184" s="537"/>
      <c r="Q184" s="3"/>
      <c r="AD184" s="66"/>
    </row>
    <row r="185" spans="1:30" ht="15" customHeight="1" x14ac:dyDescent="0.35">
      <c r="A185" s="570"/>
      <c r="B185" s="233">
        <f t="shared" si="14"/>
        <v>155</v>
      </c>
      <c r="C185" s="799"/>
      <c r="D185" s="25"/>
      <c r="E185" s="537"/>
      <c r="F185" s="25"/>
      <c r="G185" s="557"/>
      <c r="H185" s="25"/>
      <c r="I185" s="537"/>
      <c r="J185" s="25"/>
      <c r="K185" s="537"/>
      <c r="M185" s="64" t="b">
        <v>0</v>
      </c>
      <c r="N185" t="s">
        <v>305</v>
      </c>
      <c r="Q185" s="9"/>
      <c r="S185" s="45" t="b">
        <v>0</v>
      </c>
      <c r="T185" s="44" t="s">
        <v>306</v>
      </c>
      <c r="V185" s="115" t="b">
        <v>0</v>
      </c>
      <c r="W185" t="s">
        <v>307</v>
      </c>
      <c r="Y185" s="802" t="b">
        <v>0</v>
      </c>
      <c r="Z185" t="s">
        <v>308</v>
      </c>
      <c r="AD185" s="66"/>
    </row>
    <row r="186" spans="1:30" ht="15" customHeight="1" x14ac:dyDescent="0.35">
      <c r="A186" s="570"/>
      <c r="B186" s="233">
        <f t="shared" si="14"/>
        <v>156</v>
      </c>
      <c r="C186" s="799"/>
      <c r="D186" s="25"/>
      <c r="E186" s="537"/>
      <c r="F186" s="25"/>
      <c r="G186" s="557"/>
      <c r="H186" s="25"/>
      <c r="I186" s="537"/>
      <c r="J186" s="25"/>
      <c r="K186" s="537"/>
      <c r="Q186" s="9"/>
      <c r="S186" s="44"/>
      <c r="T186" s="44"/>
      <c r="Y186" s="802"/>
      <c r="AD186" s="66"/>
    </row>
    <row r="187" spans="1:30" ht="15" customHeight="1" x14ac:dyDescent="0.35">
      <c r="A187" s="570"/>
      <c r="B187" s="233">
        <f t="shared" si="14"/>
        <v>157</v>
      </c>
      <c r="C187" s="799"/>
      <c r="D187" s="25"/>
      <c r="E187" s="537"/>
      <c r="F187" s="25"/>
      <c r="G187" s="557"/>
      <c r="H187" s="25"/>
      <c r="I187" s="537"/>
      <c r="J187" s="25"/>
      <c r="K187" s="537"/>
      <c r="N187" s="73" t="s">
        <v>135</v>
      </c>
      <c r="S187" s="803" t="s">
        <v>309</v>
      </c>
      <c r="T187" s="803"/>
      <c r="V187" s="803" t="s">
        <v>310</v>
      </c>
      <c r="W187" s="803"/>
      <c r="Y187" s="802"/>
      <c r="AD187" s="66"/>
    </row>
    <row r="188" spans="1:30" ht="15" customHeight="1" x14ac:dyDescent="0.35">
      <c r="A188" s="570"/>
      <c r="B188" s="233">
        <f t="shared" si="14"/>
        <v>158</v>
      </c>
      <c r="C188" s="799"/>
      <c r="D188" s="25"/>
      <c r="E188" s="537"/>
      <c r="F188" s="25"/>
      <c r="G188" s="557"/>
      <c r="H188" s="25"/>
      <c r="I188" s="537"/>
      <c r="J188" s="25"/>
      <c r="K188" s="537"/>
      <c r="N188" s="674"/>
      <c r="S188" s="64" t="b">
        <v>0</v>
      </c>
      <c r="T188" t="s">
        <v>311</v>
      </c>
      <c r="W188" t="s">
        <v>312</v>
      </c>
      <c r="AD188" s="66"/>
    </row>
    <row r="189" spans="1:30" ht="15" customHeight="1" x14ac:dyDescent="0.35">
      <c r="A189" s="570"/>
      <c r="B189" s="233">
        <f t="shared" si="14"/>
        <v>159</v>
      </c>
      <c r="C189" s="799"/>
      <c r="D189" s="25"/>
      <c r="E189" s="537"/>
      <c r="F189" s="25"/>
      <c r="G189" s="557"/>
      <c r="H189" s="25"/>
      <c r="I189" s="537"/>
      <c r="J189" s="25"/>
      <c r="K189" s="537"/>
      <c r="N189" s="674"/>
      <c r="T189" s="73" t="s">
        <v>137</v>
      </c>
      <c r="W189" s="488" t="s">
        <v>137</v>
      </c>
      <c r="X189" s="73"/>
      <c r="Y189" s="73"/>
      <c r="Z189" s="73"/>
      <c r="AD189" s="66"/>
    </row>
    <row r="190" spans="1:30" ht="15" customHeight="1" x14ac:dyDescent="0.35">
      <c r="A190" s="570"/>
      <c r="B190" s="233">
        <f t="shared" si="14"/>
        <v>160</v>
      </c>
      <c r="C190" s="800"/>
      <c r="D190" s="25"/>
      <c r="E190" s="796"/>
      <c r="F190" s="25"/>
      <c r="G190" s="557"/>
      <c r="H190" s="25"/>
      <c r="I190" s="796"/>
      <c r="J190" s="25"/>
      <c r="K190" s="796"/>
      <c r="N190" s="482"/>
      <c r="T190" s="44"/>
      <c r="W190" s="10"/>
      <c r="X190" s="73"/>
      <c r="Y190" s="73"/>
      <c r="Z190" s="73"/>
      <c r="AD190" s="66"/>
    </row>
    <row r="191" spans="1:30" ht="15" customHeight="1" thickBot="1" x14ac:dyDescent="0.4">
      <c r="A191" s="571"/>
      <c r="B191" s="233"/>
      <c r="C191" s="801"/>
      <c r="D191" s="120"/>
      <c r="E191" s="797"/>
      <c r="F191" s="120"/>
      <c r="G191" s="558"/>
      <c r="H191" s="120"/>
      <c r="I191" s="797"/>
      <c r="J191" s="120"/>
      <c r="K191" s="797"/>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4">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35">
      <c r="A193" s="569">
        <f>A181+1</f>
        <v>16</v>
      </c>
      <c r="B193" s="13">
        <f>(A193*10)+1</f>
        <v>161</v>
      </c>
      <c r="C193" s="798"/>
      <c r="D193" s="78"/>
      <c r="E193" s="795"/>
      <c r="F193" s="78"/>
      <c r="G193" s="556"/>
      <c r="H193" s="78"/>
      <c r="I193" s="795"/>
      <c r="J193" s="78"/>
      <c r="K193" s="795"/>
      <c r="L193" s="62"/>
      <c r="M193" s="60" t="b">
        <v>0</v>
      </c>
      <c r="N193" s="62" t="s">
        <v>297</v>
      </c>
      <c r="O193" s="62"/>
      <c r="P193" s="62"/>
      <c r="Q193" s="62" t="s">
        <v>298</v>
      </c>
      <c r="R193" s="62"/>
      <c r="S193" s="739"/>
      <c r="T193" s="62" t="s">
        <v>299</v>
      </c>
      <c r="U193" s="62"/>
      <c r="V193" s="739"/>
      <c r="W193" s="62" t="s">
        <v>300</v>
      </c>
      <c r="X193" s="62"/>
      <c r="Y193" s="739"/>
      <c r="Z193" s="62" t="s">
        <v>301</v>
      </c>
      <c r="AA193" s="62"/>
      <c r="AB193" s="739"/>
      <c r="AC193" s="62" t="s">
        <v>302</v>
      </c>
      <c r="AD193" s="71"/>
    </row>
    <row r="194" spans="1:30" ht="15" customHeight="1" x14ac:dyDescent="0.35">
      <c r="A194" s="570"/>
      <c r="B194" s="233">
        <f t="shared" ref="B194:B202" si="15">B193+1</f>
        <v>162</v>
      </c>
      <c r="C194" s="799"/>
      <c r="D194" s="25"/>
      <c r="E194" s="537"/>
      <c r="F194" s="25"/>
      <c r="G194" s="557"/>
      <c r="H194" s="25"/>
      <c r="I194" s="537"/>
      <c r="J194" s="25"/>
      <c r="K194" s="537"/>
      <c r="M194" s="64" t="b">
        <v>0</v>
      </c>
      <c r="N194" t="s">
        <v>303</v>
      </c>
      <c r="Q194" s="485" t="s">
        <v>135</v>
      </c>
      <c r="S194" s="740"/>
      <c r="T194" s="485" t="s">
        <v>135</v>
      </c>
      <c r="V194" s="740"/>
      <c r="W194" s="485" t="s">
        <v>135</v>
      </c>
      <c r="Y194" s="740"/>
      <c r="Z194" s="485" t="s">
        <v>135</v>
      </c>
      <c r="AB194" s="740"/>
      <c r="AC194" s="485" t="s">
        <v>135</v>
      </c>
      <c r="AD194" s="66"/>
    </row>
    <row r="195" spans="1:30" ht="15" customHeight="1" x14ac:dyDescent="0.35">
      <c r="A195" s="570"/>
      <c r="B195" s="233">
        <f t="shared" si="15"/>
        <v>163</v>
      </c>
      <c r="C195" s="799"/>
      <c r="D195" s="25"/>
      <c r="E195" s="537"/>
      <c r="F195" s="25"/>
      <c r="G195" s="557"/>
      <c r="H195" s="25"/>
      <c r="I195" s="537"/>
      <c r="J195" s="25"/>
      <c r="K195" s="537"/>
      <c r="M195" s="64" t="b">
        <v>0</v>
      </c>
      <c r="N195" t="s">
        <v>304</v>
      </c>
      <c r="Q195" s="5"/>
      <c r="T195" s="10"/>
      <c r="W195" s="10"/>
      <c r="Z195" s="10"/>
      <c r="AC195" s="10"/>
      <c r="AD195" s="66"/>
    </row>
    <row r="196" spans="1:30" ht="15" customHeight="1" x14ac:dyDescent="0.35">
      <c r="A196" s="570"/>
      <c r="B196" s="233">
        <f t="shared" si="15"/>
        <v>164</v>
      </c>
      <c r="C196" s="799"/>
      <c r="D196" s="25"/>
      <c r="E196" s="537"/>
      <c r="F196" s="25"/>
      <c r="G196" s="557"/>
      <c r="H196" s="25"/>
      <c r="I196" s="537"/>
      <c r="J196" s="25"/>
      <c r="K196" s="537"/>
      <c r="Q196" s="3"/>
      <c r="AD196" s="66"/>
    </row>
    <row r="197" spans="1:30" ht="15" customHeight="1" x14ac:dyDescent="0.35">
      <c r="A197" s="570"/>
      <c r="B197" s="233">
        <f t="shared" si="15"/>
        <v>165</v>
      </c>
      <c r="C197" s="799"/>
      <c r="D197" s="25"/>
      <c r="E197" s="537"/>
      <c r="F197" s="25"/>
      <c r="G197" s="557"/>
      <c r="H197" s="25"/>
      <c r="I197" s="537"/>
      <c r="J197" s="25"/>
      <c r="K197" s="537"/>
      <c r="M197" s="64" t="b">
        <v>0</v>
      </c>
      <c r="N197" t="s">
        <v>305</v>
      </c>
      <c r="Q197" s="9"/>
      <c r="S197" s="45" t="b">
        <v>0</v>
      </c>
      <c r="T197" s="44" t="s">
        <v>306</v>
      </c>
      <c r="V197" s="115" t="b">
        <v>0</v>
      </c>
      <c r="W197" t="s">
        <v>307</v>
      </c>
      <c r="Y197" s="802" t="b">
        <v>0</v>
      </c>
      <c r="Z197" t="s">
        <v>308</v>
      </c>
      <c r="AD197" s="66"/>
    </row>
    <row r="198" spans="1:30" ht="15" customHeight="1" x14ac:dyDescent="0.35">
      <c r="A198" s="570"/>
      <c r="B198" s="233">
        <f t="shared" si="15"/>
        <v>166</v>
      </c>
      <c r="C198" s="799"/>
      <c r="D198" s="25"/>
      <c r="E198" s="537"/>
      <c r="F198" s="25"/>
      <c r="G198" s="557"/>
      <c r="H198" s="25"/>
      <c r="I198" s="537"/>
      <c r="J198" s="25"/>
      <c r="K198" s="537"/>
      <c r="Q198" s="9"/>
      <c r="S198" s="44"/>
      <c r="T198" s="44"/>
      <c r="Y198" s="802"/>
      <c r="AD198" s="66"/>
    </row>
    <row r="199" spans="1:30" ht="15" customHeight="1" x14ac:dyDescent="0.35">
      <c r="A199" s="570"/>
      <c r="B199" s="233">
        <f t="shared" si="15"/>
        <v>167</v>
      </c>
      <c r="C199" s="799"/>
      <c r="D199" s="25"/>
      <c r="E199" s="537"/>
      <c r="F199" s="25"/>
      <c r="G199" s="557"/>
      <c r="H199" s="25"/>
      <c r="I199" s="537"/>
      <c r="J199" s="25"/>
      <c r="K199" s="537"/>
      <c r="N199" s="73" t="s">
        <v>135</v>
      </c>
      <c r="S199" s="803" t="s">
        <v>309</v>
      </c>
      <c r="T199" s="803"/>
      <c r="V199" s="803" t="s">
        <v>310</v>
      </c>
      <c r="W199" s="803"/>
      <c r="Y199" s="802"/>
      <c r="AD199" s="66"/>
    </row>
    <row r="200" spans="1:30" ht="15" customHeight="1" x14ac:dyDescent="0.35">
      <c r="A200" s="570"/>
      <c r="B200" s="233">
        <f t="shared" si="15"/>
        <v>168</v>
      </c>
      <c r="C200" s="799"/>
      <c r="D200" s="25"/>
      <c r="E200" s="537"/>
      <c r="F200" s="25"/>
      <c r="G200" s="557"/>
      <c r="H200" s="25"/>
      <c r="I200" s="537"/>
      <c r="J200" s="25"/>
      <c r="K200" s="537"/>
      <c r="N200" s="674"/>
      <c r="S200" s="64" t="b">
        <v>0</v>
      </c>
      <c r="T200" t="s">
        <v>311</v>
      </c>
      <c r="W200" t="s">
        <v>312</v>
      </c>
      <c r="AD200" s="66"/>
    </row>
    <row r="201" spans="1:30" ht="15" customHeight="1" x14ac:dyDescent="0.35">
      <c r="A201" s="570"/>
      <c r="B201" s="233">
        <f t="shared" si="15"/>
        <v>169</v>
      </c>
      <c r="C201" s="799"/>
      <c r="D201" s="25"/>
      <c r="E201" s="537"/>
      <c r="F201" s="25"/>
      <c r="G201" s="557"/>
      <c r="H201" s="25"/>
      <c r="I201" s="537"/>
      <c r="J201" s="25"/>
      <c r="K201" s="537"/>
      <c r="N201" s="674"/>
      <c r="T201" s="73" t="s">
        <v>137</v>
      </c>
      <c r="W201" s="488" t="s">
        <v>137</v>
      </c>
      <c r="X201" s="73"/>
      <c r="Y201" s="73"/>
      <c r="Z201" s="73"/>
      <c r="AD201" s="66"/>
    </row>
    <row r="202" spans="1:30" ht="15" customHeight="1" x14ac:dyDescent="0.35">
      <c r="A202" s="570"/>
      <c r="B202" s="233">
        <f t="shared" si="15"/>
        <v>170</v>
      </c>
      <c r="C202" s="800"/>
      <c r="D202" s="25"/>
      <c r="E202" s="796"/>
      <c r="F202" s="25"/>
      <c r="G202" s="557"/>
      <c r="H202" s="25"/>
      <c r="I202" s="796"/>
      <c r="J202" s="25"/>
      <c r="K202" s="796"/>
      <c r="N202" s="482"/>
      <c r="T202" s="44"/>
      <c r="W202" s="10"/>
      <c r="X202" s="73"/>
      <c r="Y202" s="73"/>
      <c r="Z202" s="73"/>
      <c r="AD202" s="66"/>
    </row>
    <row r="203" spans="1:30" ht="8.15" customHeight="1" thickBot="1" x14ac:dyDescent="0.4">
      <c r="A203" s="571"/>
      <c r="B203" s="233"/>
      <c r="C203" s="801"/>
      <c r="D203" s="120"/>
      <c r="E203" s="797"/>
      <c r="F203" s="120"/>
      <c r="G203" s="558"/>
      <c r="H203" s="120"/>
      <c r="I203" s="797"/>
      <c r="J203" s="120"/>
      <c r="K203" s="797"/>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4">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35">
      <c r="A205" s="569">
        <f>A193+1</f>
        <v>17</v>
      </c>
      <c r="B205" s="13">
        <f>(A205*10)+1</f>
        <v>171</v>
      </c>
      <c r="C205" s="798"/>
      <c r="D205" s="78"/>
      <c r="E205" s="795"/>
      <c r="F205" s="78"/>
      <c r="G205" s="556"/>
      <c r="H205" s="78"/>
      <c r="I205" s="795"/>
      <c r="J205" s="78"/>
      <c r="K205" s="795"/>
      <c r="L205" s="62"/>
      <c r="M205" s="60" t="b">
        <v>0</v>
      </c>
      <c r="N205" s="62" t="s">
        <v>297</v>
      </c>
      <c r="O205" s="62"/>
      <c r="P205" s="62"/>
      <c r="Q205" s="62" t="s">
        <v>298</v>
      </c>
      <c r="R205" s="62"/>
      <c r="S205" s="739"/>
      <c r="T205" s="62" t="s">
        <v>299</v>
      </c>
      <c r="U205" s="62"/>
      <c r="V205" s="739"/>
      <c r="W205" s="62" t="s">
        <v>300</v>
      </c>
      <c r="X205" s="62"/>
      <c r="Y205" s="739"/>
      <c r="Z205" s="62" t="s">
        <v>301</v>
      </c>
      <c r="AA205" s="62"/>
      <c r="AB205" s="739"/>
      <c r="AC205" s="62" t="s">
        <v>302</v>
      </c>
      <c r="AD205" s="71"/>
    </row>
    <row r="206" spans="1:30" ht="15" customHeight="1" x14ac:dyDescent="0.35">
      <c r="A206" s="570"/>
      <c r="B206" s="233">
        <f t="shared" ref="B206:B214" si="16">B205+1</f>
        <v>172</v>
      </c>
      <c r="C206" s="799"/>
      <c r="D206" s="25"/>
      <c r="E206" s="537"/>
      <c r="F206" s="25"/>
      <c r="G206" s="557"/>
      <c r="H206" s="25"/>
      <c r="I206" s="537"/>
      <c r="J206" s="25"/>
      <c r="K206" s="537"/>
      <c r="M206" s="64" t="b">
        <v>0</v>
      </c>
      <c r="N206" t="s">
        <v>303</v>
      </c>
      <c r="Q206" s="485" t="s">
        <v>135</v>
      </c>
      <c r="S206" s="740"/>
      <c r="T206" s="485" t="s">
        <v>135</v>
      </c>
      <c r="V206" s="740"/>
      <c r="W206" s="485" t="s">
        <v>135</v>
      </c>
      <c r="Y206" s="740"/>
      <c r="Z206" s="485" t="s">
        <v>135</v>
      </c>
      <c r="AB206" s="740"/>
      <c r="AC206" s="485" t="s">
        <v>135</v>
      </c>
      <c r="AD206" s="66"/>
    </row>
    <row r="207" spans="1:30" ht="15" customHeight="1" x14ac:dyDescent="0.35">
      <c r="A207" s="570"/>
      <c r="B207" s="233">
        <f t="shared" si="16"/>
        <v>173</v>
      </c>
      <c r="C207" s="799"/>
      <c r="D207" s="25"/>
      <c r="E207" s="537"/>
      <c r="F207" s="25"/>
      <c r="G207" s="557"/>
      <c r="H207" s="25"/>
      <c r="I207" s="537"/>
      <c r="J207" s="25"/>
      <c r="K207" s="537"/>
      <c r="M207" s="64" t="b">
        <v>0</v>
      </c>
      <c r="N207" t="s">
        <v>304</v>
      </c>
      <c r="Q207" s="5"/>
      <c r="T207" s="10"/>
      <c r="W207" s="10"/>
      <c r="Z207" s="10"/>
      <c r="AC207" s="10"/>
      <c r="AD207" s="66"/>
    </row>
    <row r="208" spans="1:30" ht="15" customHeight="1" x14ac:dyDescent="0.35">
      <c r="A208" s="570"/>
      <c r="B208" s="233">
        <f t="shared" si="16"/>
        <v>174</v>
      </c>
      <c r="C208" s="799"/>
      <c r="D208" s="25"/>
      <c r="E208" s="537"/>
      <c r="F208" s="25"/>
      <c r="G208" s="557"/>
      <c r="H208" s="25"/>
      <c r="I208" s="537"/>
      <c r="J208" s="25"/>
      <c r="K208" s="537"/>
      <c r="Q208" s="3"/>
      <c r="AD208" s="66"/>
    </row>
    <row r="209" spans="1:30" ht="15" customHeight="1" x14ac:dyDescent="0.35">
      <c r="A209" s="570"/>
      <c r="B209" s="233">
        <f t="shared" si="16"/>
        <v>175</v>
      </c>
      <c r="C209" s="799"/>
      <c r="D209" s="25"/>
      <c r="E209" s="537"/>
      <c r="F209" s="25"/>
      <c r="G209" s="557"/>
      <c r="H209" s="25"/>
      <c r="I209" s="537"/>
      <c r="J209" s="25"/>
      <c r="K209" s="537"/>
      <c r="M209" s="64" t="b">
        <v>0</v>
      </c>
      <c r="N209" t="s">
        <v>305</v>
      </c>
      <c r="Q209" s="9"/>
      <c r="S209" s="45" t="b">
        <v>0</v>
      </c>
      <c r="T209" s="44" t="s">
        <v>306</v>
      </c>
      <c r="V209" s="115" t="b">
        <v>0</v>
      </c>
      <c r="W209" t="s">
        <v>307</v>
      </c>
      <c r="Y209" s="802" t="b">
        <v>0</v>
      </c>
      <c r="Z209" t="s">
        <v>308</v>
      </c>
      <c r="AD209" s="66"/>
    </row>
    <row r="210" spans="1:30" ht="15" customHeight="1" x14ac:dyDescent="0.35">
      <c r="A210" s="570"/>
      <c r="B210" s="233">
        <f t="shared" si="16"/>
        <v>176</v>
      </c>
      <c r="C210" s="799"/>
      <c r="D210" s="25"/>
      <c r="E210" s="537"/>
      <c r="F210" s="25"/>
      <c r="G210" s="557"/>
      <c r="H210" s="25"/>
      <c r="I210" s="537"/>
      <c r="J210" s="25"/>
      <c r="K210" s="537"/>
      <c r="Q210" s="9"/>
      <c r="S210" s="44"/>
      <c r="T210" s="44"/>
      <c r="Y210" s="802"/>
      <c r="AD210" s="66"/>
    </row>
    <row r="211" spans="1:30" ht="15" customHeight="1" x14ac:dyDescent="0.35">
      <c r="A211" s="570"/>
      <c r="B211" s="233">
        <f t="shared" si="16"/>
        <v>177</v>
      </c>
      <c r="C211" s="799"/>
      <c r="D211" s="25"/>
      <c r="E211" s="537"/>
      <c r="F211" s="25"/>
      <c r="G211" s="557"/>
      <c r="H211" s="25"/>
      <c r="I211" s="537"/>
      <c r="J211" s="25"/>
      <c r="K211" s="537"/>
      <c r="N211" s="73" t="s">
        <v>135</v>
      </c>
      <c r="S211" s="803" t="s">
        <v>309</v>
      </c>
      <c r="T211" s="803"/>
      <c r="V211" s="803" t="s">
        <v>310</v>
      </c>
      <c r="W211" s="803"/>
      <c r="Y211" s="802"/>
      <c r="AD211" s="66"/>
    </row>
    <row r="212" spans="1:30" x14ac:dyDescent="0.35">
      <c r="A212" s="570"/>
      <c r="B212" s="233">
        <f t="shared" si="16"/>
        <v>178</v>
      </c>
      <c r="C212" s="799"/>
      <c r="D212" s="25"/>
      <c r="E212" s="537"/>
      <c r="F212" s="25"/>
      <c r="G212" s="557"/>
      <c r="H212" s="25"/>
      <c r="I212" s="537"/>
      <c r="J212" s="25"/>
      <c r="K212" s="537"/>
      <c r="N212" s="674"/>
      <c r="S212" s="64" t="b">
        <v>0</v>
      </c>
      <c r="T212" t="s">
        <v>311</v>
      </c>
      <c r="W212" t="s">
        <v>312</v>
      </c>
      <c r="AD212" s="66"/>
    </row>
    <row r="213" spans="1:30" x14ac:dyDescent="0.35">
      <c r="A213" s="570"/>
      <c r="B213" s="233">
        <f t="shared" si="16"/>
        <v>179</v>
      </c>
      <c r="C213" s="799"/>
      <c r="D213" s="25"/>
      <c r="E213" s="537"/>
      <c r="F213" s="25"/>
      <c r="G213" s="557"/>
      <c r="H213" s="25"/>
      <c r="I213" s="537"/>
      <c r="J213" s="25"/>
      <c r="K213" s="537"/>
      <c r="N213" s="674"/>
      <c r="T213" s="73" t="s">
        <v>137</v>
      </c>
      <c r="W213" s="488" t="s">
        <v>137</v>
      </c>
      <c r="X213" s="73"/>
      <c r="Y213" s="73"/>
      <c r="Z213" s="73"/>
      <c r="AD213" s="66"/>
    </row>
    <row r="214" spans="1:30" x14ac:dyDescent="0.35">
      <c r="A214" s="570"/>
      <c r="B214" s="233">
        <f t="shared" si="16"/>
        <v>180</v>
      </c>
      <c r="C214" s="800"/>
      <c r="D214" s="25"/>
      <c r="E214" s="796"/>
      <c r="F214" s="25"/>
      <c r="G214" s="557"/>
      <c r="H214" s="25"/>
      <c r="I214" s="796"/>
      <c r="J214" s="25"/>
      <c r="K214" s="796"/>
      <c r="N214" s="482"/>
      <c r="T214" s="44"/>
      <c r="W214" s="10"/>
      <c r="X214" s="73"/>
      <c r="Y214" s="73"/>
      <c r="Z214" s="73"/>
      <c r="AD214" s="66"/>
    </row>
    <row r="215" spans="1:30" ht="8.15" customHeight="1" thickBot="1" x14ac:dyDescent="0.4">
      <c r="A215" s="571"/>
      <c r="B215" s="233"/>
      <c r="C215" s="801"/>
      <c r="D215" s="120"/>
      <c r="E215" s="797"/>
      <c r="F215" s="120"/>
      <c r="G215" s="558"/>
      <c r="H215" s="120"/>
      <c r="I215" s="797"/>
      <c r="J215" s="120"/>
      <c r="K215" s="797"/>
      <c r="L215" s="67"/>
      <c r="M215" s="67"/>
      <c r="N215" s="67"/>
      <c r="O215" s="67"/>
      <c r="P215" s="67"/>
      <c r="Q215" s="67"/>
      <c r="R215" s="67"/>
      <c r="S215" s="67"/>
      <c r="T215" s="67"/>
      <c r="U215" s="67"/>
      <c r="V215" s="99"/>
      <c r="W215" s="67"/>
      <c r="X215" s="74"/>
      <c r="Y215" s="74"/>
      <c r="Z215" s="74"/>
      <c r="AA215" s="67"/>
      <c r="AB215" s="67"/>
      <c r="AC215" s="67"/>
      <c r="AD215" s="70"/>
    </row>
    <row r="216" spans="1:30" ht="15" thickBot="1" x14ac:dyDescent="0.4">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35">
      <c r="A217" s="569">
        <f>A205+1</f>
        <v>18</v>
      </c>
      <c r="B217" s="13">
        <f>(A217*10)+1</f>
        <v>181</v>
      </c>
      <c r="C217" s="798"/>
      <c r="D217" s="78"/>
      <c r="E217" s="795"/>
      <c r="F217" s="78"/>
      <c r="G217" s="556"/>
      <c r="H217" s="78"/>
      <c r="I217" s="795"/>
      <c r="J217" s="78"/>
      <c r="K217" s="795"/>
      <c r="L217" s="62"/>
      <c r="M217" s="60" t="b">
        <v>0</v>
      </c>
      <c r="N217" s="62" t="s">
        <v>297</v>
      </c>
      <c r="O217" s="62"/>
      <c r="P217" s="62"/>
      <c r="Q217" s="62" t="s">
        <v>298</v>
      </c>
      <c r="R217" s="62"/>
      <c r="S217" s="739"/>
      <c r="T217" s="62" t="s">
        <v>299</v>
      </c>
      <c r="U217" s="62"/>
      <c r="V217" s="739"/>
      <c r="W217" s="62" t="s">
        <v>300</v>
      </c>
      <c r="X217" s="62"/>
      <c r="Y217" s="739"/>
      <c r="Z217" s="62" t="s">
        <v>301</v>
      </c>
      <c r="AA217" s="62"/>
      <c r="AB217" s="739"/>
      <c r="AC217" s="62" t="s">
        <v>302</v>
      </c>
      <c r="AD217" s="71"/>
    </row>
    <row r="218" spans="1:30" x14ac:dyDescent="0.35">
      <c r="A218" s="570"/>
      <c r="B218" s="233">
        <f t="shared" ref="B218:B226" si="17">B217+1</f>
        <v>182</v>
      </c>
      <c r="C218" s="799"/>
      <c r="D218" s="25"/>
      <c r="E218" s="537"/>
      <c r="F218" s="25"/>
      <c r="G218" s="557"/>
      <c r="H218" s="25"/>
      <c r="I218" s="537"/>
      <c r="J218" s="25"/>
      <c r="K218" s="537"/>
      <c r="M218" s="64" t="b">
        <v>0</v>
      </c>
      <c r="N218" t="s">
        <v>303</v>
      </c>
      <c r="Q218" s="485" t="s">
        <v>135</v>
      </c>
      <c r="S218" s="740"/>
      <c r="T218" s="485" t="s">
        <v>135</v>
      </c>
      <c r="V218" s="740"/>
      <c r="W218" s="485" t="s">
        <v>135</v>
      </c>
      <c r="Y218" s="740"/>
      <c r="Z218" s="485" t="s">
        <v>135</v>
      </c>
      <c r="AB218" s="740"/>
      <c r="AC218" s="485" t="s">
        <v>135</v>
      </c>
      <c r="AD218" s="66"/>
    </row>
    <row r="219" spans="1:30" x14ac:dyDescent="0.35">
      <c r="A219" s="570"/>
      <c r="B219" s="233">
        <f t="shared" si="17"/>
        <v>183</v>
      </c>
      <c r="C219" s="799"/>
      <c r="D219" s="25"/>
      <c r="E219" s="537"/>
      <c r="F219" s="25"/>
      <c r="G219" s="557"/>
      <c r="H219" s="25"/>
      <c r="I219" s="537"/>
      <c r="J219" s="25"/>
      <c r="K219" s="537"/>
      <c r="M219" s="64" t="b">
        <v>0</v>
      </c>
      <c r="N219" t="s">
        <v>304</v>
      </c>
      <c r="Q219" s="5"/>
      <c r="T219" s="10"/>
      <c r="W219" s="10"/>
      <c r="Z219" s="10"/>
      <c r="AC219" s="10"/>
      <c r="AD219" s="66"/>
    </row>
    <row r="220" spans="1:30" x14ac:dyDescent="0.35">
      <c r="A220" s="570"/>
      <c r="B220" s="233">
        <f t="shared" si="17"/>
        <v>184</v>
      </c>
      <c r="C220" s="799"/>
      <c r="D220" s="25"/>
      <c r="E220" s="537"/>
      <c r="F220" s="25"/>
      <c r="G220" s="557"/>
      <c r="H220" s="25"/>
      <c r="I220" s="537"/>
      <c r="J220" s="25"/>
      <c r="K220" s="537"/>
      <c r="Q220" s="3"/>
      <c r="AD220" s="66"/>
    </row>
    <row r="221" spans="1:30" x14ac:dyDescent="0.35">
      <c r="A221" s="570"/>
      <c r="B221" s="233">
        <f t="shared" si="17"/>
        <v>185</v>
      </c>
      <c r="C221" s="799"/>
      <c r="D221" s="25"/>
      <c r="E221" s="537"/>
      <c r="F221" s="25"/>
      <c r="G221" s="557"/>
      <c r="H221" s="25"/>
      <c r="I221" s="537"/>
      <c r="J221" s="25"/>
      <c r="K221" s="537"/>
      <c r="M221" s="64" t="b">
        <v>0</v>
      </c>
      <c r="N221" t="s">
        <v>305</v>
      </c>
      <c r="Q221" s="9"/>
      <c r="S221" s="45" t="b">
        <v>0</v>
      </c>
      <c r="T221" s="44" t="s">
        <v>306</v>
      </c>
      <c r="V221" s="115" t="b">
        <v>0</v>
      </c>
      <c r="W221" t="s">
        <v>307</v>
      </c>
      <c r="Y221" s="802" t="b">
        <v>0</v>
      </c>
      <c r="Z221" t="s">
        <v>308</v>
      </c>
      <c r="AD221" s="66"/>
    </row>
    <row r="222" spans="1:30" x14ac:dyDescent="0.35">
      <c r="A222" s="570"/>
      <c r="B222" s="233">
        <f t="shared" si="17"/>
        <v>186</v>
      </c>
      <c r="C222" s="799"/>
      <c r="D222" s="25"/>
      <c r="E222" s="537"/>
      <c r="F222" s="25"/>
      <c r="G222" s="557"/>
      <c r="H222" s="25"/>
      <c r="I222" s="537"/>
      <c r="J222" s="25"/>
      <c r="K222" s="537"/>
      <c r="Q222" s="9"/>
      <c r="S222" s="44"/>
      <c r="T222" s="44"/>
      <c r="Y222" s="802"/>
      <c r="AD222" s="66"/>
    </row>
    <row r="223" spans="1:30" x14ac:dyDescent="0.35">
      <c r="A223" s="570"/>
      <c r="B223" s="233">
        <f t="shared" si="17"/>
        <v>187</v>
      </c>
      <c r="C223" s="799"/>
      <c r="D223" s="25"/>
      <c r="E223" s="537"/>
      <c r="F223" s="25"/>
      <c r="G223" s="557"/>
      <c r="H223" s="25"/>
      <c r="I223" s="537"/>
      <c r="J223" s="25"/>
      <c r="K223" s="537"/>
      <c r="N223" s="73" t="s">
        <v>135</v>
      </c>
      <c r="S223" s="803" t="s">
        <v>309</v>
      </c>
      <c r="T223" s="803"/>
      <c r="V223" s="803" t="s">
        <v>310</v>
      </c>
      <c r="W223" s="803"/>
      <c r="Y223" s="802"/>
      <c r="AD223" s="66"/>
    </row>
    <row r="224" spans="1:30" x14ac:dyDescent="0.35">
      <c r="A224" s="570"/>
      <c r="B224" s="233">
        <f t="shared" si="17"/>
        <v>188</v>
      </c>
      <c r="C224" s="799"/>
      <c r="D224" s="25"/>
      <c r="E224" s="537"/>
      <c r="F224" s="25"/>
      <c r="G224" s="557"/>
      <c r="H224" s="25"/>
      <c r="I224" s="537"/>
      <c r="J224" s="25"/>
      <c r="K224" s="537"/>
      <c r="N224" s="674"/>
      <c r="S224" s="64" t="b">
        <v>0</v>
      </c>
      <c r="T224" t="s">
        <v>311</v>
      </c>
      <c r="W224" t="s">
        <v>312</v>
      </c>
      <c r="AD224" s="66"/>
    </row>
    <row r="225" spans="1:30" x14ac:dyDescent="0.35">
      <c r="A225" s="570"/>
      <c r="B225" s="233">
        <f t="shared" si="17"/>
        <v>189</v>
      </c>
      <c r="C225" s="799"/>
      <c r="D225" s="25"/>
      <c r="E225" s="537"/>
      <c r="F225" s="25"/>
      <c r="G225" s="557"/>
      <c r="H225" s="25"/>
      <c r="I225" s="537"/>
      <c r="J225" s="25"/>
      <c r="K225" s="537"/>
      <c r="N225" s="674"/>
      <c r="T225" s="73" t="s">
        <v>137</v>
      </c>
      <c r="W225" s="488" t="s">
        <v>137</v>
      </c>
      <c r="X225" s="73"/>
      <c r="Y225" s="73"/>
      <c r="Z225" s="73"/>
      <c r="AD225" s="66"/>
    </row>
    <row r="226" spans="1:30" x14ac:dyDescent="0.35">
      <c r="A226" s="570"/>
      <c r="B226" s="233">
        <f t="shared" si="17"/>
        <v>190</v>
      </c>
      <c r="C226" s="800"/>
      <c r="D226" s="25"/>
      <c r="E226" s="796"/>
      <c r="F226" s="25"/>
      <c r="G226" s="557"/>
      <c r="H226" s="25"/>
      <c r="I226" s="796"/>
      <c r="J226" s="25"/>
      <c r="K226" s="796"/>
      <c r="N226" s="482"/>
      <c r="T226" s="44"/>
      <c r="W226" s="10"/>
      <c r="X226" s="73"/>
      <c r="Y226" s="73"/>
      <c r="Z226" s="73"/>
      <c r="AD226" s="66"/>
    </row>
    <row r="227" spans="1:30" ht="8.15" customHeight="1" thickBot="1" x14ac:dyDescent="0.4">
      <c r="A227" s="571"/>
      <c r="B227" s="233"/>
      <c r="C227" s="801"/>
      <c r="D227" s="120"/>
      <c r="E227" s="797"/>
      <c r="F227" s="120"/>
      <c r="G227" s="558"/>
      <c r="H227" s="120"/>
      <c r="I227" s="797"/>
      <c r="J227" s="120"/>
      <c r="K227" s="797"/>
      <c r="L227" s="67"/>
      <c r="M227" s="67"/>
      <c r="N227" s="67"/>
      <c r="O227" s="67"/>
      <c r="P227" s="67"/>
      <c r="Q227" s="67"/>
      <c r="R227" s="67"/>
      <c r="S227" s="67"/>
      <c r="T227" s="67"/>
      <c r="U227" s="67"/>
      <c r="V227" s="99"/>
      <c r="W227" s="67"/>
      <c r="X227" s="74"/>
      <c r="Y227" s="74"/>
      <c r="Z227" s="74"/>
      <c r="AA227" s="67"/>
      <c r="AB227" s="67"/>
      <c r="AC227" s="67"/>
      <c r="AD227" s="70"/>
    </row>
    <row r="228" spans="1:30" ht="15" thickBot="1" x14ac:dyDescent="0.4">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35">
      <c r="A229" s="569">
        <f>A217+1</f>
        <v>19</v>
      </c>
      <c r="B229" s="13">
        <f>(A229*10)+1</f>
        <v>191</v>
      </c>
      <c r="C229" s="798"/>
      <c r="D229" s="78"/>
      <c r="E229" s="795"/>
      <c r="F229" s="78"/>
      <c r="G229" s="556"/>
      <c r="H229" s="78"/>
      <c r="I229" s="795"/>
      <c r="J229" s="78"/>
      <c r="K229" s="795"/>
      <c r="L229" s="62"/>
      <c r="M229" s="60" t="b">
        <v>0</v>
      </c>
      <c r="N229" s="62" t="s">
        <v>297</v>
      </c>
      <c r="O229" s="62"/>
      <c r="P229" s="62"/>
      <c r="Q229" s="62" t="s">
        <v>298</v>
      </c>
      <c r="R229" s="62"/>
      <c r="S229" s="739"/>
      <c r="T229" s="62" t="s">
        <v>299</v>
      </c>
      <c r="U229" s="62"/>
      <c r="V229" s="739"/>
      <c r="W229" s="62" t="s">
        <v>300</v>
      </c>
      <c r="X229" s="62"/>
      <c r="Y229" s="739"/>
      <c r="Z229" s="62" t="s">
        <v>301</v>
      </c>
      <c r="AA229" s="62"/>
      <c r="AB229" s="739"/>
      <c r="AC229" s="62" t="s">
        <v>302</v>
      </c>
      <c r="AD229" s="71"/>
    </row>
    <row r="230" spans="1:30" x14ac:dyDescent="0.35">
      <c r="A230" s="570"/>
      <c r="B230" s="233">
        <f t="shared" ref="B230:B238" si="18">B229+1</f>
        <v>192</v>
      </c>
      <c r="C230" s="799"/>
      <c r="D230" s="25"/>
      <c r="E230" s="537"/>
      <c r="F230" s="25"/>
      <c r="G230" s="557"/>
      <c r="H230" s="25"/>
      <c r="I230" s="537"/>
      <c r="J230" s="25"/>
      <c r="K230" s="537"/>
      <c r="M230" s="64" t="b">
        <v>0</v>
      </c>
      <c r="N230" t="s">
        <v>303</v>
      </c>
      <c r="Q230" s="485" t="s">
        <v>135</v>
      </c>
      <c r="S230" s="740"/>
      <c r="T230" s="485" t="s">
        <v>135</v>
      </c>
      <c r="V230" s="740"/>
      <c r="W230" s="485" t="s">
        <v>135</v>
      </c>
      <c r="Y230" s="740"/>
      <c r="Z230" s="485" t="s">
        <v>135</v>
      </c>
      <c r="AB230" s="740"/>
      <c r="AC230" s="485" t="s">
        <v>135</v>
      </c>
      <c r="AD230" s="66"/>
    </row>
    <row r="231" spans="1:30" x14ac:dyDescent="0.35">
      <c r="A231" s="570"/>
      <c r="B231" s="233">
        <f t="shared" si="18"/>
        <v>193</v>
      </c>
      <c r="C231" s="799"/>
      <c r="D231" s="25"/>
      <c r="E231" s="537"/>
      <c r="F231" s="25"/>
      <c r="G231" s="557"/>
      <c r="H231" s="25"/>
      <c r="I231" s="537"/>
      <c r="J231" s="25"/>
      <c r="K231" s="537"/>
      <c r="M231" s="64" t="b">
        <v>0</v>
      </c>
      <c r="N231" t="s">
        <v>304</v>
      </c>
      <c r="Q231" s="5"/>
      <c r="T231" s="10"/>
      <c r="W231" s="10"/>
      <c r="Z231" s="10"/>
      <c r="AC231" s="10"/>
      <c r="AD231" s="66"/>
    </row>
    <row r="232" spans="1:30" x14ac:dyDescent="0.35">
      <c r="A232" s="570"/>
      <c r="B232" s="233">
        <f t="shared" si="18"/>
        <v>194</v>
      </c>
      <c r="C232" s="799"/>
      <c r="D232" s="25"/>
      <c r="E232" s="537"/>
      <c r="F232" s="25"/>
      <c r="G232" s="557"/>
      <c r="H232" s="25"/>
      <c r="I232" s="537"/>
      <c r="J232" s="25"/>
      <c r="K232" s="537"/>
      <c r="Q232" s="3"/>
      <c r="AD232" s="66"/>
    </row>
    <row r="233" spans="1:30" x14ac:dyDescent="0.35">
      <c r="A233" s="570"/>
      <c r="B233" s="233">
        <f t="shared" si="18"/>
        <v>195</v>
      </c>
      <c r="C233" s="799"/>
      <c r="D233" s="25"/>
      <c r="E233" s="537"/>
      <c r="F233" s="25"/>
      <c r="G233" s="557"/>
      <c r="H233" s="25"/>
      <c r="I233" s="537"/>
      <c r="J233" s="25"/>
      <c r="K233" s="537"/>
      <c r="M233" s="64" t="b">
        <v>0</v>
      </c>
      <c r="N233" t="s">
        <v>305</v>
      </c>
      <c r="Q233" s="9"/>
      <c r="S233" s="45" t="b">
        <v>0</v>
      </c>
      <c r="T233" s="44" t="s">
        <v>306</v>
      </c>
      <c r="V233" s="115" t="b">
        <v>0</v>
      </c>
      <c r="W233" t="s">
        <v>307</v>
      </c>
      <c r="Y233" s="802" t="b">
        <v>0</v>
      </c>
      <c r="Z233" t="s">
        <v>308</v>
      </c>
      <c r="AD233" s="66"/>
    </row>
    <row r="234" spans="1:30" x14ac:dyDescent="0.35">
      <c r="A234" s="570"/>
      <c r="B234" s="233">
        <f t="shared" si="18"/>
        <v>196</v>
      </c>
      <c r="C234" s="799"/>
      <c r="D234" s="25"/>
      <c r="E234" s="537"/>
      <c r="F234" s="25"/>
      <c r="G234" s="557"/>
      <c r="H234" s="25"/>
      <c r="I234" s="537"/>
      <c r="J234" s="25"/>
      <c r="K234" s="537"/>
      <c r="Q234" s="9"/>
      <c r="S234" s="44"/>
      <c r="T234" s="44"/>
      <c r="Y234" s="802"/>
      <c r="AD234" s="66"/>
    </row>
    <row r="235" spans="1:30" x14ac:dyDescent="0.35">
      <c r="A235" s="570"/>
      <c r="B235" s="233">
        <f t="shared" si="18"/>
        <v>197</v>
      </c>
      <c r="C235" s="799"/>
      <c r="D235" s="25"/>
      <c r="E235" s="537"/>
      <c r="F235" s="25"/>
      <c r="G235" s="557"/>
      <c r="H235" s="25"/>
      <c r="I235" s="537"/>
      <c r="J235" s="25"/>
      <c r="K235" s="537"/>
      <c r="N235" s="73" t="s">
        <v>135</v>
      </c>
      <c r="S235" s="803" t="s">
        <v>309</v>
      </c>
      <c r="T235" s="803"/>
      <c r="V235" s="803" t="s">
        <v>310</v>
      </c>
      <c r="W235" s="803"/>
      <c r="Y235" s="802"/>
      <c r="AD235" s="66"/>
    </row>
    <row r="236" spans="1:30" x14ac:dyDescent="0.35">
      <c r="A236" s="570"/>
      <c r="B236" s="233">
        <f t="shared" si="18"/>
        <v>198</v>
      </c>
      <c r="C236" s="799"/>
      <c r="D236" s="25"/>
      <c r="E236" s="537"/>
      <c r="F236" s="25"/>
      <c r="G236" s="557"/>
      <c r="H236" s="25"/>
      <c r="I236" s="537"/>
      <c r="J236" s="25"/>
      <c r="K236" s="537"/>
      <c r="N236" s="674"/>
      <c r="S236" s="64" t="b">
        <v>0</v>
      </c>
      <c r="T236" t="s">
        <v>311</v>
      </c>
      <c r="W236" t="s">
        <v>312</v>
      </c>
      <c r="AD236" s="66"/>
    </row>
    <row r="237" spans="1:30" x14ac:dyDescent="0.35">
      <c r="A237" s="570"/>
      <c r="B237" s="233">
        <f t="shared" si="18"/>
        <v>199</v>
      </c>
      <c r="C237" s="799"/>
      <c r="D237" s="25"/>
      <c r="E237" s="537"/>
      <c r="F237" s="25"/>
      <c r="G237" s="557"/>
      <c r="H237" s="25"/>
      <c r="I237" s="537"/>
      <c r="J237" s="25"/>
      <c r="K237" s="537"/>
      <c r="N237" s="674"/>
      <c r="T237" s="73" t="s">
        <v>137</v>
      </c>
      <c r="W237" s="488" t="s">
        <v>137</v>
      </c>
      <c r="X237" s="73"/>
      <c r="Y237" s="73"/>
      <c r="Z237" s="73"/>
      <c r="AD237" s="66"/>
    </row>
    <row r="238" spans="1:30" x14ac:dyDescent="0.35">
      <c r="A238" s="570"/>
      <c r="B238" s="233">
        <f t="shared" si="18"/>
        <v>200</v>
      </c>
      <c r="C238" s="800"/>
      <c r="D238" s="25"/>
      <c r="E238" s="796"/>
      <c r="F238" s="25"/>
      <c r="G238" s="557"/>
      <c r="H238" s="25"/>
      <c r="I238" s="796"/>
      <c r="J238" s="25"/>
      <c r="K238" s="796"/>
      <c r="N238" s="482"/>
      <c r="T238" s="44"/>
      <c r="W238" s="10"/>
      <c r="X238" s="73"/>
      <c r="Y238" s="73"/>
      <c r="Z238" s="73"/>
      <c r="AD238" s="66"/>
    </row>
    <row r="239" spans="1:30" ht="8.15" customHeight="1" thickBot="1" x14ac:dyDescent="0.4">
      <c r="A239" s="571"/>
      <c r="B239" s="233"/>
      <c r="C239" s="801"/>
      <c r="D239" s="120"/>
      <c r="E239" s="797"/>
      <c r="F239" s="120"/>
      <c r="G239" s="558"/>
      <c r="H239" s="120"/>
      <c r="I239" s="797"/>
      <c r="J239" s="120"/>
      <c r="K239" s="797"/>
      <c r="L239" s="67"/>
      <c r="M239" s="67"/>
      <c r="N239" s="67"/>
      <c r="O239" s="67"/>
      <c r="P239" s="67"/>
      <c r="Q239" s="67"/>
      <c r="R239" s="67"/>
      <c r="S239" s="67"/>
      <c r="T239" s="67"/>
      <c r="U239" s="67"/>
      <c r="V239" s="99"/>
      <c r="W239" s="67"/>
      <c r="X239" s="74"/>
      <c r="Y239" s="74"/>
      <c r="Z239" s="74"/>
      <c r="AA239" s="67"/>
      <c r="AB239" s="67"/>
      <c r="AC239" s="67"/>
      <c r="AD239" s="70"/>
    </row>
    <row r="240" spans="1:30" ht="15" thickBot="1" x14ac:dyDescent="0.4">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35">
      <c r="A241" s="569">
        <f>A229+1</f>
        <v>20</v>
      </c>
      <c r="B241" s="13">
        <f>(A241*10)+1</f>
        <v>201</v>
      </c>
      <c r="C241" s="798"/>
      <c r="D241" s="78"/>
      <c r="E241" s="795"/>
      <c r="F241" s="78"/>
      <c r="G241" s="556"/>
      <c r="H241" s="78"/>
      <c r="I241" s="795"/>
      <c r="J241" s="78"/>
      <c r="K241" s="795"/>
      <c r="L241" s="62"/>
      <c r="M241" s="60" t="b">
        <v>0</v>
      </c>
      <c r="N241" s="62" t="s">
        <v>297</v>
      </c>
      <c r="O241" s="62"/>
      <c r="P241" s="62"/>
      <c r="Q241" s="62" t="s">
        <v>298</v>
      </c>
      <c r="R241" s="62"/>
      <c r="S241" s="739"/>
      <c r="T241" s="62" t="s">
        <v>299</v>
      </c>
      <c r="U241" s="62"/>
      <c r="V241" s="739"/>
      <c r="W241" s="62" t="s">
        <v>300</v>
      </c>
      <c r="X241" s="62"/>
      <c r="Y241" s="739"/>
      <c r="Z241" s="62" t="s">
        <v>301</v>
      </c>
      <c r="AA241" s="62"/>
      <c r="AB241" s="739"/>
      <c r="AC241" s="62" t="s">
        <v>302</v>
      </c>
      <c r="AD241" s="71"/>
    </row>
    <row r="242" spans="1:30" x14ac:dyDescent="0.35">
      <c r="A242" s="570"/>
      <c r="B242" s="233">
        <f t="shared" ref="B242:B250" si="19">B241+1</f>
        <v>202</v>
      </c>
      <c r="C242" s="799"/>
      <c r="D242" s="25"/>
      <c r="E242" s="537"/>
      <c r="F242" s="25"/>
      <c r="G242" s="557"/>
      <c r="H242" s="25"/>
      <c r="I242" s="537"/>
      <c r="J242" s="25"/>
      <c r="K242" s="537"/>
      <c r="M242" s="64" t="b">
        <v>0</v>
      </c>
      <c r="N242" t="s">
        <v>303</v>
      </c>
      <c r="Q242" s="485" t="s">
        <v>135</v>
      </c>
      <c r="S242" s="740"/>
      <c r="T242" s="485" t="s">
        <v>135</v>
      </c>
      <c r="V242" s="740"/>
      <c r="W242" s="485" t="s">
        <v>135</v>
      </c>
      <c r="Y242" s="740"/>
      <c r="Z242" s="485" t="s">
        <v>135</v>
      </c>
      <c r="AB242" s="740"/>
      <c r="AC242" s="485" t="s">
        <v>135</v>
      </c>
      <c r="AD242" s="66"/>
    </row>
    <row r="243" spans="1:30" x14ac:dyDescent="0.35">
      <c r="A243" s="570"/>
      <c r="B243" s="233">
        <f t="shared" si="19"/>
        <v>203</v>
      </c>
      <c r="C243" s="799"/>
      <c r="D243" s="25"/>
      <c r="E243" s="537"/>
      <c r="F243" s="25"/>
      <c r="G243" s="557"/>
      <c r="H243" s="25"/>
      <c r="I243" s="537"/>
      <c r="J243" s="25"/>
      <c r="K243" s="537"/>
      <c r="M243" s="64" t="b">
        <v>0</v>
      </c>
      <c r="N243" t="s">
        <v>304</v>
      </c>
      <c r="Q243" s="5"/>
      <c r="T243" s="10"/>
      <c r="W243" s="10"/>
      <c r="Z243" s="10"/>
      <c r="AC243" s="10"/>
      <c r="AD243" s="66"/>
    </row>
    <row r="244" spans="1:30" x14ac:dyDescent="0.35">
      <c r="A244" s="570"/>
      <c r="B244" s="233">
        <f t="shared" si="19"/>
        <v>204</v>
      </c>
      <c r="C244" s="799"/>
      <c r="D244" s="25"/>
      <c r="E244" s="537"/>
      <c r="F244" s="25"/>
      <c r="G244" s="557"/>
      <c r="H244" s="25"/>
      <c r="I244" s="537"/>
      <c r="J244" s="25"/>
      <c r="K244" s="537"/>
      <c r="Q244" s="3"/>
      <c r="AD244" s="66"/>
    </row>
    <row r="245" spans="1:30" x14ac:dyDescent="0.35">
      <c r="A245" s="570"/>
      <c r="B245" s="233">
        <f t="shared" si="19"/>
        <v>205</v>
      </c>
      <c r="C245" s="799"/>
      <c r="D245" s="25"/>
      <c r="E245" s="537"/>
      <c r="F245" s="25"/>
      <c r="G245" s="557"/>
      <c r="H245" s="25"/>
      <c r="I245" s="537"/>
      <c r="J245" s="25"/>
      <c r="K245" s="537"/>
      <c r="M245" s="64" t="b">
        <v>0</v>
      </c>
      <c r="N245" t="s">
        <v>305</v>
      </c>
      <c r="Q245" s="9"/>
      <c r="S245" s="45" t="b">
        <v>0</v>
      </c>
      <c r="T245" s="44" t="s">
        <v>306</v>
      </c>
      <c r="V245" s="115" t="b">
        <v>0</v>
      </c>
      <c r="W245" t="s">
        <v>307</v>
      </c>
      <c r="Y245" s="802" t="b">
        <v>0</v>
      </c>
      <c r="Z245" t="s">
        <v>308</v>
      </c>
      <c r="AD245" s="66"/>
    </row>
    <row r="246" spans="1:30" x14ac:dyDescent="0.35">
      <c r="A246" s="570"/>
      <c r="B246" s="233">
        <f t="shared" si="19"/>
        <v>206</v>
      </c>
      <c r="C246" s="799"/>
      <c r="D246" s="25"/>
      <c r="E246" s="537"/>
      <c r="F246" s="25"/>
      <c r="G246" s="557"/>
      <c r="H246" s="25"/>
      <c r="I246" s="537"/>
      <c r="J246" s="25"/>
      <c r="K246" s="537"/>
      <c r="Q246" s="9"/>
      <c r="S246" s="44"/>
      <c r="T246" s="44"/>
      <c r="Y246" s="802"/>
      <c r="AD246" s="66"/>
    </row>
    <row r="247" spans="1:30" x14ac:dyDescent="0.35">
      <c r="A247" s="570"/>
      <c r="B247" s="233">
        <f t="shared" si="19"/>
        <v>207</v>
      </c>
      <c r="C247" s="799"/>
      <c r="D247" s="25"/>
      <c r="E247" s="537"/>
      <c r="F247" s="25"/>
      <c r="G247" s="557"/>
      <c r="H247" s="25"/>
      <c r="I247" s="537"/>
      <c r="J247" s="25"/>
      <c r="K247" s="537"/>
      <c r="N247" s="73" t="s">
        <v>135</v>
      </c>
      <c r="S247" s="803" t="s">
        <v>309</v>
      </c>
      <c r="T247" s="803"/>
      <c r="V247" s="803" t="s">
        <v>310</v>
      </c>
      <c r="W247" s="803"/>
      <c r="Y247" s="802"/>
      <c r="AD247" s="66"/>
    </row>
    <row r="248" spans="1:30" x14ac:dyDescent="0.35">
      <c r="A248" s="570"/>
      <c r="B248" s="233">
        <f t="shared" si="19"/>
        <v>208</v>
      </c>
      <c r="C248" s="799"/>
      <c r="D248" s="25"/>
      <c r="E248" s="537"/>
      <c r="F248" s="25"/>
      <c r="G248" s="557"/>
      <c r="H248" s="25"/>
      <c r="I248" s="537"/>
      <c r="J248" s="25"/>
      <c r="K248" s="537"/>
      <c r="N248" s="674"/>
      <c r="S248" s="64" t="b">
        <v>0</v>
      </c>
      <c r="T248" t="s">
        <v>311</v>
      </c>
      <c r="W248" t="s">
        <v>312</v>
      </c>
      <c r="AD248" s="66"/>
    </row>
    <row r="249" spans="1:30" x14ac:dyDescent="0.35">
      <c r="A249" s="570"/>
      <c r="B249" s="233">
        <f t="shared" si="19"/>
        <v>209</v>
      </c>
      <c r="C249" s="799"/>
      <c r="D249" s="25"/>
      <c r="E249" s="537"/>
      <c r="F249" s="25"/>
      <c r="G249" s="557"/>
      <c r="H249" s="25"/>
      <c r="I249" s="537"/>
      <c r="J249" s="25"/>
      <c r="K249" s="537"/>
      <c r="N249" s="674"/>
      <c r="T249" s="73" t="s">
        <v>137</v>
      </c>
      <c r="W249" s="488" t="s">
        <v>137</v>
      </c>
      <c r="X249" s="73"/>
      <c r="Y249" s="73"/>
      <c r="Z249" s="73"/>
      <c r="AD249" s="66"/>
    </row>
    <row r="250" spans="1:30" x14ac:dyDescent="0.35">
      <c r="A250" s="570"/>
      <c r="B250" s="233">
        <f t="shared" si="19"/>
        <v>210</v>
      </c>
      <c r="C250" s="800"/>
      <c r="D250" s="25"/>
      <c r="E250" s="796"/>
      <c r="F250" s="25"/>
      <c r="G250" s="557"/>
      <c r="H250" s="25"/>
      <c r="I250" s="796"/>
      <c r="J250" s="25"/>
      <c r="K250" s="796"/>
      <c r="N250" s="482"/>
      <c r="T250" s="44"/>
      <c r="W250" s="10"/>
      <c r="X250" s="73"/>
      <c r="Y250" s="73"/>
      <c r="Z250" s="73"/>
      <c r="AD250" s="66"/>
    </row>
    <row r="251" spans="1:30" ht="8.15" customHeight="1" thickBot="1" x14ac:dyDescent="0.4">
      <c r="A251" s="571"/>
      <c r="B251" s="233"/>
      <c r="C251" s="801"/>
      <c r="D251" s="120"/>
      <c r="E251" s="797"/>
      <c r="F251" s="120"/>
      <c r="G251" s="558"/>
      <c r="H251" s="120"/>
      <c r="I251" s="797"/>
      <c r="J251" s="120"/>
      <c r="K251" s="797"/>
      <c r="L251" s="67"/>
      <c r="M251" s="67"/>
      <c r="N251" s="67"/>
      <c r="O251" s="67"/>
      <c r="P251" s="67"/>
      <c r="Q251" s="67"/>
      <c r="R251" s="67"/>
      <c r="S251" s="67"/>
      <c r="T251" s="67"/>
      <c r="U251" s="67"/>
      <c r="V251" s="99"/>
      <c r="W251" s="67"/>
      <c r="X251" s="74"/>
      <c r="Y251" s="74"/>
      <c r="Z251" s="74"/>
      <c r="AA251" s="67"/>
      <c r="AB251" s="67"/>
      <c r="AC251" s="67"/>
      <c r="AD251" s="70"/>
    </row>
    <row r="252" spans="1:30" x14ac:dyDescent="0.3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3">
      <formula>S80=TRUE</formula>
    </cfRule>
    <cfRule type="expression" dxfId="644" priority="279">
      <formula>#REF!=TRUE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2">
      <formula>S92=TRUE</formula>
    </cfRule>
    <cfRule type="expression" dxfId="640" priority="268">
      <formula>#REF!=TRUE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07">
      <formula>S152=TRUE</formula>
    </cfRule>
    <cfRule type="expression" dxfId="620" priority="213">
      <formula>#REF!=TRUE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196">
      <formula>S164=TRUE</formula>
    </cfRule>
    <cfRule type="expression" dxfId="616" priority="202">
      <formula>#REF!=TRUE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74">
      <formula>S188=TRUE</formula>
    </cfRule>
    <cfRule type="expression" dxfId="608" priority="180">
      <formula>#REF!=TRUE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3">
      <formula>S200=TRUE</formula>
    </cfRule>
    <cfRule type="expression" dxfId="604" priority="169">
      <formula>#REF!=TRUE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2">
      <formula>S212=TRUE</formula>
    </cfRule>
    <cfRule type="expression" dxfId="600" priority="158">
      <formula>#REF!=TRUE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1">
      <formula>S224=TRUE</formula>
    </cfRule>
    <cfRule type="expression" dxfId="596" priority="147">
      <formula>#REF!=TRUE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19">
      <formula>S248=TRUE</formula>
    </cfRule>
    <cfRule type="expression" dxfId="588" priority="125">
      <formula>#REF!=TRUE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4.5" outlineLevelRow="1" x14ac:dyDescent="0.35"/>
  <cols>
    <col min="1" max="1" width="9.81640625" style="91" customWidth="1"/>
    <col min="2" max="2" width="7" style="237" hidden="1" customWidth="1"/>
    <col min="3" max="3" width="50.81640625" bestFit="1" customWidth="1"/>
    <col min="4" max="4" width="2.1796875" customWidth="1"/>
    <col min="5" max="5" width="49.26953125" customWidth="1"/>
    <col min="6" max="6" width="2.1796875" customWidth="1"/>
    <col min="7" max="7" width="40.1796875" customWidth="1"/>
    <col min="8" max="8" width="2.1796875" customWidth="1"/>
    <col min="9" max="9" width="27.453125" customWidth="1"/>
    <col min="10" max="10" width="2.1796875" customWidth="1"/>
    <col min="11" max="11" width="32.81640625" customWidth="1"/>
    <col min="12" max="12" width="2.1796875" customWidth="1"/>
    <col min="13" max="13" width="5.26953125" bestFit="1" customWidth="1"/>
    <col min="14" max="14" width="48" customWidth="1"/>
    <col min="15" max="15" width="2.1796875" customWidth="1"/>
    <col min="16" max="16" width="24.81640625" customWidth="1"/>
    <col min="17" max="17" width="2.1796875" customWidth="1"/>
    <col min="18" max="18" width="34.1796875" style="2" customWidth="1"/>
    <col min="19" max="19" width="2.1796875" customWidth="1"/>
    <col min="20" max="20" width="23.26953125" customWidth="1"/>
    <col min="21" max="21" width="2.1796875" customWidth="1"/>
    <col min="22" max="22" width="32" customWidth="1"/>
    <col min="23" max="23" width="2.1796875" customWidth="1"/>
    <col min="24" max="24" width="31.453125" customWidth="1"/>
    <col min="25" max="25" width="2.1796875" customWidth="1"/>
    <col min="26" max="26" width="30.54296875" customWidth="1"/>
    <col min="27" max="27" width="2.1796875" customWidth="1"/>
    <col min="28" max="28" width="3.1796875" customWidth="1"/>
    <col min="29" max="30" width="46.54296875" customWidth="1"/>
    <col min="31" max="31" width="3.1796875" customWidth="1"/>
  </cols>
  <sheetData>
    <row r="1" spans="1:31" ht="24" thickBot="1" x14ac:dyDescent="0.4">
      <c r="C1" s="42" t="s">
        <v>313</v>
      </c>
      <c r="D1" s="42"/>
      <c r="E1" s="42"/>
      <c r="T1" s="110">
        <f>COUNTIF(R12:R109,INputs!AX3)</f>
        <v>0</v>
      </c>
    </row>
    <row r="2" spans="1:31" ht="19" thickBot="1" x14ac:dyDescent="0.5">
      <c r="C2" s="96" t="s">
        <v>314</v>
      </c>
      <c r="D2" s="12"/>
      <c r="E2" s="96" t="s">
        <v>315</v>
      </c>
      <c r="F2" s="12"/>
      <c r="G2" s="96" t="s">
        <v>316</v>
      </c>
      <c r="H2" s="12"/>
      <c r="I2" s="96" t="s">
        <v>317</v>
      </c>
      <c r="J2" s="12"/>
      <c r="K2" s="96" t="s">
        <v>268</v>
      </c>
      <c r="L2" s="12"/>
      <c r="M2" s="616" t="s">
        <v>318</v>
      </c>
      <c r="N2" s="617"/>
      <c r="O2" s="12"/>
      <c r="P2" s="97" t="s">
        <v>115</v>
      </c>
      <c r="Q2" s="12"/>
      <c r="R2" s="96" t="s">
        <v>319</v>
      </c>
      <c r="S2" s="12"/>
      <c r="T2" s="98" t="s">
        <v>320</v>
      </c>
      <c r="U2" s="12"/>
      <c r="V2" s="98" t="s">
        <v>321</v>
      </c>
      <c r="W2" s="146"/>
      <c r="X2" s="98" t="s">
        <v>322</v>
      </c>
      <c r="Y2" s="146"/>
      <c r="Z2" s="98" t="s">
        <v>323</v>
      </c>
      <c r="AA2" s="12"/>
      <c r="AB2" s="669" t="s">
        <v>324</v>
      </c>
      <c r="AC2" s="810"/>
      <c r="AD2" s="810"/>
      <c r="AE2" s="670"/>
    </row>
    <row r="3" spans="1:31" s="3" customFormat="1" ht="342" hidden="1" customHeight="1" outlineLevel="1" x14ac:dyDescent="0.35">
      <c r="A3" s="363" t="s">
        <v>119</v>
      </c>
      <c r="B3" s="238"/>
      <c r="C3" s="171" t="s">
        <v>325</v>
      </c>
      <c r="D3" s="173"/>
      <c r="E3" s="152" t="s">
        <v>326</v>
      </c>
      <c r="F3" s="154"/>
      <c r="G3" s="157"/>
      <c r="H3" s="154"/>
      <c r="I3" s="152" t="s">
        <v>327</v>
      </c>
      <c r="J3" s="154"/>
      <c r="K3" s="152" t="s">
        <v>328</v>
      </c>
      <c r="L3" s="154"/>
      <c r="M3" s="622" t="s">
        <v>329</v>
      </c>
      <c r="N3" s="622"/>
      <c r="O3" s="154"/>
      <c r="P3" s="152" t="s">
        <v>330</v>
      </c>
      <c r="Q3" s="154"/>
      <c r="R3" s="157" t="s">
        <v>331</v>
      </c>
      <c r="S3" s="154"/>
      <c r="T3" s="153" t="s">
        <v>332</v>
      </c>
      <c r="U3" s="170"/>
      <c r="V3" s="151" t="s">
        <v>333</v>
      </c>
      <c r="W3" s="154"/>
      <c r="X3" s="152" t="s">
        <v>334</v>
      </c>
      <c r="Y3" s="154"/>
      <c r="Z3" s="153" t="s">
        <v>335</v>
      </c>
      <c r="AA3" s="170"/>
      <c r="AB3" s="601" t="s">
        <v>336</v>
      </c>
      <c r="AC3" s="622"/>
      <c r="AD3" s="622"/>
      <c r="AE3" s="602"/>
    </row>
    <row r="4" spans="1:31" s="3" customFormat="1" ht="43.5" hidden="1" customHeight="1" outlineLevel="1" x14ac:dyDescent="0.35">
      <c r="A4" s="655" t="s">
        <v>127</v>
      </c>
      <c r="B4" s="239"/>
      <c r="C4" s="160" t="s">
        <v>172</v>
      </c>
      <c r="D4" s="124"/>
      <c r="E4" s="160" t="s">
        <v>337</v>
      </c>
      <c r="F4" s="124"/>
      <c r="G4" s="163"/>
      <c r="H4" s="124"/>
      <c r="I4" s="160" t="s">
        <v>338</v>
      </c>
      <c r="J4" s="124"/>
      <c r="K4" s="160" t="s">
        <v>288</v>
      </c>
      <c r="L4" s="124"/>
      <c r="M4" s="589" t="s">
        <v>289</v>
      </c>
      <c r="N4" s="589"/>
      <c r="O4" s="124"/>
      <c r="P4" s="163"/>
      <c r="Q4" s="124"/>
      <c r="R4" s="163"/>
      <c r="S4" s="124"/>
      <c r="T4" s="163"/>
      <c r="U4" s="124"/>
      <c r="V4" s="163"/>
      <c r="W4" s="124"/>
      <c r="X4" s="163"/>
      <c r="Y4" s="124"/>
      <c r="Z4" s="163"/>
      <c r="AA4" s="124"/>
      <c r="AB4" s="589" t="s">
        <v>133</v>
      </c>
      <c r="AC4" s="589"/>
      <c r="AD4" s="589"/>
      <c r="AE4" s="589"/>
    </row>
    <row r="5" spans="1:31" s="3" customFormat="1" ht="14.5" hidden="1" customHeight="1" outlineLevel="1" x14ac:dyDescent="0.35">
      <c r="A5" s="655"/>
      <c r="B5" s="239"/>
      <c r="C5" s="163"/>
      <c r="D5" s="124"/>
      <c r="E5" s="163"/>
      <c r="F5" s="124"/>
      <c r="G5" s="163"/>
      <c r="H5" s="124"/>
      <c r="I5" s="163"/>
      <c r="J5" s="124"/>
      <c r="K5" s="163"/>
      <c r="L5" s="124"/>
      <c r="M5" s="589" t="s">
        <v>339</v>
      </c>
      <c r="N5" s="589"/>
      <c r="O5" s="124"/>
      <c r="P5" s="163"/>
      <c r="Q5" s="124"/>
      <c r="R5" s="163"/>
      <c r="S5" s="124"/>
      <c r="T5" s="163"/>
      <c r="U5" s="124"/>
      <c r="V5" s="163"/>
      <c r="W5" s="124"/>
      <c r="X5" s="163"/>
      <c r="Y5" s="124"/>
      <c r="Z5" s="163"/>
      <c r="AA5" s="124"/>
      <c r="AB5" s="589" t="s">
        <v>340</v>
      </c>
      <c r="AC5" s="589"/>
      <c r="AD5" s="589"/>
      <c r="AE5" s="589"/>
    </row>
    <row r="6" spans="1:31" s="3" customFormat="1" ht="14.5" hidden="1" customHeight="1" outlineLevel="1" x14ac:dyDescent="0.35">
      <c r="A6" s="655"/>
      <c r="B6" s="239"/>
      <c r="C6" s="163"/>
      <c r="D6" s="124"/>
      <c r="E6" s="163"/>
      <c r="F6" s="124"/>
      <c r="G6" s="163"/>
      <c r="H6" s="124"/>
      <c r="I6" s="163"/>
      <c r="J6" s="124"/>
      <c r="K6" s="163"/>
      <c r="L6" s="124"/>
      <c r="M6" s="591"/>
      <c r="N6" s="591"/>
      <c r="O6" s="124"/>
      <c r="P6" s="163"/>
      <c r="Q6" s="124"/>
      <c r="R6" s="163"/>
      <c r="S6" s="124"/>
      <c r="T6" s="163"/>
      <c r="U6" s="124"/>
      <c r="V6" s="163"/>
      <c r="W6" s="124"/>
      <c r="X6" s="163"/>
      <c r="Y6" s="124"/>
      <c r="Z6" s="163"/>
      <c r="AA6" s="124"/>
      <c r="AB6" s="591"/>
      <c r="AC6" s="591"/>
      <c r="AD6" s="591"/>
      <c r="AE6" s="591"/>
    </row>
    <row r="7" spans="1:31" s="3" customFormat="1" ht="14.5" hidden="1" customHeight="1" outlineLevel="1" x14ac:dyDescent="0.35">
      <c r="A7" s="655"/>
      <c r="B7" s="239"/>
      <c r="C7" s="163"/>
      <c r="D7" s="124"/>
      <c r="E7" s="163"/>
      <c r="F7" s="124"/>
      <c r="G7" s="163"/>
      <c r="H7" s="124"/>
      <c r="I7" s="163"/>
      <c r="J7" s="124"/>
      <c r="K7" s="163"/>
      <c r="L7" s="124"/>
      <c r="M7" s="591"/>
      <c r="N7" s="591"/>
      <c r="O7" s="124"/>
      <c r="P7" s="163"/>
      <c r="Q7" s="124"/>
      <c r="R7" s="163"/>
      <c r="S7" s="124"/>
      <c r="T7" s="163"/>
      <c r="U7" s="124"/>
      <c r="V7" s="163"/>
      <c r="W7" s="124"/>
      <c r="X7" s="163"/>
      <c r="Y7" s="124"/>
      <c r="Z7" s="163"/>
      <c r="AA7" s="124"/>
      <c r="AB7" s="591"/>
      <c r="AC7" s="591"/>
      <c r="AD7" s="591"/>
      <c r="AE7" s="591"/>
    </row>
    <row r="8" spans="1:31" s="3" customFormat="1" ht="14.5" hidden="1" customHeight="1" outlineLevel="1" x14ac:dyDescent="0.35">
      <c r="A8" s="655"/>
      <c r="B8" s="238"/>
      <c r="C8" s="164"/>
      <c r="D8" s="124"/>
      <c r="E8" s="163"/>
      <c r="F8" s="124"/>
      <c r="G8" s="163"/>
      <c r="H8" s="124"/>
      <c r="I8" s="163"/>
      <c r="J8" s="124"/>
      <c r="K8" s="163"/>
      <c r="L8" s="124"/>
      <c r="M8" s="591"/>
      <c r="N8" s="591"/>
      <c r="O8" s="124"/>
      <c r="P8" s="163"/>
      <c r="Q8" s="124"/>
      <c r="R8" s="163"/>
      <c r="S8" s="124"/>
      <c r="T8" s="163"/>
      <c r="U8" s="124"/>
      <c r="V8" s="163"/>
      <c r="W8" s="124"/>
      <c r="X8" s="163"/>
      <c r="Y8" s="124"/>
      <c r="Z8" s="163"/>
      <c r="AA8" s="124"/>
      <c r="AB8" s="591"/>
      <c r="AC8" s="591"/>
      <c r="AD8" s="591"/>
      <c r="AE8" s="591"/>
    </row>
    <row r="9" spans="1:31" collapsed="1" x14ac:dyDescent="0.35">
      <c r="C9" s="7" t="s">
        <v>135</v>
      </c>
      <c r="D9" s="7"/>
      <c r="E9" s="8" t="s">
        <v>137</v>
      </c>
      <c r="F9" s="7"/>
      <c r="G9" s="7" t="s">
        <v>135</v>
      </c>
      <c r="H9" s="7"/>
      <c r="I9" s="8" t="s">
        <v>137</v>
      </c>
      <c r="J9" s="7"/>
      <c r="K9" s="7" t="s">
        <v>135</v>
      </c>
      <c r="L9" s="7"/>
      <c r="M9" s="653" t="s">
        <v>136</v>
      </c>
      <c r="N9" s="653"/>
      <c r="O9" s="7"/>
      <c r="P9" s="7" t="s">
        <v>135</v>
      </c>
      <c r="Q9" s="7"/>
      <c r="R9" s="8" t="s">
        <v>137</v>
      </c>
      <c r="S9" s="7"/>
      <c r="T9" s="23" t="s">
        <v>135</v>
      </c>
      <c r="U9" s="7"/>
      <c r="V9" s="23" t="s">
        <v>135</v>
      </c>
      <c r="W9" s="7"/>
      <c r="X9" s="23" t="s">
        <v>135</v>
      </c>
      <c r="Y9" s="7"/>
      <c r="Z9" s="23" t="s">
        <v>135</v>
      </c>
      <c r="AA9" s="7"/>
      <c r="AB9" s="7"/>
      <c r="AC9" s="24" t="s">
        <v>136</v>
      </c>
      <c r="AD9" s="24"/>
    </row>
    <row r="10" spans="1:31" ht="4" customHeight="1" thickBot="1" x14ac:dyDescent="0.4">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35">
      <c r="A11" s="550">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29" x14ac:dyDescent="0.35">
      <c r="A12" s="551"/>
      <c r="B12" s="13">
        <f>B11+1</f>
        <v>11</v>
      </c>
      <c r="C12" s="796"/>
      <c r="D12" s="3"/>
      <c r="E12" s="10"/>
      <c r="F12" s="3"/>
      <c r="G12" s="796"/>
      <c r="H12" s="3"/>
      <c r="I12" s="807"/>
      <c r="J12" s="3"/>
      <c r="K12" s="796"/>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29" x14ac:dyDescent="0.35">
      <c r="A13" s="551"/>
      <c r="B13" s="241">
        <f>B12+1</f>
        <v>12</v>
      </c>
      <c r="C13" s="560"/>
      <c r="G13" s="560"/>
      <c r="I13" s="808"/>
      <c r="K13" s="560"/>
      <c r="M13" s="275" t="b">
        <v>0</v>
      </c>
      <c r="N13" s="25" t="s">
        <v>344</v>
      </c>
      <c r="P13" s="25" t="s">
        <v>345</v>
      </c>
      <c r="T13" s="119"/>
      <c r="U13" s="125"/>
      <c r="V13" s="27"/>
      <c r="W13" s="125"/>
      <c r="X13" s="124"/>
      <c r="Y13" s="125"/>
      <c r="Z13" s="124"/>
      <c r="AB13" s="45" t="b">
        <v>0</v>
      </c>
      <c r="AC13" s="9" t="s">
        <v>346</v>
      </c>
      <c r="AD13" s="131"/>
      <c r="AE13" s="101"/>
    </row>
    <row r="14" spans="1:31" ht="15" thickBot="1" x14ac:dyDescent="0.4">
      <c r="A14" s="552"/>
      <c r="B14" s="241">
        <f>B13+1</f>
        <v>13</v>
      </c>
      <c r="C14" s="561"/>
      <c r="D14" s="67"/>
      <c r="E14" s="67"/>
      <c r="F14" s="67"/>
      <c r="G14" s="561"/>
      <c r="H14" s="67"/>
      <c r="I14" s="67"/>
      <c r="J14" s="67"/>
      <c r="K14" s="561"/>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15" customHeight="1" thickBot="1" x14ac:dyDescent="0.4">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35">
      <c r="A16" s="550">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29" x14ac:dyDescent="0.35">
      <c r="A17" s="551"/>
      <c r="B17" s="241">
        <f>B12+10</f>
        <v>21</v>
      </c>
      <c r="C17" s="796"/>
      <c r="D17" s="3"/>
      <c r="E17" s="10"/>
      <c r="F17" s="3"/>
      <c r="G17" s="796"/>
      <c r="H17" s="3"/>
      <c r="I17" s="807"/>
      <c r="J17" s="3"/>
      <c r="K17" s="796"/>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29" x14ac:dyDescent="0.35">
      <c r="A18" s="551"/>
      <c r="B18" s="241">
        <f>B17+1</f>
        <v>22</v>
      </c>
      <c r="C18" s="560"/>
      <c r="G18" s="560"/>
      <c r="I18" s="808"/>
      <c r="K18" s="560"/>
      <c r="M18" s="275" t="b">
        <v>0</v>
      </c>
      <c r="N18" s="25" t="s">
        <v>344</v>
      </c>
      <c r="O18" s="25"/>
      <c r="P18" s="25" t="s">
        <v>345</v>
      </c>
      <c r="T18" s="458"/>
      <c r="U18" s="125"/>
      <c r="V18" s="130"/>
      <c r="W18" s="451"/>
      <c r="X18" s="131"/>
      <c r="Y18" s="451"/>
      <c r="Z18" s="131"/>
      <c r="AB18" s="45" t="b">
        <v>0</v>
      </c>
      <c r="AC18" s="9" t="s">
        <v>346</v>
      </c>
      <c r="AD18" s="131"/>
      <c r="AE18" s="101"/>
    </row>
    <row r="19" spans="1:31" ht="15" thickBot="1" x14ac:dyDescent="0.4">
      <c r="A19" s="552"/>
      <c r="B19" s="241">
        <f>B18+1</f>
        <v>23</v>
      </c>
      <c r="C19" s="561"/>
      <c r="D19" s="67"/>
      <c r="E19" s="67"/>
      <c r="F19" s="67"/>
      <c r="G19" s="561"/>
      <c r="H19" s="67"/>
      <c r="I19" s="67"/>
      <c r="J19" s="67"/>
      <c r="K19" s="561"/>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15" customHeight="1" thickBot="1" x14ac:dyDescent="0.4">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4" customHeight="1" x14ac:dyDescent="0.35">
      <c r="A21" s="550">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29" x14ac:dyDescent="0.35">
      <c r="A22" s="551"/>
      <c r="B22" s="241">
        <f>B17+10</f>
        <v>31</v>
      </c>
      <c r="C22" s="796"/>
      <c r="D22" s="3"/>
      <c r="E22" s="10"/>
      <c r="F22" s="3"/>
      <c r="G22" s="796"/>
      <c r="H22" s="3"/>
      <c r="I22" s="807"/>
      <c r="J22" s="3"/>
      <c r="K22" s="796"/>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29" x14ac:dyDescent="0.35">
      <c r="A23" s="551"/>
      <c r="B23" s="241">
        <f>B22+1</f>
        <v>32</v>
      </c>
      <c r="C23" s="560"/>
      <c r="G23" s="560"/>
      <c r="I23" s="808"/>
      <c r="K23" s="560"/>
      <c r="M23" s="275" t="b">
        <v>0</v>
      </c>
      <c r="N23" s="25" t="s">
        <v>344</v>
      </c>
      <c r="O23" s="25"/>
      <c r="P23" s="25" t="s">
        <v>345</v>
      </c>
      <c r="T23" s="458"/>
      <c r="U23" s="125"/>
      <c r="V23" s="130"/>
      <c r="W23" s="451"/>
      <c r="X23" s="131"/>
      <c r="Y23" s="451"/>
      <c r="Z23" s="131"/>
      <c r="AB23" s="45" t="b">
        <v>1</v>
      </c>
      <c r="AC23" s="9" t="s">
        <v>346</v>
      </c>
      <c r="AD23" s="131"/>
      <c r="AE23" s="101"/>
    </row>
    <row r="24" spans="1:31" ht="15" thickBot="1" x14ac:dyDescent="0.4">
      <c r="A24" s="552"/>
      <c r="B24" s="241">
        <f>B23+1</f>
        <v>33</v>
      </c>
      <c r="C24" s="561"/>
      <c r="D24" s="67"/>
      <c r="E24" s="67"/>
      <c r="F24" s="67"/>
      <c r="G24" s="561"/>
      <c r="H24" s="67"/>
      <c r="I24" s="67"/>
      <c r="J24" s="67"/>
      <c r="K24" s="561"/>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15" customHeight="1" thickBot="1" x14ac:dyDescent="0.4">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35">
      <c r="A26" s="550">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29" x14ac:dyDescent="0.35">
      <c r="A27" s="551"/>
      <c r="B27" s="241">
        <f>B22+10</f>
        <v>41</v>
      </c>
      <c r="C27" s="796"/>
      <c r="D27" s="3"/>
      <c r="E27" s="10"/>
      <c r="F27" s="3"/>
      <c r="G27" s="796"/>
      <c r="H27" s="3"/>
      <c r="I27" s="807"/>
      <c r="J27" s="3"/>
      <c r="K27" s="796"/>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29" x14ac:dyDescent="0.35">
      <c r="A28" s="551"/>
      <c r="B28" s="241">
        <f>B27+1</f>
        <v>42</v>
      </c>
      <c r="C28" s="560"/>
      <c r="G28" s="560"/>
      <c r="I28" s="808"/>
      <c r="K28" s="560"/>
      <c r="M28" s="275" t="b">
        <v>0</v>
      </c>
      <c r="N28" s="25" t="s">
        <v>344</v>
      </c>
      <c r="O28" s="25"/>
      <c r="P28" s="25" t="s">
        <v>345</v>
      </c>
      <c r="T28" s="458"/>
      <c r="U28" s="125"/>
      <c r="V28" s="130"/>
      <c r="W28" s="451"/>
      <c r="X28" s="131"/>
      <c r="Y28" s="451"/>
      <c r="Z28" s="131"/>
      <c r="AB28" s="45" t="b">
        <v>1</v>
      </c>
      <c r="AC28" s="9" t="s">
        <v>346</v>
      </c>
      <c r="AD28" s="131"/>
      <c r="AE28" s="101"/>
    </row>
    <row r="29" spans="1:31" ht="15" thickBot="1" x14ac:dyDescent="0.4">
      <c r="A29" s="552"/>
      <c r="B29" s="241">
        <f>B28+1</f>
        <v>43</v>
      </c>
      <c r="C29" s="809"/>
      <c r="D29" s="67"/>
      <c r="E29" s="67"/>
      <c r="F29" s="67"/>
      <c r="G29" s="809"/>
      <c r="H29" s="67"/>
      <c r="I29" s="67"/>
      <c r="J29" s="67"/>
      <c r="K29" s="809"/>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15" customHeight="1" thickBot="1" x14ac:dyDescent="0.4">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5" customHeight="1" x14ac:dyDescent="0.35">
      <c r="A31" s="550">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29" x14ac:dyDescent="0.35">
      <c r="A32" s="551"/>
      <c r="B32" s="241">
        <f>B27+10</f>
        <v>51</v>
      </c>
      <c r="C32" s="796"/>
      <c r="D32" s="3"/>
      <c r="E32" s="10"/>
      <c r="F32" s="3"/>
      <c r="G32" s="796"/>
      <c r="H32" s="3"/>
      <c r="I32" s="807"/>
      <c r="J32" s="3"/>
      <c r="K32" s="796"/>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29" x14ac:dyDescent="0.35">
      <c r="A33" s="551"/>
      <c r="B33" s="241">
        <f>B32+1</f>
        <v>52</v>
      </c>
      <c r="C33" s="560"/>
      <c r="G33" s="560"/>
      <c r="I33" s="808"/>
      <c r="K33" s="560"/>
      <c r="M33" s="275" t="b">
        <v>0</v>
      </c>
      <c r="N33" s="25" t="s">
        <v>344</v>
      </c>
      <c r="O33" s="25"/>
      <c r="P33" s="25" t="s">
        <v>345</v>
      </c>
      <c r="T33" s="458"/>
      <c r="U33" s="125"/>
      <c r="V33" s="130"/>
      <c r="W33" s="451"/>
      <c r="X33" s="131"/>
      <c r="Y33" s="451"/>
      <c r="Z33" s="131"/>
      <c r="AB33" s="45" t="b">
        <v>0</v>
      </c>
      <c r="AC33" s="9" t="s">
        <v>346</v>
      </c>
      <c r="AD33" s="131"/>
      <c r="AE33" s="101"/>
    </row>
    <row r="34" spans="1:31" ht="15" thickBot="1" x14ac:dyDescent="0.4">
      <c r="A34" s="552"/>
      <c r="B34" s="241">
        <f>B33+1</f>
        <v>53</v>
      </c>
      <c r="C34" s="561"/>
      <c r="D34" s="67"/>
      <c r="E34" s="67"/>
      <c r="F34" s="67"/>
      <c r="G34" s="561"/>
      <c r="H34" s="67"/>
      <c r="I34" s="67"/>
      <c r="J34" s="67"/>
      <c r="K34" s="561"/>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15" customHeight="1" thickBot="1" x14ac:dyDescent="0.4">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35">
      <c r="A36" s="550">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29" x14ac:dyDescent="0.35">
      <c r="A37" s="551"/>
      <c r="B37" s="241">
        <f>B32+10</f>
        <v>61</v>
      </c>
      <c r="C37" s="796"/>
      <c r="D37" s="3"/>
      <c r="E37" s="10"/>
      <c r="F37" s="3"/>
      <c r="G37" s="796"/>
      <c r="H37" s="3"/>
      <c r="I37" s="807"/>
      <c r="J37" s="3"/>
      <c r="K37" s="796"/>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29" x14ac:dyDescent="0.35">
      <c r="A38" s="551"/>
      <c r="B38" s="241">
        <f>B37+1</f>
        <v>62</v>
      </c>
      <c r="C38" s="560"/>
      <c r="G38" s="560"/>
      <c r="I38" s="808"/>
      <c r="K38" s="560"/>
      <c r="M38" s="275" t="b">
        <v>0</v>
      </c>
      <c r="N38" s="25" t="s">
        <v>344</v>
      </c>
      <c r="O38" s="25"/>
      <c r="P38" s="25" t="s">
        <v>345</v>
      </c>
      <c r="T38" s="458"/>
      <c r="U38" s="125"/>
      <c r="V38" s="130"/>
      <c r="W38" s="451"/>
      <c r="X38" s="131"/>
      <c r="Y38" s="451"/>
      <c r="Z38" s="131"/>
      <c r="AB38" s="45" t="b">
        <v>1</v>
      </c>
      <c r="AC38" s="9" t="s">
        <v>346</v>
      </c>
      <c r="AD38" s="131"/>
      <c r="AE38" s="101"/>
    </row>
    <row r="39" spans="1:31" ht="15" thickBot="1" x14ac:dyDescent="0.4">
      <c r="A39" s="552"/>
      <c r="B39" s="241">
        <f>B38+1</f>
        <v>63</v>
      </c>
      <c r="C39" s="561"/>
      <c r="D39" s="67"/>
      <c r="E39" s="67"/>
      <c r="F39" s="67"/>
      <c r="G39" s="561"/>
      <c r="H39" s="67"/>
      <c r="I39" s="67"/>
      <c r="J39" s="67"/>
      <c r="K39" s="561"/>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15" customHeight="1" thickBot="1" x14ac:dyDescent="0.4">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35">
      <c r="A41" s="550">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29" x14ac:dyDescent="0.35">
      <c r="A42" s="551"/>
      <c r="B42" s="241">
        <f>B37+10</f>
        <v>71</v>
      </c>
      <c r="C42" s="796"/>
      <c r="D42" s="3"/>
      <c r="E42" s="10"/>
      <c r="F42" s="3"/>
      <c r="G42" s="796"/>
      <c r="H42" s="3"/>
      <c r="I42" s="807"/>
      <c r="J42" s="3"/>
      <c r="K42" s="796"/>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29" x14ac:dyDescent="0.35">
      <c r="A43" s="551"/>
      <c r="B43" s="241">
        <f>B42+1</f>
        <v>72</v>
      </c>
      <c r="C43" s="560"/>
      <c r="G43" s="560"/>
      <c r="I43" s="808"/>
      <c r="K43" s="560"/>
      <c r="M43" s="275" t="b">
        <v>0</v>
      </c>
      <c r="N43" s="25" t="s">
        <v>344</v>
      </c>
      <c r="O43" s="25"/>
      <c r="P43" s="25" t="s">
        <v>345</v>
      </c>
      <c r="T43" s="458"/>
      <c r="U43" s="125"/>
      <c r="V43" s="130"/>
      <c r="W43" s="451"/>
      <c r="X43" s="131"/>
      <c r="Y43" s="451"/>
      <c r="Z43" s="131"/>
      <c r="AB43" s="45" t="b">
        <v>0</v>
      </c>
      <c r="AC43" s="9" t="s">
        <v>346</v>
      </c>
      <c r="AD43" s="131"/>
      <c r="AE43" s="101"/>
    </row>
    <row r="44" spans="1:31" ht="15" thickBot="1" x14ac:dyDescent="0.4">
      <c r="A44" s="551"/>
      <c r="B44" s="241">
        <f>B43+1</f>
        <v>73</v>
      </c>
      <c r="C44" s="561"/>
      <c r="G44" s="560"/>
      <c r="K44" s="560"/>
      <c r="M44" s="64" t="b">
        <v>0</v>
      </c>
      <c r="N44" t="s">
        <v>347</v>
      </c>
      <c r="P44" t="s">
        <v>348</v>
      </c>
      <c r="T44" s="458"/>
      <c r="U44" s="125"/>
      <c r="V44" s="130"/>
      <c r="W44" s="451"/>
      <c r="X44" s="131"/>
      <c r="Y44" s="451"/>
      <c r="Z44" s="131"/>
      <c r="AD44" s="127"/>
      <c r="AE44" s="66"/>
    </row>
    <row r="45" spans="1:31" ht="5.15" customHeight="1" thickBot="1" x14ac:dyDescent="0.4">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35">
      <c r="A46" s="550">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29" x14ac:dyDescent="0.35">
      <c r="A47" s="551"/>
      <c r="B47" s="241">
        <f>B42+10</f>
        <v>81</v>
      </c>
      <c r="C47" s="796"/>
      <c r="D47" s="3"/>
      <c r="E47" s="10"/>
      <c r="F47" s="3"/>
      <c r="G47" s="796"/>
      <c r="H47" s="3"/>
      <c r="I47" s="807"/>
      <c r="J47" s="3"/>
      <c r="K47" s="796"/>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29" x14ac:dyDescent="0.35">
      <c r="A48" s="551"/>
      <c r="B48" s="241">
        <f>B47+1</f>
        <v>82</v>
      </c>
      <c r="C48" s="560"/>
      <c r="G48" s="560"/>
      <c r="I48" s="808"/>
      <c r="K48" s="560"/>
      <c r="M48" s="275" t="b">
        <v>0</v>
      </c>
      <c r="N48" s="25" t="s">
        <v>344</v>
      </c>
      <c r="O48" s="25"/>
      <c r="P48" s="25" t="s">
        <v>345</v>
      </c>
      <c r="T48" s="458"/>
      <c r="U48" s="125"/>
      <c r="V48" s="130"/>
      <c r="W48" s="451"/>
      <c r="X48" s="131"/>
      <c r="Y48" s="451"/>
      <c r="Z48" s="131"/>
      <c r="AB48" s="45" t="b">
        <v>0</v>
      </c>
      <c r="AC48" s="9" t="s">
        <v>346</v>
      </c>
      <c r="AD48" s="131"/>
      <c r="AE48" s="101"/>
    </row>
    <row r="49" spans="1:31" ht="15" thickBot="1" x14ac:dyDescent="0.4">
      <c r="A49" s="551"/>
      <c r="B49" s="241">
        <f>B48+1</f>
        <v>83</v>
      </c>
      <c r="C49" s="561"/>
      <c r="G49" s="560"/>
      <c r="K49" s="560"/>
      <c r="M49" s="64" t="b">
        <v>0</v>
      </c>
      <c r="N49" t="s">
        <v>347</v>
      </c>
      <c r="P49" t="s">
        <v>348</v>
      </c>
      <c r="T49" s="458"/>
      <c r="U49" s="125"/>
      <c r="V49" s="130"/>
      <c r="W49" s="451"/>
      <c r="X49" s="131"/>
      <c r="Y49" s="451"/>
      <c r="Z49" s="131"/>
      <c r="AD49" s="127"/>
      <c r="AE49" s="66"/>
    </row>
    <row r="50" spans="1:31" ht="5.15" customHeight="1" thickBot="1" x14ac:dyDescent="0.4">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35">
      <c r="A51" s="550">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29" x14ac:dyDescent="0.35">
      <c r="A52" s="551"/>
      <c r="B52" s="241">
        <f>B47+10</f>
        <v>91</v>
      </c>
      <c r="C52" s="796"/>
      <c r="D52" s="3"/>
      <c r="E52" s="10"/>
      <c r="F52" s="3"/>
      <c r="G52" s="796"/>
      <c r="H52" s="3"/>
      <c r="I52" s="807"/>
      <c r="J52" s="3"/>
      <c r="K52" s="796"/>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29" x14ac:dyDescent="0.35">
      <c r="A53" s="551"/>
      <c r="B53" s="241">
        <f>B52+1</f>
        <v>92</v>
      </c>
      <c r="C53" s="560"/>
      <c r="G53" s="560"/>
      <c r="I53" s="808"/>
      <c r="K53" s="560"/>
      <c r="M53" s="275" t="b">
        <v>0</v>
      </c>
      <c r="N53" s="25" t="s">
        <v>344</v>
      </c>
      <c r="O53" s="25"/>
      <c r="P53" s="25" t="s">
        <v>345</v>
      </c>
      <c r="T53" s="458"/>
      <c r="U53" s="125"/>
      <c r="V53" s="130"/>
      <c r="W53" s="451"/>
      <c r="X53" s="131"/>
      <c r="Y53" s="451"/>
      <c r="Z53" s="131"/>
      <c r="AB53" s="45" t="b">
        <v>0</v>
      </c>
      <c r="AC53" s="9" t="s">
        <v>346</v>
      </c>
      <c r="AD53" s="131"/>
      <c r="AE53" s="101"/>
    </row>
    <row r="54" spans="1:31" ht="15" thickBot="1" x14ac:dyDescent="0.4">
      <c r="A54" s="551"/>
      <c r="B54" s="241">
        <f>B53+1</f>
        <v>93</v>
      </c>
      <c r="C54" s="561"/>
      <c r="G54" s="560"/>
      <c r="K54" s="560"/>
      <c r="M54" s="64" t="b">
        <v>0</v>
      </c>
      <c r="N54" t="s">
        <v>347</v>
      </c>
      <c r="P54" t="s">
        <v>348</v>
      </c>
      <c r="T54" s="458"/>
      <c r="U54" s="125"/>
      <c r="V54" s="130"/>
      <c r="W54" s="451"/>
      <c r="X54" s="131"/>
      <c r="Y54" s="451"/>
      <c r="Z54" s="131"/>
      <c r="AD54" s="127"/>
      <c r="AE54" s="66"/>
    </row>
    <row r="55" spans="1:31" ht="5.15" customHeight="1" thickBot="1" x14ac:dyDescent="0.4">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35">
      <c r="A56" s="550">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29" x14ac:dyDescent="0.35">
      <c r="A57" s="551"/>
      <c r="B57" s="241">
        <f>B52+10</f>
        <v>101</v>
      </c>
      <c r="C57" s="796"/>
      <c r="D57" s="3"/>
      <c r="E57" s="10"/>
      <c r="F57" s="3"/>
      <c r="G57" s="796"/>
      <c r="H57" s="3"/>
      <c r="I57" s="807"/>
      <c r="J57" s="3"/>
      <c r="K57" s="796"/>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29" x14ac:dyDescent="0.35">
      <c r="A58" s="551"/>
      <c r="B58" s="241">
        <f>B57+1</f>
        <v>102</v>
      </c>
      <c r="C58" s="560"/>
      <c r="G58" s="560"/>
      <c r="I58" s="808"/>
      <c r="K58" s="560"/>
      <c r="M58" s="275" t="b">
        <v>0</v>
      </c>
      <c r="N58" s="25" t="s">
        <v>344</v>
      </c>
      <c r="O58" s="25"/>
      <c r="P58" s="25" t="s">
        <v>345</v>
      </c>
      <c r="T58" s="458"/>
      <c r="U58" s="125"/>
      <c r="V58" s="130"/>
      <c r="W58" s="451"/>
      <c r="X58" s="131"/>
      <c r="Y58" s="451"/>
      <c r="Z58" s="131"/>
      <c r="AB58" s="45" t="b">
        <v>0</v>
      </c>
      <c r="AC58" s="9" t="s">
        <v>346</v>
      </c>
      <c r="AD58" s="131"/>
      <c r="AE58" s="101"/>
    </row>
    <row r="59" spans="1:31" ht="15" thickBot="1" x14ac:dyDescent="0.4">
      <c r="A59" s="551"/>
      <c r="B59" s="241">
        <f>B58+1</f>
        <v>103</v>
      </c>
      <c r="C59" s="561"/>
      <c r="G59" s="560"/>
      <c r="K59" s="560"/>
      <c r="M59" s="64" t="b">
        <v>0</v>
      </c>
      <c r="N59" t="s">
        <v>347</v>
      </c>
      <c r="P59" t="s">
        <v>348</v>
      </c>
      <c r="T59" s="458"/>
      <c r="U59" s="125"/>
      <c r="V59" s="130"/>
      <c r="W59" s="451"/>
      <c r="X59" s="131"/>
      <c r="Y59" s="451"/>
      <c r="Z59" s="131"/>
      <c r="AD59" s="127"/>
      <c r="AE59" s="66"/>
    </row>
    <row r="60" spans="1:31" ht="5.15" customHeight="1" thickBot="1" x14ac:dyDescent="0.4">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35">
      <c r="A61" s="550">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29" x14ac:dyDescent="0.35">
      <c r="A62" s="551"/>
      <c r="B62" s="241">
        <f>B57+10</f>
        <v>111</v>
      </c>
      <c r="C62" s="796"/>
      <c r="D62" s="3"/>
      <c r="E62" s="10"/>
      <c r="F62" s="3"/>
      <c r="G62" s="796"/>
      <c r="H62" s="3"/>
      <c r="I62" s="807"/>
      <c r="J62" s="3"/>
      <c r="K62" s="796"/>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29" x14ac:dyDescent="0.35">
      <c r="A63" s="551"/>
      <c r="B63" s="241">
        <f>B62+1</f>
        <v>112</v>
      </c>
      <c r="C63" s="560"/>
      <c r="G63" s="560"/>
      <c r="I63" s="808"/>
      <c r="K63" s="560"/>
      <c r="M63" s="275" t="b">
        <v>0</v>
      </c>
      <c r="N63" s="25" t="s">
        <v>344</v>
      </c>
      <c r="O63" s="25"/>
      <c r="P63" s="25" t="s">
        <v>345</v>
      </c>
      <c r="T63" s="458"/>
      <c r="U63" s="125"/>
      <c r="V63" s="130"/>
      <c r="W63" s="451"/>
      <c r="X63" s="131"/>
      <c r="Y63" s="451"/>
      <c r="Z63" s="131"/>
      <c r="AB63" s="45" t="b">
        <v>0</v>
      </c>
      <c r="AC63" s="9" t="s">
        <v>346</v>
      </c>
      <c r="AD63" s="131"/>
      <c r="AE63" s="101"/>
    </row>
    <row r="64" spans="1:31" ht="15" thickBot="1" x14ac:dyDescent="0.4">
      <c r="A64" s="551"/>
      <c r="B64" s="241">
        <f>B63+1</f>
        <v>113</v>
      </c>
      <c r="C64" s="561"/>
      <c r="G64" s="560"/>
      <c r="K64" s="560"/>
      <c r="M64" s="64" t="b">
        <v>0</v>
      </c>
      <c r="N64" t="s">
        <v>347</v>
      </c>
      <c r="P64" t="s">
        <v>348</v>
      </c>
      <c r="T64" s="458"/>
      <c r="U64" s="125"/>
      <c r="V64" s="130"/>
      <c r="W64" s="451"/>
      <c r="X64" s="131"/>
      <c r="Y64" s="451"/>
      <c r="Z64" s="131"/>
      <c r="AD64" s="127"/>
      <c r="AE64" s="66"/>
    </row>
    <row r="65" spans="1:31" ht="5.15" customHeight="1" thickBot="1" x14ac:dyDescent="0.4">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35">
      <c r="A66" s="550">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29" x14ac:dyDescent="0.35">
      <c r="A67" s="551"/>
      <c r="B67" s="241">
        <f>B62+10</f>
        <v>121</v>
      </c>
      <c r="C67" s="796"/>
      <c r="D67" s="3"/>
      <c r="E67" s="10"/>
      <c r="F67" s="3"/>
      <c r="G67" s="796"/>
      <c r="H67" s="3"/>
      <c r="I67" s="807"/>
      <c r="J67" s="3"/>
      <c r="K67" s="796"/>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29" x14ac:dyDescent="0.35">
      <c r="A68" s="551"/>
      <c r="B68" s="241">
        <f>B67+1</f>
        <v>122</v>
      </c>
      <c r="C68" s="560"/>
      <c r="G68" s="560"/>
      <c r="I68" s="808"/>
      <c r="K68" s="560"/>
      <c r="M68" s="275" t="b">
        <v>0</v>
      </c>
      <c r="N68" s="25" t="s">
        <v>344</v>
      </c>
      <c r="O68" s="25"/>
      <c r="P68" s="25" t="s">
        <v>345</v>
      </c>
      <c r="T68" s="458"/>
      <c r="U68" s="125"/>
      <c r="V68" s="130"/>
      <c r="W68" s="451"/>
      <c r="X68" s="131"/>
      <c r="Y68" s="451"/>
      <c r="Z68" s="131"/>
      <c r="AB68" s="45" t="b">
        <v>0</v>
      </c>
      <c r="AC68" s="9" t="s">
        <v>346</v>
      </c>
      <c r="AD68" s="131"/>
      <c r="AE68" s="101"/>
    </row>
    <row r="69" spans="1:31" ht="15" thickBot="1" x14ac:dyDescent="0.4">
      <c r="A69" s="551"/>
      <c r="B69" s="241">
        <f>B68+1</f>
        <v>123</v>
      </c>
      <c r="C69" s="561"/>
      <c r="G69" s="560"/>
      <c r="K69" s="560"/>
      <c r="M69" s="64" t="b">
        <v>0</v>
      </c>
      <c r="N69" t="s">
        <v>347</v>
      </c>
      <c r="P69" t="s">
        <v>348</v>
      </c>
      <c r="T69" s="458"/>
      <c r="U69" s="125"/>
      <c r="V69" s="130"/>
      <c r="W69" s="451"/>
      <c r="X69" s="131"/>
      <c r="Y69" s="451"/>
      <c r="Z69" s="131"/>
      <c r="AD69" s="127"/>
      <c r="AE69" s="66"/>
    </row>
    <row r="70" spans="1:31" ht="5.15" customHeight="1" thickBot="1" x14ac:dyDescent="0.4">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35">
      <c r="A71" s="550">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29" x14ac:dyDescent="0.35">
      <c r="A72" s="551"/>
      <c r="B72" s="241">
        <f>B67+10</f>
        <v>131</v>
      </c>
      <c r="C72" s="796"/>
      <c r="D72" s="3"/>
      <c r="E72" s="10"/>
      <c r="F72" s="3"/>
      <c r="G72" s="796"/>
      <c r="H72" s="3"/>
      <c r="I72" s="807"/>
      <c r="J72" s="3"/>
      <c r="K72" s="796"/>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29" x14ac:dyDescent="0.35">
      <c r="A73" s="551"/>
      <c r="B73" s="241">
        <f>B72+1</f>
        <v>132</v>
      </c>
      <c r="C73" s="560"/>
      <c r="G73" s="560"/>
      <c r="I73" s="808"/>
      <c r="K73" s="560"/>
      <c r="M73" s="275" t="b">
        <v>0</v>
      </c>
      <c r="N73" s="25" t="s">
        <v>344</v>
      </c>
      <c r="O73" s="25"/>
      <c r="P73" s="25" t="s">
        <v>345</v>
      </c>
      <c r="T73" s="458"/>
      <c r="U73" s="125"/>
      <c r="V73" s="130"/>
      <c r="W73" s="451"/>
      <c r="X73" s="131"/>
      <c r="Y73" s="451"/>
      <c r="Z73" s="131"/>
      <c r="AB73" s="45" t="b">
        <v>0</v>
      </c>
      <c r="AC73" s="9" t="s">
        <v>346</v>
      </c>
      <c r="AD73" s="131"/>
      <c r="AE73" s="101"/>
    </row>
    <row r="74" spans="1:31" ht="15" thickBot="1" x14ac:dyDescent="0.4">
      <c r="A74" s="551"/>
      <c r="B74" s="241">
        <f>B73+1</f>
        <v>133</v>
      </c>
      <c r="C74" s="561"/>
      <c r="G74" s="560"/>
      <c r="K74" s="560"/>
      <c r="M74" s="64" t="b">
        <v>0</v>
      </c>
      <c r="N74" t="s">
        <v>347</v>
      </c>
      <c r="P74" t="s">
        <v>348</v>
      </c>
      <c r="T74" s="458"/>
      <c r="U74" s="125"/>
      <c r="V74" s="130"/>
      <c r="W74" s="451"/>
      <c r="X74" s="131"/>
      <c r="Y74" s="451"/>
      <c r="Z74" s="131"/>
      <c r="AD74" s="127"/>
      <c r="AE74" s="66"/>
    </row>
    <row r="75" spans="1:31" ht="5.15" customHeight="1" thickBot="1" x14ac:dyDescent="0.4">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35">
      <c r="A76" s="550">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29" x14ac:dyDescent="0.35">
      <c r="A77" s="551"/>
      <c r="B77" s="241">
        <f>B72+10</f>
        <v>141</v>
      </c>
      <c r="C77" s="796"/>
      <c r="D77" s="3"/>
      <c r="E77" s="10"/>
      <c r="F77" s="3"/>
      <c r="G77" s="796"/>
      <c r="H77" s="3"/>
      <c r="I77" s="807"/>
      <c r="J77" s="3"/>
      <c r="K77" s="796"/>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29" x14ac:dyDescent="0.35">
      <c r="A78" s="551"/>
      <c r="B78" s="241">
        <f>B77+1</f>
        <v>142</v>
      </c>
      <c r="C78" s="560"/>
      <c r="G78" s="560"/>
      <c r="I78" s="808"/>
      <c r="K78" s="560"/>
      <c r="M78" s="275" t="b">
        <v>0</v>
      </c>
      <c r="N78" s="25" t="s">
        <v>344</v>
      </c>
      <c r="O78" s="25"/>
      <c r="P78" s="25" t="s">
        <v>345</v>
      </c>
      <c r="T78" s="458"/>
      <c r="U78" s="125"/>
      <c r="V78" s="130"/>
      <c r="W78" s="451"/>
      <c r="X78" s="131"/>
      <c r="Y78" s="451"/>
      <c r="Z78" s="131"/>
      <c r="AB78" s="45" t="b">
        <v>0</v>
      </c>
      <c r="AC78" s="9" t="s">
        <v>346</v>
      </c>
      <c r="AD78" s="131"/>
      <c r="AE78" s="101"/>
    </row>
    <row r="79" spans="1:31" ht="15" thickBot="1" x14ac:dyDescent="0.4">
      <c r="A79" s="551"/>
      <c r="B79" s="241">
        <f>B78+1</f>
        <v>143</v>
      </c>
      <c r="C79" s="561"/>
      <c r="G79" s="560"/>
      <c r="K79" s="560"/>
      <c r="M79" s="64" t="b">
        <v>0</v>
      </c>
      <c r="N79" t="s">
        <v>347</v>
      </c>
      <c r="P79" t="s">
        <v>348</v>
      </c>
      <c r="T79" s="458"/>
      <c r="U79" s="125"/>
      <c r="V79" s="130"/>
      <c r="W79" s="451"/>
      <c r="X79" s="131"/>
      <c r="Y79" s="451"/>
      <c r="Z79" s="131"/>
      <c r="AD79" s="127"/>
      <c r="AE79" s="66"/>
    </row>
    <row r="80" spans="1:31" ht="5.15" customHeight="1" thickBot="1" x14ac:dyDescent="0.4">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35">
      <c r="A81" s="550">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29" x14ac:dyDescent="0.35">
      <c r="A82" s="551"/>
      <c r="B82" s="241">
        <f>B77+10</f>
        <v>151</v>
      </c>
      <c r="C82" s="796"/>
      <c r="D82" s="3"/>
      <c r="E82" s="10"/>
      <c r="F82" s="3"/>
      <c r="G82" s="796"/>
      <c r="H82" s="3"/>
      <c r="I82" s="807"/>
      <c r="J82" s="3"/>
      <c r="K82" s="796"/>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29" x14ac:dyDescent="0.35">
      <c r="A83" s="551"/>
      <c r="B83" s="241">
        <f>B82+1</f>
        <v>152</v>
      </c>
      <c r="C83" s="560"/>
      <c r="G83" s="560"/>
      <c r="I83" s="808"/>
      <c r="K83" s="560"/>
      <c r="M83" s="275" t="b">
        <v>0</v>
      </c>
      <c r="N83" s="25" t="s">
        <v>344</v>
      </c>
      <c r="O83" s="25"/>
      <c r="P83" s="25" t="s">
        <v>345</v>
      </c>
      <c r="T83" s="458"/>
      <c r="U83" s="125"/>
      <c r="V83" s="130"/>
      <c r="W83" s="451"/>
      <c r="X83" s="131"/>
      <c r="Y83" s="451"/>
      <c r="Z83" s="131"/>
      <c r="AB83" s="45" t="b">
        <v>0</v>
      </c>
      <c r="AC83" s="9" t="s">
        <v>346</v>
      </c>
      <c r="AD83" s="131"/>
      <c r="AE83" s="101"/>
    </row>
    <row r="84" spans="1:31" ht="15" thickBot="1" x14ac:dyDescent="0.4">
      <c r="A84" s="551"/>
      <c r="B84" s="241">
        <f>B83+1</f>
        <v>153</v>
      </c>
      <c r="C84" s="561"/>
      <c r="G84" s="560"/>
      <c r="K84" s="560"/>
      <c r="M84" s="64" t="b">
        <v>0</v>
      </c>
      <c r="N84" t="s">
        <v>347</v>
      </c>
      <c r="P84" t="s">
        <v>348</v>
      </c>
      <c r="T84" s="458"/>
      <c r="U84" s="125"/>
      <c r="V84" s="130"/>
      <c r="W84" s="451"/>
      <c r="X84" s="131"/>
      <c r="Y84" s="451"/>
      <c r="Z84" s="131"/>
      <c r="AD84" s="127"/>
      <c r="AE84" s="66"/>
    </row>
    <row r="85" spans="1:31" ht="5.15" customHeight="1" thickBot="1" x14ac:dyDescent="0.4">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35">
      <c r="A86" s="550">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29" x14ac:dyDescent="0.35">
      <c r="A87" s="551"/>
      <c r="B87" s="241">
        <f>B82+10</f>
        <v>161</v>
      </c>
      <c r="C87" s="796"/>
      <c r="D87" s="3"/>
      <c r="E87" s="10"/>
      <c r="F87" s="3"/>
      <c r="G87" s="796"/>
      <c r="H87" s="3"/>
      <c r="I87" s="807"/>
      <c r="J87" s="3"/>
      <c r="K87" s="796"/>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29" x14ac:dyDescent="0.35">
      <c r="A88" s="551"/>
      <c r="B88" s="241">
        <f>B87+1</f>
        <v>162</v>
      </c>
      <c r="C88" s="560"/>
      <c r="G88" s="560"/>
      <c r="I88" s="808"/>
      <c r="K88" s="560"/>
      <c r="M88" s="275" t="b">
        <v>0</v>
      </c>
      <c r="N88" s="25" t="s">
        <v>344</v>
      </c>
      <c r="O88" s="25"/>
      <c r="P88" s="25" t="s">
        <v>345</v>
      </c>
      <c r="T88" s="458"/>
      <c r="U88" s="125"/>
      <c r="V88" s="130"/>
      <c r="W88" s="451"/>
      <c r="X88" s="131"/>
      <c r="Y88" s="451"/>
      <c r="Z88" s="131"/>
      <c r="AB88" s="45" t="b">
        <v>0</v>
      </c>
      <c r="AC88" s="9" t="s">
        <v>346</v>
      </c>
      <c r="AD88" s="131"/>
      <c r="AE88" s="101"/>
    </row>
    <row r="89" spans="1:31" ht="15" thickBot="1" x14ac:dyDescent="0.4">
      <c r="A89" s="551"/>
      <c r="B89" s="241">
        <f>B88+1</f>
        <v>163</v>
      </c>
      <c r="C89" s="561"/>
      <c r="G89" s="560"/>
      <c r="K89" s="560"/>
      <c r="M89" s="64" t="b">
        <v>0</v>
      </c>
      <c r="N89" t="s">
        <v>347</v>
      </c>
      <c r="P89" t="s">
        <v>348</v>
      </c>
      <c r="T89" s="458"/>
      <c r="U89" s="125"/>
      <c r="V89" s="130"/>
      <c r="W89" s="451"/>
      <c r="X89" s="131"/>
      <c r="Y89" s="451"/>
      <c r="Z89" s="131"/>
      <c r="AD89" s="127"/>
      <c r="AE89" s="66"/>
    </row>
    <row r="90" spans="1:31" ht="5.15" customHeight="1" thickBot="1" x14ac:dyDescent="0.4">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35">
      <c r="A91" s="550">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29" x14ac:dyDescent="0.35">
      <c r="A92" s="551"/>
      <c r="B92" s="241">
        <f>B87+10</f>
        <v>171</v>
      </c>
      <c r="C92" s="796"/>
      <c r="D92" s="3"/>
      <c r="E92" s="10"/>
      <c r="F92" s="3"/>
      <c r="G92" s="796"/>
      <c r="H92" s="3"/>
      <c r="I92" s="807"/>
      <c r="J92" s="3"/>
      <c r="K92" s="796"/>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29" x14ac:dyDescent="0.35">
      <c r="A93" s="551"/>
      <c r="B93" s="241">
        <f>B92+1</f>
        <v>172</v>
      </c>
      <c r="C93" s="560"/>
      <c r="G93" s="560"/>
      <c r="I93" s="808"/>
      <c r="K93" s="560"/>
      <c r="M93" s="275" t="b">
        <v>0</v>
      </c>
      <c r="N93" s="25" t="s">
        <v>344</v>
      </c>
      <c r="O93" s="25"/>
      <c r="P93" s="25" t="s">
        <v>345</v>
      </c>
      <c r="T93" s="458"/>
      <c r="U93" s="125"/>
      <c r="V93" s="130"/>
      <c r="W93" s="451"/>
      <c r="X93" s="131"/>
      <c r="Y93" s="451"/>
      <c r="Z93" s="131"/>
      <c r="AB93" s="45" t="b">
        <v>0</v>
      </c>
      <c r="AC93" s="9" t="s">
        <v>346</v>
      </c>
      <c r="AD93" s="131"/>
      <c r="AE93" s="101"/>
    </row>
    <row r="94" spans="1:31" ht="15" thickBot="1" x14ac:dyDescent="0.4">
      <c r="A94" s="551"/>
      <c r="B94" s="241">
        <f>B93+1</f>
        <v>173</v>
      </c>
      <c r="C94" s="561"/>
      <c r="G94" s="560"/>
      <c r="K94" s="560"/>
      <c r="M94" s="64" t="b">
        <v>0</v>
      </c>
      <c r="N94" t="s">
        <v>347</v>
      </c>
      <c r="P94" t="s">
        <v>348</v>
      </c>
      <c r="T94" s="458"/>
      <c r="U94" s="125"/>
      <c r="V94" s="130"/>
      <c r="W94" s="451"/>
      <c r="X94" s="131"/>
      <c r="Y94" s="451"/>
      <c r="Z94" s="131"/>
      <c r="AD94" s="127"/>
      <c r="AE94" s="66"/>
    </row>
    <row r="95" spans="1:31" ht="5.15" customHeight="1" thickBot="1" x14ac:dyDescent="0.4">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35">
      <c r="A96" s="550">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29" x14ac:dyDescent="0.35">
      <c r="A97" s="551"/>
      <c r="B97" s="241">
        <f>B92+10</f>
        <v>181</v>
      </c>
      <c r="C97" s="796"/>
      <c r="D97" s="3"/>
      <c r="E97" s="10"/>
      <c r="F97" s="3"/>
      <c r="G97" s="796"/>
      <c r="H97" s="3"/>
      <c r="I97" s="807"/>
      <c r="J97" s="3"/>
      <c r="K97" s="796"/>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29" x14ac:dyDescent="0.35">
      <c r="A98" s="551"/>
      <c r="B98" s="241">
        <f>B97+1</f>
        <v>182</v>
      </c>
      <c r="C98" s="560"/>
      <c r="G98" s="560"/>
      <c r="I98" s="808"/>
      <c r="K98" s="560"/>
      <c r="M98" s="275" t="b">
        <v>0</v>
      </c>
      <c r="N98" s="25" t="s">
        <v>344</v>
      </c>
      <c r="O98" s="25"/>
      <c r="P98" s="25" t="s">
        <v>345</v>
      </c>
      <c r="T98" s="458"/>
      <c r="U98" s="125"/>
      <c r="V98" s="130"/>
      <c r="W98" s="451"/>
      <c r="X98" s="131"/>
      <c r="Y98" s="451"/>
      <c r="Z98" s="131"/>
      <c r="AB98" s="45" t="b">
        <v>0</v>
      </c>
      <c r="AC98" s="9" t="s">
        <v>346</v>
      </c>
      <c r="AD98" s="131"/>
      <c r="AE98" s="101"/>
    </row>
    <row r="99" spans="1:31" ht="15" thickBot="1" x14ac:dyDescent="0.4">
      <c r="A99" s="551"/>
      <c r="B99" s="241">
        <f>B98+1</f>
        <v>183</v>
      </c>
      <c r="C99" s="561"/>
      <c r="G99" s="560"/>
      <c r="K99" s="560"/>
      <c r="M99" s="64" t="b">
        <v>0</v>
      </c>
      <c r="N99" t="s">
        <v>347</v>
      </c>
      <c r="P99" t="s">
        <v>348</v>
      </c>
      <c r="T99" s="458"/>
      <c r="U99" s="125"/>
      <c r="V99" s="130"/>
      <c r="W99" s="451"/>
      <c r="X99" s="131"/>
      <c r="Y99" s="451"/>
      <c r="Z99" s="131"/>
      <c r="AD99" s="127"/>
      <c r="AE99" s="66"/>
    </row>
    <row r="100" spans="1:31" ht="5.15" customHeight="1" thickBot="1" x14ac:dyDescent="0.4">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35">
      <c r="A101" s="550">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29" x14ac:dyDescent="0.35">
      <c r="A102" s="551"/>
      <c r="B102" s="241">
        <f>B97+10</f>
        <v>191</v>
      </c>
      <c r="C102" s="796"/>
      <c r="D102" s="3"/>
      <c r="E102" s="10"/>
      <c r="F102" s="3"/>
      <c r="G102" s="796"/>
      <c r="H102" s="3"/>
      <c r="I102" s="807"/>
      <c r="J102" s="3"/>
      <c r="K102" s="796"/>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29" x14ac:dyDescent="0.35">
      <c r="A103" s="551"/>
      <c r="B103" s="241">
        <f>B102+1</f>
        <v>192</v>
      </c>
      <c r="C103" s="560"/>
      <c r="G103" s="560"/>
      <c r="I103" s="808"/>
      <c r="K103" s="560"/>
      <c r="M103" s="275" t="b">
        <v>0</v>
      </c>
      <c r="N103" s="25" t="s">
        <v>344</v>
      </c>
      <c r="O103" s="25"/>
      <c r="P103" s="25" t="s">
        <v>345</v>
      </c>
      <c r="T103" s="458"/>
      <c r="U103" s="125"/>
      <c r="V103" s="130"/>
      <c r="W103" s="451"/>
      <c r="X103" s="131"/>
      <c r="Y103" s="451"/>
      <c r="Z103" s="131"/>
      <c r="AB103" s="45" t="b">
        <v>0</v>
      </c>
      <c r="AC103" s="9" t="s">
        <v>346</v>
      </c>
      <c r="AD103" s="131"/>
      <c r="AE103" s="101"/>
    </row>
    <row r="104" spans="1:31" ht="15" thickBot="1" x14ac:dyDescent="0.4">
      <c r="A104" s="551"/>
      <c r="B104" s="241">
        <f>B103+1</f>
        <v>193</v>
      </c>
      <c r="C104" s="561"/>
      <c r="G104" s="560"/>
      <c r="K104" s="560"/>
      <c r="M104" s="64" t="b">
        <v>0</v>
      </c>
      <c r="N104" t="s">
        <v>347</v>
      </c>
      <c r="P104" t="s">
        <v>348</v>
      </c>
      <c r="T104" s="458"/>
      <c r="U104" s="125"/>
      <c r="V104" s="130"/>
      <c r="W104" s="451"/>
      <c r="X104" s="131"/>
      <c r="Y104" s="451"/>
      <c r="Z104" s="131"/>
      <c r="AD104" s="127"/>
      <c r="AE104" s="66"/>
    </row>
    <row r="105" spans="1:31" ht="5.15" customHeight="1" thickBot="1" x14ac:dyDescent="0.4">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35">
      <c r="A106" s="550">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29" x14ac:dyDescent="0.35">
      <c r="A107" s="551"/>
      <c r="B107" s="241">
        <f>B102+10</f>
        <v>201</v>
      </c>
      <c r="C107" s="796"/>
      <c r="D107" s="3"/>
      <c r="E107" s="10"/>
      <c r="F107" s="3"/>
      <c r="G107" s="796"/>
      <c r="H107" s="3"/>
      <c r="I107" s="807"/>
      <c r="J107" s="3"/>
      <c r="K107" s="796"/>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29" x14ac:dyDescent="0.35">
      <c r="A108" s="551"/>
      <c r="B108" s="241">
        <f>B107+1</f>
        <v>202</v>
      </c>
      <c r="C108" s="560"/>
      <c r="G108" s="560"/>
      <c r="I108" s="808"/>
      <c r="K108" s="560"/>
      <c r="M108" s="275" t="b">
        <v>0</v>
      </c>
      <c r="N108" s="25" t="s">
        <v>344</v>
      </c>
      <c r="O108" s="25"/>
      <c r="P108" s="25" t="s">
        <v>345</v>
      </c>
      <c r="T108" s="458"/>
      <c r="U108" s="125"/>
      <c r="V108" s="130"/>
      <c r="W108" s="451"/>
      <c r="X108" s="131"/>
      <c r="Y108" s="451"/>
      <c r="Z108" s="131"/>
      <c r="AB108" s="45" t="b">
        <v>0</v>
      </c>
      <c r="AC108" s="9" t="s">
        <v>346</v>
      </c>
      <c r="AD108" s="131"/>
      <c r="AE108" s="101"/>
    </row>
    <row r="109" spans="1:31" ht="15" thickBot="1" x14ac:dyDescent="0.4">
      <c r="A109" s="551"/>
      <c r="B109" s="241">
        <f>B108+1</f>
        <v>203</v>
      </c>
      <c r="C109" s="561"/>
      <c r="G109" s="560"/>
      <c r="K109" s="560"/>
      <c r="M109" s="64" t="b">
        <v>0</v>
      </c>
      <c r="N109" t="s">
        <v>347</v>
      </c>
      <c r="P109" t="s">
        <v>348</v>
      </c>
      <c r="T109" s="458"/>
      <c r="U109" s="125"/>
      <c r="V109" s="130"/>
      <c r="W109" s="451"/>
      <c r="X109" s="131"/>
      <c r="Y109" s="451"/>
      <c r="Z109" s="131"/>
      <c r="AD109" s="127"/>
      <c r="AE109" s="66"/>
    </row>
    <row r="110" spans="1:31" ht="5.15" customHeight="1" thickBot="1" x14ac:dyDescent="0.4">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35">
      <c r="A111"/>
      <c r="B111"/>
    </row>
    <row r="112" spans="1:31"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6"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0">
      <formula>M27=FALSE</formula>
    </cfRule>
    <cfRule type="expression" dxfId="305" priority="71">
      <formula>AB28=TRUE</formula>
    </cfRule>
  </conditionalFormatting>
  <conditionalFormatting sqref="AD28">
    <cfRule type="expression" dxfId="304" priority="72">
      <formula>AND(AB28,M27)=TRUE</formula>
    </cfRule>
  </conditionalFormatting>
  <conditionalFormatting sqref="AD32">
    <cfRule type="expression" dxfId="303" priority="67">
      <formula>M32=FALSE</formula>
    </cfRule>
    <cfRule type="expression" dxfId="302" priority="68">
      <formula>AB33=TRUE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1">
      <formula>M42=FALSE</formula>
    </cfRule>
    <cfRule type="expression" dxfId="296" priority="62">
      <formula>AB43=TRUE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5">
      <formula>M52=FALSE</formula>
    </cfRule>
    <cfRule type="expression" dxfId="290" priority="56">
      <formula>AB53=TRUE</formula>
    </cfRule>
  </conditionalFormatting>
  <conditionalFormatting sqref="AD53">
    <cfRule type="expression" dxfId="289" priority="57">
      <formula>AND(AB53,M52)=TRUE</formula>
    </cfRule>
  </conditionalFormatting>
  <conditionalFormatting sqref="AD57">
    <cfRule type="expression" dxfId="288" priority="52">
      <formula>M57=FALSE</formula>
    </cfRule>
    <cfRule type="expression" dxfId="287" priority="53">
      <formula>AB58=TRUE</formula>
    </cfRule>
  </conditionalFormatting>
  <conditionalFormatting sqref="AD58">
    <cfRule type="expression" dxfId="286" priority="54">
      <formula>AND(AB58,M57)=TRUE</formula>
    </cfRule>
  </conditionalFormatting>
  <conditionalFormatting sqref="AD62">
    <cfRule type="expression" dxfId="285" priority="49">
      <formula>M62=FALSE</formula>
    </cfRule>
    <cfRule type="expression" dxfId="284" priority="50">
      <formula>AB63=TRUE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G18" sqref="G18:G22"/>
    </sheetView>
  </sheetViews>
  <sheetFormatPr defaultRowHeight="14.5" outlineLevelRow="1" x14ac:dyDescent="0.35"/>
  <cols>
    <col min="1" max="1" width="3.54296875" style="92" customWidth="1"/>
    <col min="2" max="2" width="7.26953125" style="92" hidden="1" customWidth="1"/>
    <col min="3" max="3" width="51.81640625" style="3" customWidth="1"/>
    <col min="4" max="4" width="5.81640625" style="25" customWidth="1"/>
    <col min="5" max="5" width="51.26953125" customWidth="1"/>
    <col min="6" max="6" width="0.54296875" customWidth="1"/>
    <col min="7" max="7" width="47.26953125" style="3" customWidth="1"/>
    <col min="8" max="8" width="0.453125" customWidth="1"/>
    <col min="9" max="9" width="34.7265625" style="3" customWidth="1"/>
    <col min="10" max="10" width="0.453125" customWidth="1"/>
    <col min="11" max="11" width="49.26953125" style="3" customWidth="1"/>
    <col min="12" max="12" width="2.1796875" customWidth="1"/>
  </cols>
  <sheetData>
    <row r="1" spans="1:37" ht="23.5" x14ac:dyDescent="0.35">
      <c r="A1" s="820" t="s">
        <v>351</v>
      </c>
      <c r="B1" s="820"/>
      <c r="C1" s="820"/>
      <c r="D1" s="820"/>
      <c r="E1" s="820"/>
    </row>
    <row r="2" spans="1:37" ht="19" thickBot="1" x14ac:dyDescent="0.5">
      <c r="D2" s="26"/>
      <c r="F2" s="12"/>
      <c r="H2" s="12"/>
      <c r="J2" s="12"/>
      <c r="L2" s="12"/>
    </row>
    <row r="3" spans="1:37" ht="19" thickBot="1" x14ac:dyDescent="0.4">
      <c r="C3" s="97" t="s">
        <v>113</v>
      </c>
      <c r="D3" s="27"/>
      <c r="E3" s="96" t="s">
        <v>352</v>
      </c>
      <c r="F3" s="7"/>
      <c r="G3" s="97" t="s">
        <v>268</v>
      </c>
      <c r="H3" s="7"/>
      <c r="I3" s="97" t="s">
        <v>353</v>
      </c>
      <c r="J3" s="7"/>
      <c r="K3" s="97" t="s">
        <v>354</v>
      </c>
      <c r="L3" s="7"/>
    </row>
    <row r="4" spans="1:37" s="3" customFormat="1" ht="291" hidden="1" customHeight="1" outlineLevel="1" x14ac:dyDescent="0.3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35">
      <c r="A5" s="655"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29" hidden="1" outlineLevel="1" x14ac:dyDescent="0.35">
      <c r="A6" s="655"/>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29" hidden="1" outlineLevel="1" x14ac:dyDescent="0.35">
      <c r="A7" s="655"/>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35">
      <c r="A8" s="655"/>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35">
      <c r="A9" s="655"/>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35">
      <c r="C10" s="8" t="s">
        <v>135</v>
      </c>
      <c r="D10" s="28"/>
      <c r="E10" s="8" t="s">
        <v>137</v>
      </c>
      <c r="F10" s="3"/>
      <c r="G10" s="8" t="s">
        <v>135</v>
      </c>
      <c r="H10" s="3"/>
      <c r="I10" s="8" t="s">
        <v>135</v>
      </c>
      <c r="J10" s="3"/>
      <c r="K10" s="8" t="s">
        <v>135</v>
      </c>
      <c r="L10" s="3"/>
    </row>
    <row r="11" spans="1:37" ht="6" customHeight="1" thickBot="1" x14ac:dyDescent="0.4">
      <c r="A11" s="93"/>
      <c r="B11" s="93"/>
      <c r="C11" s="33"/>
      <c r="D11" s="31"/>
      <c r="E11" s="30"/>
      <c r="F11" s="30"/>
      <c r="G11" s="33"/>
      <c r="H11" s="30"/>
      <c r="I11" s="33"/>
      <c r="J11" s="30"/>
      <c r="K11" s="33"/>
    </row>
    <row r="12" spans="1:37" ht="14.5" customHeight="1" x14ac:dyDescent="0.35">
      <c r="A12" s="821">
        <v>1</v>
      </c>
      <c r="B12" s="13">
        <f>A12+10</f>
        <v>11</v>
      </c>
      <c r="C12" s="798" t="s">
        <v>402</v>
      </c>
      <c r="D12" s="78"/>
      <c r="E12" s="76" t="s">
        <v>17</v>
      </c>
      <c r="F12" s="62"/>
      <c r="G12" s="824"/>
      <c r="H12" s="122"/>
      <c r="I12" s="795" t="s">
        <v>404</v>
      </c>
      <c r="J12" s="122"/>
      <c r="K12" s="817" t="s">
        <v>405</v>
      </c>
    </row>
    <row r="13" spans="1:37" ht="16.5" customHeight="1" x14ac:dyDescent="0.35">
      <c r="A13" s="822"/>
      <c r="B13" s="242">
        <f>B12+1</f>
        <v>12</v>
      </c>
      <c r="C13" s="799"/>
      <c r="E13" s="24" t="s">
        <v>136</v>
      </c>
      <c r="F13" s="24"/>
      <c r="G13" s="825"/>
      <c r="H13" s="125"/>
      <c r="I13" s="537"/>
      <c r="J13" s="125"/>
      <c r="K13" s="818"/>
    </row>
    <row r="14" spans="1:37" ht="14.5" customHeight="1" x14ac:dyDescent="0.35">
      <c r="A14" s="822"/>
      <c r="B14" s="242">
        <f>B13+1</f>
        <v>13</v>
      </c>
      <c r="C14" s="799"/>
      <c r="D14" s="79" t="b">
        <v>0</v>
      </c>
      <c r="E14" s="44" t="s">
        <v>363</v>
      </c>
      <c r="G14" s="825"/>
      <c r="H14" s="125"/>
      <c r="I14" s="537"/>
      <c r="J14" s="125"/>
      <c r="K14" s="818"/>
    </row>
    <row r="15" spans="1:37" ht="6.75" customHeight="1" x14ac:dyDescent="0.35">
      <c r="A15" s="822"/>
      <c r="B15" s="242">
        <f>B14+1</f>
        <v>14</v>
      </c>
      <c r="C15" s="799"/>
      <c r="D15" s="80"/>
      <c r="E15" s="44"/>
      <c r="G15" s="825"/>
      <c r="H15" s="125"/>
      <c r="I15" s="537"/>
      <c r="J15" s="125"/>
      <c r="K15" s="818"/>
    </row>
    <row r="16" spans="1:37" ht="29.5" customHeight="1" thickBot="1" x14ac:dyDescent="0.4">
      <c r="A16" s="823"/>
      <c r="B16" s="242">
        <f>B15+1</f>
        <v>15</v>
      </c>
      <c r="C16" s="801"/>
      <c r="D16" s="81" t="b">
        <v>0</v>
      </c>
      <c r="E16" s="58" t="s">
        <v>364</v>
      </c>
      <c r="F16" s="67"/>
      <c r="G16" s="826"/>
      <c r="H16" s="127"/>
      <c r="I16" s="797"/>
      <c r="J16" s="127"/>
      <c r="K16" s="819"/>
    </row>
    <row r="17" spans="1:11" ht="6" customHeight="1" thickBot="1" x14ac:dyDescent="0.4">
      <c r="A17" s="93"/>
      <c r="B17" s="93"/>
      <c r="C17" s="191"/>
      <c r="D17" s="31"/>
      <c r="E17" s="30"/>
      <c r="F17" s="30"/>
      <c r="G17" s="191"/>
      <c r="H17" s="132"/>
      <c r="I17" s="191"/>
      <c r="J17" s="132"/>
      <c r="K17" s="191"/>
    </row>
    <row r="18" spans="1:11" x14ac:dyDescent="0.35">
      <c r="A18" s="821">
        <f>A12+1</f>
        <v>2</v>
      </c>
      <c r="B18" s="36">
        <f>B12+10</f>
        <v>21</v>
      </c>
      <c r="C18" s="798" t="s">
        <v>403</v>
      </c>
      <c r="D18" s="78"/>
      <c r="E18" s="76" t="s">
        <v>17</v>
      </c>
      <c r="F18" s="62"/>
      <c r="G18" s="795"/>
      <c r="H18" s="122"/>
      <c r="I18" s="795" t="s">
        <v>404</v>
      </c>
      <c r="J18" s="122"/>
      <c r="K18" s="817" t="s">
        <v>406</v>
      </c>
    </row>
    <row r="19" spans="1:11" x14ac:dyDescent="0.35">
      <c r="A19" s="822"/>
      <c r="B19" s="36">
        <f>B13+10</f>
        <v>22</v>
      </c>
      <c r="C19" s="799"/>
      <c r="D19" s="44"/>
      <c r="E19" s="24" t="s">
        <v>136</v>
      </c>
      <c r="F19" s="24"/>
      <c r="G19" s="537"/>
      <c r="H19" s="125"/>
      <c r="I19" s="537"/>
      <c r="J19" s="125"/>
      <c r="K19" s="818"/>
    </row>
    <row r="20" spans="1:11" x14ac:dyDescent="0.35">
      <c r="A20" s="822"/>
      <c r="B20" s="36">
        <f>B14+10</f>
        <v>23</v>
      </c>
      <c r="C20" s="799"/>
      <c r="D20" s="79" t="b">
        <v>0</v>
      </c>
      <c r="E20" s="44" t="s">
        <v>363</v>
      </c>
      <c r="G20" s="537"/>
      <c r="H20" s="125"/>
      <c r="I20" s="537"/>
      <c r="J20" s="125"/>
      <c r="K20" s="818"/>
    </row>
    <row r="21" spans="1:11" ht="7.5" customHeight="1" x14ac:dyDescent="0.35">
      <c r="A21" s="822"/>
      <c r="B21" s="36">
        <f>B15+10</f>
        <v>24</v>
      </c>
      <c r="C21" s="799"/>
      <c r="D21" s="44"/>
      <c r="E21" s="44"/>
      <c r="G21" s="537"/>
      <c r="H21" s="125"/>
      <c r="I21" s="537"/>
      <c r="J21" s="125"/>
      <c r="K21" s="818"/>
    </row>
    <row r="22" spans="1:11" ht="29.5" thickBot="1" x14ac:dyDescent="0.4">
      <c r="A22" s="823"/>
      <c r="B22" s="36">
        <f>B16+10</f>
        <v>25</v>
      </c>
      <c r="C22" s="801"/>
      <c r="D22" s="81" t="b">
        <v>0</v>
      </c>
      <c r="E22" s="58" t="s">
        <v>364</v>
      </c>
      <c r="F22" s="67"/>
      <c r="G22" s="797"/>
      <c r="H22" s="127"/>
      <c r="I22" s="797"/>
      <c r="J22" s="127"/>
      <c r="K22" s="819"/>
    </row>
    <row r="23" spans="1:11" ht="6" customHeight="1" thickBot="1" x14ac:dyDescent="0.4">
      <c r="A23" s="93"/>
      <c r="B23" s="93"/>
      <c r="C23" s="191"/>
      <c r="D23" s="31"/>
      <c r="E23" s="30"/>
      <c r="F23" s="30"/>
      <c r="G23" s="191"/>
      <c r="H23" s="132"/>
      <c r="I23" s="191"/>
      <c r="J23" s="132"/>
      <c r="K23" s="191"/>
    </row>
    <row r="24" spans="1:11" x14ac:dyDescent="0.35">
      <c r="A24" s="811">
        <f>A18+1</f>
        <v>3</v>
      </c>
      <c r="B24" s="36">
        <f>B18+10</f>
        <v>31</v>
      </c>
      <c r="C24" s="814"/>
      <c r="D24" s="82"/>
      <c r="E24" s="83"/>
      <c r="F24" s="62"/>
      <c r="G24" s="795"/>
      <c r="H24" s="122"/>
      <c r="I24" s="795"/>
      <c r="J24" s="122"/>
      <c r="K24" s="817"/>
    </row>
    <row r="25" spans="1:11" x14ac:dyDescent="0.35">
      <c r="A25" s="812"/>
      <c r="B25" s="36">
        <f>B19+10</f>
        <v>32</v>
      </c>
      <c r="C25" s="815"/>
      <c r="D25" s="84"/>
      <c r="E25" s="24" t="s">
        <v>136</v>
      </c>
      <c r="F25" s="24"/>
      <c r="G25" s="537"/>
      <c r="H25" s="125"/>
      <c r="I25" s="537"/>
      <c r="J25" s="125"/>
      <c r="K25" s="818"/>
    </row>
    <row r="26" spans="1:11" x14ac:dyDescent="0.35">
      <c r="A26" s="812"/>
      <c r="B26" s="36">
        <f>B20+10</f>
        <v>33</v>
      </c>
      <c r="C26" s="815"/>
      <c r="D26" s="79" t="b">
        <v>0</v>
      </c>
      <c r="E26" s="44" t="s">
        <v>363</v>
      </c>
      <c r="G26" s="537"/>
      <c r="H26" s="125"/>
      <c r="I26" s="537"/>
      <c r="J26" s="125"/>
      <c r="K26" s="818"/>
    </row>
    <row r="27" spans="1:11" ht="6.75" customHeight="1" x14ac:dyDescent="0.35">
      <c r="A27" s="812"/>
      <c r="B27" s="36">
        <f>B21+10</f>
        <v>34</v>
      </c>
      <c r="C27" s="815"/>
      <c r="D27" s="80"/>
      <c r="E27" s="44"/>
      <c r="G27" s="537"/>
      <c r="H27" s="125"/>
      <c r="I27" s="537"/>
      <c r="J27" s="125"/>
      <c r="K27" s="818"/>
    </row>
    <row r="28" spans="1:11" ht="29.5" thickBot="1" x14ac:dyDescent="0.4">
      <c r="A28" s="813"/>
      <c r="B28" s="36">
        <f>B22+10</f>
        <v>35</v>
      </c>
      <c r="C28" s="816"/>
      <c r="D28" s="81" t="b">
        <v>0</v>
      </c>
      <c r="E28" s="58" t="s">
        <v>364</v>
      </c>
      <c r="F28" s="67"/>
      <c r="G28" s="797"/>
      <c r="H28" s="127"/>
      <c r="I28" s="797"/>
      <c r="J28" s="127"/>
      <c r="K28" s="819"/>
    </row>
    <row r="29" spans="1:11" ht="6" customHeight="1" thickBot="1" x14ac:dyDescent="0.4">
      <c r="A29" s="93"/>
      <c r="B29" s="93"/>
      <c r="C29" s="191"/>
      <c r="D29" s="31"/>
      <c r="E29" s="30"/>
      <c r="F29" s="30"/>
      <c r="G29" s="191"/>
      <c r="H29" s="132"/>
      <c r="I29" s="191"/>
      <c r="J29" s="132"/>
      <c r="K29" s="191"/>
    </row>
    <row r="30" spans="1:11" x14ac:dyDescent="0.35">
      <c r="A30" s="811">
        <f>A24+1</f>
        <v>4</v>
      </c>
      <c r="B30" s="36">
        <f>B24+10</f>
        <v>41</v>
      </c>
      <c r="C30" s="814"/>
      <c r="D30" s="82"/>
      <c r="E30" s="83"/>
      <c r="F30" s="62"/>
      <c r="G30" s="795"/>
      <c r="H30" s="122"/>
      <c r="I30" s="795"/>
      <c r="J30" s="122"/>
      <c r="K30" s="817"/>
    </row>
    <row r="31" spans="1:11" x14ac:dyDescent="0.35">
      <c r="A31" s="812"/>
      <c r="B31" s="36">
        <f>B25+10</f>
        <v>42</v>
      </c>
      <c r="C31" s="815"/>
      <c r="D31" s="84"/>
      <c r="E31" s="24" t="s">
        <v>136</v>
      </c>
      <c r="F31" s="24"/>
      <c r="G31" s="537"/>
      <c r="H31" s="125"/>
      <c r="I31" s="537"/>
      <c r="J31" s="125"/>
      <c r="K31" s="818"/>
    </row>
    <row r="32" spans="1:11" x14ac:dyDescent="0.35">
      <c r="A32" s="812"/>
      <c r="B32" s="36">
        <f>B26+10</f>
        <v>43</v>
      </c>
      <c r="C32" s="815"/>
      <c r="D32" s="79" t="b">
        <v>0</v>
      </c>
      <c r="E32" s="44" t="s">
        <v>363</v>
      </c>
      <c r="G32" s="537"/>
      <c r="H32" s="125"/>
      <c r="I32" s="537"/>
      <c r="J32" s="125"/>
      <c r="K32" s="818"/>
    </row>
    <row r="33" spans="1:11" ht="6.75" customHeight="1" x14ac:dyDescent="0.35">
      <c r="A33" s="812"/>
      <c r="B33" s="36">
        <f>B27+10</f>
        <v>44</v>
      </c>
      <c r="C33" s="815"/>
      <c r="D33" s="80"/>
      <c r="E33" s="44"/>
      <c r="G33" s="537"/>
      <c r="H33" s="125"/>
      <c r="I33" s="537"/>
      <c r="J33" s="125"/>
      <c r="K33" s="818"/>
    </row>
    <row r="34" spans="1:11" ht="29.5" thickBot="1" x14ac:dyDescent="0.4">
      <c r="A34" s="813"/>
      <c r="B34" s="36">
        <f>B28+10</f>
        <v>45</v>
      </c>
      <c r="C34" s="816"/>
      <c r="D34" s="81" t="b">
        <v>0</v>
      </c>
      <c r="E34" s="58" t="s">
        <v>364</v>
      </c>
      <c r="F34" s="67"/>
      <c r="G34" s="797"/>
      <c r="H34" s="127"/>
      <c r="I34" s="797"/>
      <c r="J34" s="127"/>
      <c r="K34" s="819"/>
    </row>
    <row r="35" spans="1:11" ht="6" customHeight="1" thickBot="1" x14ac:dyDescent="0.4">
      <c r="A35" s="93"/>
      <c r="B35" s="93"/>
      <c r="C35" s="191"/>
      <c r="D35" s="31"/>
      <c r="E35" s="30"/>
      <c r="F35" s="30"/>
      <c r="G35" s="191"/>
      <c r="H35" s="132"/>
      <c r="I35" s="191"/>
      <c r="J35" s="132"/>
      <c r="K35" s="191"/>
    </row>
    <row r="36" spans="1:11" x14ac:dyDescent="0.35">
      <c r="A36" s="811">
        <f>A30+1</f>
        <v>5</v>
      </c>
      <c r="B36" s="36">
        <f>B30+10</f>
        <v>51</v>
      </c>
      <c r="C36" s="814"/>
      <c r="D36" s="82"/>
      <c r="E36" s="83"/>
      <c r="F36" s="62"/>
      <c r="G36" s="795"/>
      <c r="H36" s="122"/>
      <c r="I36" s="795"/>
      <c r="J36" s="122"/>
      <c r="K36" s="817"/>
    </row>
    <row r="37" spans="1:11" x14ac:dyDescent="0.35">
      <c r="A37" s="812"/>
      <c r="B37" s="36">
        <f>B31+10</f>
        <v>52</v>
      </c>
      <c r="C37" s="815"/>
      <c r="D37" s="84"/>
      <c r="E37" s="24" t="s">
        <v>136</v>
      </c>
      <c r="F37" s="24"/>
      <c r="G37" s="537"/>
      <c r="H37" s="125"/>
      <c r="I37" s="537"/>
      <c r="J37" s="125"/>
      <c r="K37" s="818"/>
    </row>
    <row r="38" spans="1:11" x14ac:dyDescent="0.35">
      <c r="A38" s="812"/>
      <c r="B38" s="36">
        <f>B32+10</f>
        <v>53</v>
      </c>
      <c r="C38" s="815"/>
      <c r="D38" s="85" t="b">
        <v>0</v>
      </c>
      <c r="E38" s="44" t="s">
        <v>363</v>
      </c>
      <c r="G38" s="537"/>
      <c r="H38" s="125"/>
      <c r="I38" s="537"/>
      <c r="J38" s="125"/>
      <c r="K38" s="818"/>
    </row>
    <row r="39" spans="1:11" ht="6.75" customHeight="1" x14ac:dyDescent="0.35">
      <c r="A39" s="812"/>
      <c r="B39" s="36">
        <f>B33+10</f>
        <v>54</v>
      </c>
      <c r="C39" s="815"/>
      <c r="D39" s="80"/>
      <c r="E39" s="44"/>
      <c r="G39" s="537"/>
      <c r="H39" s="125"/>
      <c r="I39" s="537"/>
      <c r="J39" s="125"/>
      <c r="K39" s="818"/>
    </row>
    <row r="40" spans="1:11" ht="29.5" thickBot="1" x14ac:dyDescent="0.4">
      <c r="A40" s="813"/>
      <c r="B40" s="36">
        <f>B34+10</f>
        <v>55</v>
      </c>
      <c r="C40" s="816"/>
      <c r="D40" s="81" t="b">
        <v>0</v>
      </c>
      <c r="E40" s="58" t="s">
        <v>364</v>
      </c>
      <c r="F40" s="67"/>
      <c r="G40" s="797"/>
      <c r="H40" s="127"/>
      <c r="I40" s="797"/>
      <c r="J40" s="127"/>
      <c r="K40" s="819"/>
    </row>
    <row r="41" spans="1:11" ht="6" customHeight="1" thickBot="1" x14ac:dyDescent="0.4">
      <c r="A41" s="93"/>
      <c r="B41" s="93"/>
      <c r="C41" s="191"/>
      <c r="D41" s="31"/>
      <c r="E41" s="30"/>
      <c r="F41" s="30"/>
      <c r="G41" s="191"/>
      <c r="H41" s="132"/>
      <c r="I41" s="191"/>
      <c r="J41" s="132"/>
      <c r="K41" s="191"/>
    </row>
    <row r="42" spans="1:11" x14ac:dyDescent="0.35">
      <c r="A42" s="811">
        <f>A36+1</f>
        <v>6</v>
      </c>
      <c r="B42" s="36">
        <f>B36+10</f>
        <v>61</v>
      </c>
      <c r="C42" s="814"/>
      <c r="D42" s="82"/>
      <c r="E42" s="83"/>
      <c r="F42" s="62"/>
      <c r="G42" s="795"/>
      <c r="H42" s="122"/>
      <c r="I42" s="795"/>
      <c r="J42" s="122"/>
      <c r="K42" s="817"/>
    </row>
    <row r="43" spans="1:11" x14ac:dyDescent="0.35">
      <c r="A43" s="812"/>
      <c r="B43" s="36">
        <f>B37+10</f>
        <v>62</v>
      </c>
      <c r="C43" s="815"/>
      <c r="D43" s="84"/>
      <c r="E43" s="24" t="s">
        <v>136</v>
      </c>
      <c r="F43" s="24"/>
      <c r="G43" s="537"/>
      <c r="H43" s="125"/>
      <c r="I43" s="537"/>
      <c r="J43" s="125"/>
      <c r="K43" s="818"/>
    </row>
    <row r="44" spans="1:11" x14ac:dyDescent="0.35">
      <c r="A44" s="812"/>
      <c r="B44" s="36">
        <f>B38+10</f>
        <v>63</v>
      </c>
      <c r="C44" s="815"/>
      <c r="D44" s="79" t="b">
        <v>0</v>
      </c>
      <c r="E44" s="44" t="s">
        <v>363</v>
      </c>
      <c r="G44" s="537"/>
      <c r="H44" s="125"/>
      <c r="I44" s="537"/>
      <c r="J44" s="125"/>
      <c r="K44" s="818"/>
    </row>
    <row r="45" spans="1:11" ht="6.75" customHeight="1" x14ac:dyDescent="0.35">
      <c r="A45" s="812"/>
      <c r="B45" s="36">
        <f>B39+10</f>
        <v>64</v>
      </c>
      <c r="C45" s="815"/>
      <c r="D45" s="80"/>
      <c r="E45" s="44"/>
      <c r="G45" s="537"/>
      <c r="H45" s="125"/>
      <c r="I45" s="537"/>
      <c r="J45" s="125"/>
      <c r="K45" s="818"/>
    </row>
    <row r="46" spans="1:11" ht="29.5" thickBot="1" x14ac:dyDescent="0.4">
      <c r="A46" s="813"/>
      <c r="B46" s="36">
        <f>B40+10</f>
        <v>65</v>
      </c>
      <c r="C46" s="816"/>
      <c r="D46" s="81" t="b">
        <v>0</v>
      </c>
      <c r="E46" s="58" t="s">
        <v>364</v>
      </c>
      <c r="F46" s="67"/>
      <c r="G46" s="797"/>
      <c r="H46" s="127"/>
      <c r="I46" s="797"/>
      <c r="J46" s="127"/>
      <c r="K46" s="819"/>
    </row>
    <row r="47" spans="1:11" ht="6" customHeight="1" thickBot="1" x14ac:dyDescent="0.4">
      <c r="A47" s="93"/>
      <c r="B47" s="93"/>
      <c r="C47" s="191"/>
      <c r="D47" s="31"/>
      <c r="E47" s="30"/>
      <c r="F47" s="30"/>
      <c r="G47" s="191"/>
      <c r="H47" s="132"/>
      <c r="I47" s="191"/>
      <c r="J47" s="132"/>
      <c r="K47" s="191"/>
    </row>
    <row r="48" spans="1:11" x14ac:dyDescent="0.35">
      <c r="A48" s="811">
        <f>A42+1</f>
        <v>7</v>
      </c>
      <c r="B48" s="36">
        <f>B42+10</f>
        <v>71</v>
      </c>
      <c r="C48" s="814"/>
      <c r="D48" s="82"/>
      <c r="E48" s="83"/>
      <c r="F48" s="62"/>
      <c r="G48" s="795"/>
      <c r="H48" s="122"/>
      <c r="I48" s="795"/>
      <c r="J48" s="122"/>
      <c r="K48" s="817"/>
    </row>
    <row r="49" spans="1:11" x14ac:dyDescent="0.35">
      <c r="A49" s="812"/>
      <c r="B49" s="36">
        <f>B43+10</f>
        <v>72</v>
      </c>
      <c r="C49" s="815"/>
      <c r="D49" s="84"/>
      <c r="E49" s="24" t="s">
        <v>136</v>
      </c>
      <c r="F49" s="24"/>
      <c r="G49" s="537"/>
      <c r="H49" s="125"/>
      <c r="I49" s="537"/>
      <c r="J49" s="125"/>
      <c r="K49" s="818"/>
    </row>
    <row r="50" spans="1:11" x14ac:dyDescent="0.35">
      <c r="A50" s="812"/>
      <c r="B50" s="36">
        <f>B44+10</f>
        <v>73</v>
      </c>
      <c r="C50" s="815"/>
      <c r="D50" s="79" t="b">
        <v>0</v>
      </c>
      <c r="E50" s="44" t="s">
        <v>363</v>
      </c>
      <c r="G50" s="537"/>
      <c r="H50" s="125"/>
      <c r="I50" s="537"/>
      <c r="J50" s="125"/>
      <c r="K50" s="818"/>
    </row>
    <row r="51" spans="1:11" ht="6.75" customHeight="1" x14ac:dyDescent="0.35">
      <c r="A51" s="812"/>
      <c r="B51" s="36">
        <f>B45+10</f>
        <v>74</v>
      </c>
      <c r="C51" s="815"/>
      <c r="D51" s="80"/>
      <c r="E51" s="44"/>
      <c r="G51" s="537"/>
      <c r="H51" s="125"/>
      <c r="I51" s="537"/>
      <c r="J51" s="125"/>
      <c r="K51" s="818"/>
    </row>
    <row r="52" spans="1:11" ht="29.5" thickBot="1" x14ac:dyDescent="0.4">
      <c r="A52" s="813"/>
      <c r="B52" s="36">
        <f>B46+10</f>
        <v>75</v>
      </c>
      <c r="C52" s="816"/>
      <c r="D52" s="81" t="b">
        <v>0</v>
      </c>
      <c r="E52" s="58" t="s">
        <v>364</v>
      </c>
      <c r="F52" s="67"/>
      <c r="G52" s="797"/>
      <c r="H52" s="127"/>
      <c r="I52" s="797"/>
      <c r="J52" s="127"/>
      <c r="K52" s="819"/>
    </row>
    <row r="53" spans="1:11" ht="6" customHeight="1" thickBot="1" x14ac:dyDescent="0.4">
      <c r="A53" s="93"/>
      <c r="B53" s="93"/>
      <c r="C53" s="191"/>
      <c r="D53" s="31"/>
      <c r="E53" s="30"/>
      <c r="F53" s="30"/>
      <c r="G53" s="191"/>
      <c r="H53" s="132"/>
      <c r="I53" s="191"/>
      <c r="J53" s="132"/>
      <c r="K53" s="191"/>
    </row>
    <row r="54" spans="1:11" x14ac:dyDescent="0.35">
      <c r="A54" s="811">
        <f>A48+1</f>
        <v>8</v>
      </c>
      <c r="B54" s="36">
        <f>B48+10</f>
        <v>81</v>
      </c>
      <c r="C54" s="814"/>
      <c r="D54" s="82"/>
      <c r="E54" s="83"/>
      <c r="F54" s="62"/>
      <c r="G54" s="795"/>
      <c r="H54" s="122"/>
      <c r="I54" s="795"/>
      <c r="J54" s="122"/>
      <c r="K54" s="817"/>
    </row>
    <row r="55" spans="1:11" x14ac:dyDescent="0.35">
      <c r="A55" s="812"/>
      <c r="B55" s="36">
        <f>B49+10</f>
        <v>82</v>
      </c>
      <c r="C55" s="815"/>
      <c r="D55" s="84"/>
      <c r="E55" s="24" t="s">
        <v>136</v>
      </c>
      <c r="F55" s="24"/>
      <c r="G55" s="537"/>
      <c r="H55" s="125"/>
      <c r="I55" s="537"/>
      <c r="J55" s="125"/>
      <c r="K55" s="818"/>
    </row>
    <row r="56" spans="1:11" x14ac:dyDescent="0.35">
      <c r="A56" s="812"/>
      <c r="B56" s="36">
        <f>B50+10</f>
        <v>83</v>
      </c>
      <c r="C56" s="815"/>
      <c r="D56" s="79" t="b">
        <v>0</v>
      </c>
      <c r="E56" s="44" t="s">
        <v>363</v>
      </c>
      <c r="G56" s="537"/>
      <c r="H56" s="125"/>
      <c r="I56" s="537"/>
      <c r="J56" s="125"/>
      <c r="K56" s="818"/>
    </row>
    <row r="57" spans="1:11" ht="6.75" customHeight="1" x14ac:dyDescent="0.35">
      <c r="A57" s="812"/>
      <c r="B57" s="36">
        <f>B51+10</f>
        <v>84</v>
      </c>
      <c r="C57" s="815"/>
      <c r="D57" s="80"/>
      <c r="E57" s="44"/>
      <c r="G57" s="537"/>
      <c r="H57" s="125"/>
      <c r="I57" s="537"/>
      <c r="J57" s="125"/>
      <c r="K57" s="818"/>
    </row>
    <row r="58" spans="1:11" ht="29.5" thickBot="1" x14ac:dyDescent="0.4">
      <c r="A58" s="813"/>
      <c r="B58" s="36">
        <f>B52+10</f>
        <v>85</v>
      </c>
      <c r="C58" s="816"/>
      <c r="D58" s="81" t="b">
        <v>0</v>
      </c>
      <c r="E58" s="58" t="s">
        <v>364</v>
      </c>
      <c r="F58" s="67"/>
      <c r="G58" s="797"/>
      <c r="H58" s="127"/>
      <c r="I58" s="797"/>
      <c r="J58" s="127"/>
      <c r="K58" s="819"/>
    </row>
    <row r="59" spans="1:11" ht="6" customHeight="1" thickBot="1" x14ac:dyDescent="0.4">
      <c r="A59" s="93"/>
      <c r="B59" s="93"/>
      <c r="C59" s="191"/>
      <c r="D59" s="31"/>
      <c r="E59" s="30"/>
      <c r="F59" s="30"/>
      <c r="G59" s="191"/>
      <c r="H59" s="132"/>
      <c r="I59" s="191"/>
      <c r="J59" s="132"/>
      <c r="K59" s="191"/>
    </row>
    <row r="60" spans="1:11" x14ac:dyDescent="0.35">
      <c r="A60" s="811">
        <f>A54+1</f>
        <v>9</v>
      </c>
      <c r="B60" s="36">
        <f>B54+10</f>
        <v>91</v>
      </c>
      <c r="C60" s="814"/>
      <c r="D60" s="82"/>
      <c r="E60" s="83"/>
      <c r="F60" s="62"/>
      <c r="G60" s="795"/>
      <c r="H60" s="122"/>
      <c r="I60" s="795"/>
      <c r="J60" s="122"/>
      <c r="K60" s="817"/>
    </row>
    <row r="61" spans="1:11" x14ac:dyDescent="0.35">
      <c r="A61" s="812"/>
      <c r="B61" s="36">
        <f>B55+10</f>
        <v>92</v>
      </c>
      <c r="C61" s="815"/>
      <c r="D61" s="84"/>
      <c r="E61" s="24" t="s">
        <v>136</v>
      </c>
      <c r="F61" s="24"/>
      <c r="G61" s="537"/>
      <c r="H61" s="125"/>
      <c r="I61" s="537"/>
      <c r="J61" s="125"/>
      <c r="K61" s="818"/>
    </row>
    <row r="62" spans="1:11" x14ac:dyDescent="0.35">
      <c r="A62" s="812"/>
      <c r="B62" s="36">
        <f>B56+10</f>
        <v>93</v>
      </c>
      <c r="C62" s="815"/>
      <c r="D62" s="79" t="b">
        <v>0</v>
      </c>
      <c r="E62" s="44" t="s">
        <v>363</v>
      </c>
      <c r="G62" s="537"/>
      <c r="H62" s="125"/>
      <c r="I62" s="537"/>
      <c r="J62" s="125"/>
      <c r="K62" s="818"/>
    </row>
    <row r="63" spans="1:11" ht="6.75" customHeight="1" x14ac:dyDescent="0.35">
      <c r="A63" s="812"/>
      <c r="B63" s="36">
        <f>B57+10</f>
        <v>94</v>
      </c>
      <c r="C63" s="815"/>
      <c r="D63" s="80"/>
      <c r="E63" s="44"/>
      <c r="G63" s="537"/>
      <c r="H63" s="125"/>
      <c r="I63" s="537"/>
      <c r="J63" s="125"/>
      <c r="K63" s="818"/>
    </row>
    <row r="64" spans="1:11" ht="29.5" thickBot="1" x14ac:dyDescent="0.4">
      <c r="A64" s="813"/>
      <c r="B64" s="36">
        <f>B58+10</f>
        <v>95</v>
      </c>
      <c r="C64" s="816"/>
      <c r="D64" s="81" t="b">
        <v>0</v>
      </c>
      <c r="E64" s="58" t="s">
        <v>364</v>
      </c>
      <c r="F64" s="67"/>
      <c r="G64" s="797"/>
      <c r="H64" s="127"/>
      <c r="I64" s="797"/>
      <c r="J64" s="127"/>
      <c r="K64" s="819"/>
    </row>
    <row r="65" spans="1:11" ht="6" customHeight="1" thickBot="1" x14ac:dyDescent="0.4">
      <c r="A65" s="93"/>
      <c r="B65" s="93"/>
      <c r="C65" s="191"/>
      <c r="D65" s="31"/>
      <c r="E65" s="30"/>
      <c r="F65" s="30"/>
      <c r="G65" s="191"/>
      <c r="H65" s="132"/>
      <c r="I65" s="191"/>
      <c r="J65" s="132"/>
      <c r="K65" s="191"/>
    </row>
    <row r="66" spans="1:11" x14ac:dyDescent="0.35">
      <c r="A66" s="811">
        <f>A60+1</f>
        <v>10</v>
      </c>
      <c r="B66" s="36">
        <f>B60+10</f>
        <v>101</v>
      </c>
      <c r="C66" s="814"/>
      <c r="D66" s="82"/>
      <c r="E66" s="83"/>
      <c r="F66" s="62"/>
      <c r="G66" s="795"/>
      <c r="H66" s="122"/>
      <c r="I66" s="795"/>
      <c r="J66" s="122"/>
      <c r="K66" s="817"/>
    </row>
    <row r="67" spans="1:11" x14ac:dyDescent="0.35">
      <c r="A67" s="812"/>
      <c r="B67" s="36">
        <f>B61+10</f>
        <v>102</v>
      </c>
      <c r="C67" s="815"/>
      <c r="D67" s="84"/>
      <c r="E67" s="24" t="s">
        <v>136</v>
      </c>
      <c r="F67" s="24"/>
      <c r="G67" s="537"/>
      <c r="H67" s="125"/>
      <c r="I67" s="537"/>
      <c r="J67" s="125"/>
      <c r="K67" s="818"/>
    </row>
    <row r="68" spans="1:11" x14ac:dyDescent="0.35">
      <c r="A68" s="812"/>
      <c r="B68" s="36">
        <f>B62+10</f>
        <v>103</v>
      </c>
      <c r="C68" s="815"/>
      <c r="D68" s="79" t="b">
        <v>0</v>
      </c>
      <c r="E68" s="44" t="s">
        <v>363</v>
      </c>
      <c r="G68" s="537"/>
      <c r="H68" s="125"/>
      <c r="I68" s="537"/>
      <c r="J68" s="125"/>
      <c r="K68" s="818"/>
    </row>
    <row r="69" spans="1:11" ht="6.75" customHeight="1" x14ac:dyDescent="0.35">
      <c r="A69" s="812"/>
      <c r="B69" s="36">
        <f>B63+10</f>
        <v>104</v>
      </c>
      <c r="C69" s="815"/>
      <c r="D69" s="80"/>
      <c r="E69" s="44"/>
      <c r="G69" s="537"/>
      <c r="H69" s="125"/>
      <c r="I69" s="537"/>
      <c r="J69" s="125"/>
      <c r="K69" s="818"/>
    </row>
    <row r="70" spans="1:11" ht="29.5" thickBot="1" x14ac:dyDescent="0.4">
      <c r="A70" s="813"/>
      <c r="B70" s="36">
        <f>B64+10</f>
        <v>105</v>
      </c>
      <c r="C70" s="816"/>
      <c r="D70" s="81" t="b">
        <v>0</v>
      </c>
      <c r="E70" s="58" t="s">
        <v>364</v>
      </c>
      <c r="F70" s="67"/>
      <c r="G70" s="797"/>
      <c r="H70" s="127"/>
      <c r="I70" s="797"/>
      <c r="J70" s="127"/>
      <c r="K70" s="819"/>
    </row>
    <row r="71" spans="1:11" ht="6" customHeight="1" thickBot="1" x14ac:dyDescent="0.4">
      <c r="A71" s="93"/>
      <c r="B71" s="93"/>
      <c r="C71" s="191"/>
      <c r="D71" s="31"/>
      <c r="E71" s="30"/>
      <c r="F71" s="30"/>
      <c r="G71" s="191"/>
      <c r="H71" s="132"/>
      <c r="I71" s="191"/>
      <c r="J71" s="132"/>
      <c r="K71" s="191"/>
    </row>
    <row r="72" spans="1:11" x14ac:dyDescent="0.35">
      <c r="A72" s="811">
        <f>A66+1</f>
        <v>11</v>
      </c>
      <c r="B72" s="36">
        <f>B66+10</f>
        <v>111</v>
      </c>
      <c r="C72" s="814"/>
      <c r="D72" s="82"/>
      <c r="E72" s="83"/>
      <c r="F72" s="62"/>
      <c r="G72" s="795"/>
      <c r="H72" s="122"/>
      <c r="I72" s="795"/>
      <c r="J72" s="122"/>
      <c r="K72" s="817"/>
    </row>
    <row r="73" spans="1:11" x14ac:dyDescent="0.35">
      <c r="A73" s="812"/>
      <c r="B73" s="36">
        <f>B67+10</f>
        <v>112</v>
      </c>
      <c r="C73" s="815"/>
      <c r="D73" s="84"/>
      <c r="E73" s="24" t="s">
        <v>136</v>
      </c>
      <c r="F73" s="24"/>
      <c r="G73" s="537"/>
      <c r="H73" s="125"/>
      <c r="I73" s="537"/>
      <c r="J73" s="125"/>
      <c r="K73" s="818"/>
    </row>
    <row r="74" spans="1:11" x14ac:dyDescent="0.35">
      <c r="A74" s="812"/>
      <c r="B74" s="36">
        <f>B68+10</f>
        <v>113</v>
      </c>
      <c r="C74" s="815"/>
      <c r="D74" s="79" t="b">
        <v>0</v>
      </c>
      <c r="E74" s="44" t="s">
        <v>363</v>
      </c>
      <c r="G74" s="537"/>
      <c r="H74" s="125"/>
      <c r="I74" s="537"/>
      <c r="J74" s="125"/>
      <c r="K74" s="818"/>
    </row>
    <row r="75" spans="1:11" ht="6.75" customHeight="1" x14ac:dyDescent="0.35">
      <c r="A75" s="812"/>
      <c r="B75" s="36">
        <f>B69+10</f>
        <v>114</v>
      </c>
      <c r="C75" s="815"/>
      <c r="D75" s="80"/>
      <c r="E75" s="44"/>
      <c r="G75" s="537"/>
      <c r="H75" s="125"/>
      <c r="I75" s="537"/>
      <c r="J75" s="125"/>
      <c r="K75" s="818"/>
    </row>
    <row r="76" spans="1:11" ht="29.5" thickBot="1" x14ac:dyDescent="0.4">
      <c r="A76" s="813"/>
      <c r="B76" s="36">
        <f>B70+10</f>
        <v>115</v>
      </c>
      <c r="C76" s="816"/>
      <c r="D76" s="81" t="b">
        <v>0</v>
      </c>
      <c r="E76" s="58" t="s">
        <v>364</v>
      </c>
      <c r="F76" s="67"/>
      <c r="G76" s="797"/>
      <c r="H76" s="127"/>
      <c r="I76" s="797"/>
      <c r="J76" s="127"/>
      <c r="K76" s="819"/>
    </row>
    <row r="77" spans="1:11" ht="6" customHeight="1" thickBot="1" x14ac:dyDescent="0.4">
      <c r="A77" s="93"/>
      <c r="B77" s="93"/>
      <c r="C77" s="191"/>
      <c r="D77" s="31"/>
      <c r="E77" s="30"/>
      <c r="F77" s="30"/>
      <c r="G77" s="191"/>
      <c r="H77" s="132"/>
      <c r="I77" s="191"/>
      <c r="J77" s="132"/>
      <c r="K77" s="191"/>
    </row>
    <row r="78" spans="1:11" x14ac:dyDescent="0.35">
      <c r="A78" s="811">
        <f>A72+1</f>
        <v>12</v>
      </c>
      <c r="B78" s="36">
        <f>B72+10</f>
        <v>121</v>
      </c>
      <c r="C78" s="814"/>
      <c r="D78" s="82"/>
      <c r="E78" s="83"/>
      <c r="F78" s="62"/>
      <c r="G78" s="795"/>
      <c r="H78" s="122"/>
      <c r="I78" s="795"/>
      <c r="J78" s="122"/>
      <c r="K78" s="817"/>
    </row>
    <row r="79" spans="1:11" x14ac:dyDescent="0.35">
      <c r="A79" s="812"/>
      <c r="B79" s="36">
        <f>B73+10</f>
        <v>122</v>
      </c>
      <c r="C79" s="815"/>
      <c r="D79" s="84"/>
      <c r="E79" s="24" t="s">
        <v>136</v>
      </c>
      <c r="F79" s="24"/>
      <c r="G79" s="537"/>
      <c r="H79" s="125"/>
      <c r="I79" s="537"/>
      <c r="J79" s="125"/>
      <c r="K79" s="818"/>
    </row>
    <row r="80" spans="1:11" x14ac:dyDescent="0.35">
      <c r="A80" s="812"/>
      <c r="B80" s="36">
        <f>B74+10</f>
        <v>123</v>
      </c>
      <c r="C80" s="815"/>
      <c r="D80" s="79" t="b">
        <v>0</v>
      </c>
      <c r="E80" s="44" t="s">
        <v>363</v>
      </c>
      <c r="G80" s="537"/>
      <c r="H80" s="125"/>
      <c r="I80" s="537"/>
      <c r="J80" s="125"/>
      <c r="K80" s="818"/>
    </row>
    <row r="81" spans="1:11" ht="6.75" customHeight="1" x14ac:dyDescent="0.35">
      <c r="A81" s="812"/>
      <c r="B81" s="36">
        <f>B75+10</f>
        <v>124</v>
      </c>
      <c r="C81" s="815"/>
      <c r="D81" s="80"/>
      <c r="E81" s="44"/>
      <c r="G81" s="537"/>
      <c r="H81" s="125"/>
      <c r="I81" s="537"/>
      <c r="J81" s="125"/>
      <c r="K81" s="818"/>
    </row>
    <row r="82" spans="1:11" ht="29.5" thickBot="1" x14ac:dyDescent="0.4">
      <c r="A82" s="813"/>
      <c r="B82" s="36">
        <f>B76+10</f>
        <v>125</v>
      </c>
      <c r="C82" s="816"/>
      <c r="D82" s="81" t="b">
        <v>0</v>
      </c>
      <c r="E82" s="58" t="s">
        <v>364</v>
      </c>
      <c r="F82" s="67"/>
      <c r="G82" s="797"/>
      <c r="H82" s="127"/>
      <c r="I82" s="797"/>
      <c r="J82" s="127"/>
      <c r="K82" s="819"/>
    </row>
    <row r="83" spans="1:11" ht="6" customHeight="1" thickBot="1" x14ac:dyDescent="0.4">
      <c r="A83" s="93"/>
      <c r="B83" s="93"/>
      <c r="C83" s="191"/>
      <c r="D83" s="31"/>
      <c r="E83" s="30"/>
      <c r="F83" s="30"/>
      <c r="G83" s="191"/>
      <c r="H83" s="132"/>
      <c r="I83" s="191"/>
      <c r="J83" s="132"/>
      <c r="K83" s="191"/>
    </row>
    <row r="84" spans="1:11" x14ac:dyDescent="0.35">
      <c r="A84" s="811">
        <f>A78+1</f>
        <v>13</v>
      </c>
      <c r="B84" s="36">
        <f>B78+10</f>
        <v>131</v>
      </c>
      <c r="C84" s="814"/>
      <c r="D84" s="82"/>
      <c r="E84" s="83"/>
      <c r="F84" s="62"/>
      <c r="G84" s="795"/>
      <c r="H84" s="122"/>
      <c r="I84" s="795"/>
      <c r="J84" s="122"/>
      <c r="K84" s="817"/>
    </row>
    <row r="85" spans="1:11" x14ac:dyDescent="0.35">
      <c r="A85" s="812"/>
      <c r="B85" s="36">
        <f>B79+10</f>
        <v>132</v>
      </c>
      <c r="C85" s="815"/>
      <c r="D85" s="84"/>
      <c r="E85" s="24" t="s">
        <v>136</v>
      </c>
      <c r="F85" s="24"/>
      <c r="G85" s="537"/>
      <c r="H85" s="125"/>
      <c r="I85" s="537"/>
      <c r="J85" s="125"/>
      <c r="K85" s="818"/>
    </row>
    <row r="86" spans="1:11" x14ac:dyDescent="0.35">
      <c r="A86" s="812"/>
      <c r="B86" s="36">
        <f>B80+10</f>
        <v>133</v>
      </c>
      <c r="C86" s="815"/>
      <c r="D86" s="79" t="b">
        <v>0</v>
      </c>
      <c r="E86" s="44" t="s">
        <v>363</v>
      </c>
      <c r="G86" s="537"/>
      <c r="H86" s="125"/>
      <c r="I86" s="537"/>
      <c r="J86" s="125"/>
      <c r="K86" s="818"/>
    </row>
    <row r="87" spans="1:11" ht="6.75" customHeight="1" x14ac:dyDescent="0.35">
      <c r="A87" s="812"/>
      <c r="B87" s="36">
        <f>B81+10</f>
        <v>134</v>
      </c>
      <c r="C87" s="815"/>
      <c r="D87" s="80"/>
      <c r="E87" s="44"/>
      <c r="G87" s="537"/>
      <c r="H87" s="125"/>
      <c r="I87" s="537"/>
      <c r="J87" s="125"/>
      <c r="K87" s="818"/>
    </row>
    <row r="88" spans="1:11" ht="29.5" thickBot="1" x14ac:dyDescent="0.4">
      <c r="A88" s="813"/>
      <c r="B88" s="36">
        <f>B82+10</f>
        <v>135</v>
      </c>
      <c r="C88" s="816"/>
      <c r="D88" s="81" t="b">
        <v>0</v>
      </c>
      <c r="E88" s="58" t="s">
        <v>364</v>
      </c>
      <c r="F88" s="67"/>
      <c r="G88" s="797"/>
      <c r="H88" s="127"/>
      <c r="I88" s="797"/>
      <c r="J88" s="127"/>
      <c r="K88" s="819"/>
    </row>
    <row r="89" spans="1:11" ht="6" customHeight="1" thickBot="1" x14ac:dyDescent="0.4">
      <c r="A89" s="93"/>
      <c r="B89" s="93"/>
      <c r="C89" s="191"/>
      <c r="D89" s="31"/>
      <c r="E89" s="30"/>
      <c r="F89" s="30"/>
      <c r="G89" s="191"/>
      <c r="H89" s="132"/>
      <c r="I89" s="191"/>
      <c r="J89" s="132"/>
      <c r="K89" s="191"/>
    </row>
    <row r="90" spans="1:11" x14ac:dyDescent="0.35">
      <c r="A90" s="811">
        <f>A84+1</f>
        <v>14</v>
      </c>
      <c r="B90" s="36">
        <f>B84+10</f>
        <v>141</v>
      </c>
      <c r="C90" s="814"/>
      <c r="D90" s="82"/>
      <c r="E90" s="83"/>
      <c r="F90" s="62"/>
      <c r="G90" s="795"/>
      <c r="H90" s="122"/>
      <c r="I90" s="795"/>
      <c r="J90" s="122"/>
      <c r="K90" s="817"/>
    </row>
    <row r="91" spans="1:11" x14ac:dyDescent="0.35">
      <c r="A91" s="812"/>
      <c r="B91" s="36">
        <f>B85+10</f>
        <v>142</v>
      </c>
      <c r="C91" s="815"/>
      <c r="D91" s="84"/>
      <c r="E91" s="24" t="s">
        <v>136</v>
      </c>
      <c r="F91" s="24"/>
      <c r="G91" s="537"/>
      <c r="H91" s="125"/>
      <c r="I91" s="537"/>
      <c r="J91" s="125"/>
      <c r="K91" s="818"/>
    </row>
    <row r="92" spans="1:11" x14ac:dyDescent="0.35">
      <c r="A92" s="812"/>
      <c r="B92" s="36">
        <f>B86+10</f>
        <v>143</v>
      </c>
      <c r="C92" s="815"/>
      <c r="D92" s="79" t="b">
        <v>0</v>
      </c>
      <c r="E92" s="44" t="s">
        <v>363</v>
      </c>
      <c r="G92" s="537"/>
      <c r="H92" s="125"/>
      <c r="I92" s="537"/>
      <c r="J92" s="125"/>
      <c r="K92" s="818"/>
    </row>
    <row r="93" spans="1:11" ht="6.75" customHeight="1" x14ac:dyDescent="0.35">
      <c r="A93" s="812"/>
      <c r="B93" s="36">
        <f>B87+10</f>
        <v>144</v>
      </c>
      <c r="C93" s="815"/>
      <c r="D93" s="80"/>
      <c r="E93" s="44"/>
      <c r="G93" s="537"/>
      <c r="H93" s="125"/>
      <c r="I93" s="537"/>
      <c r="J93" s="125"/>
      <c r="K93" s="818"/>
    </row>
    <row r="94" spans="1:11" ht="29.5" thickBot="1" x14ac:dyDescent="0.4">
      <c r="A94" s="813"/>
      <c r="B94" s="36">
        <f>B88+10</f>
        <v>145</v>
      </c>
      <c r="C94" s="816"/>
      <c r="D94" s="81" t="b">
        <v>0</v>
      </c>
      <c r="E94" s="58" t="s">
        <v>364</v>
      </c>
      <c r="F94" s="67"/>
      <c r="G94" s="797"/>
      <c r="H94" s="127"/>
      <c r="I94" s="797"/>
      <c r="J94" s="127"/>
      <c r="K94" s="819"/>
    </row>
    <row r="95" spans="1:11" ht="6" customHeight="1" thickBot="1" x14ac:dyDescent="0.4">
      <c r="A95" s="93"/>
      <c r="B95" s="93"/>
      <c r="C95" s="191"/>
      <c r="D95" s="31"/>
      <c r="E95" s="30"/>
      <c r="F95" s="30"/>
      <c r="G95" s="191"/>
      <c r="H95" s="132"/>
      <c r="I95" s="191"/>
      <c r="J95" s="132"/>
      <c r="K95" s="191"/>
    </row>
    <row r="96" spans="1:11" x14ac:dyDescent="0.35">
      <c r="A96" s="811">
        <f>A90+1</f>
        <v>15</v>
      </c>
      <c r="B96" s="36">
        <f>B90+10</f>
        <v>151</v>
      </c>
      <c r="C96" s="814"/>
      <c r="D96" s="82"/>
      <c r="E96" s="83"/>
      <c r="F96" s="62"/>
      <c r="G96" s="795"/>
      <c r="H96" s="122"/>
      <c r="I96" s="795"/>
      <c r="J96" s="122"/>
      <c r="K96" s="817"/>
    </row>
    <row r="97" spans="1:11" x14ac:dyDescent="0.35">
      <c r="A97" s="812"/>
      <c r="B97" s="36">
        <f>B91+10</f>
        <v>152</v>
      </c>
      <c r="C97" s="815"/>
      <c r="D97" s="84"/>
      <c r="E97" s="24" t="s">
        <v>136</v>
      </c>
      <c r="F97" s="24"/>
      <c r="G97" s="537"/>
      <c r="H97" s="125"/>
      <c r="I97" s="537"/>
      <c r="J97" s="125"/>
      <c r="K97" s="818"/>
    </row>
    <row r="98" spans="1:11" x14ac:dyDescent="0.35">
      <c r="A98" s="812"/>
      <c r="B98" s="36">
        <f>B92+10</f>
        <v>153</v>
      </c>
      <c r="C98" s="815"/>
      <c r="D98" s="79" t="b">
        <v>1</v>
      </c>
      <c r="E98" s="44" t="s">
        <v>363</v>
      </c>
      <c r="G98" s="537"/>
      <c r="H98" s="125"/>
      <c r="I98" s="537"/>
      <c r="J98" s="125"/>
      <c r="K98" s="818"/>
    </row>
    <row r="99" spans="1:11" ht="6.75" customHeight="1" x14ac:dyDescent="0.35">
      <c r="A99" s="812"/>
      <c r="B99" s="36">
        <f>B93+10</f>
        <v>154</v>
      </c>
      <c r="C99" s="815"/>
      <c r="D99" s="80"/>
      <c r="E99" s="44"/>
      <c r="G99" s="537"/>
      <c r="H99" s="125"/>
      <c r="I99" s="537"/>
      <c r="J99" s="125"/>
      <c r="K99" s="818"/>
    </row>
    <row r="100" spans="1:11" ht="29.5" thickBot="1" x14ac:dyDescent="0.4">
      <c r="A100" s="813"/>
      <c r="B100" s="36">
        <f>B94+10</f>
        <v>155</v>
      </c>
      <c r="C100" s="816"/>
      <c r="D100" s="81" t="b">
        <v>0</v>
      </c>
      <c r="E100" s="58" t="s">
        <v>364</v>
      </c>
      <c r="F100" s="67"/>
      <c r="G100" s="797"/>
      <c r="H100" s="127"/>
      <c r="I100" s="797"/>
      <c r="J100" s="127"/>
      <c r="K100" s="819"/>
    </row>
    <row r="101" spans="1:11" ht="6" customHeight="1" thickBot="1" x14ac:dyDescent="0.4">
      <c r="A101" s="93"/>
      <c r="B101" s="93"/>
      <c r="C101" s="191"/>
      <c r="D101" s="31"/>
      <c r="E101" s="30"/>
      <c r="F101" s="30"/>
      <c r="G101" s="191"/>
      <c r="H101" s="132"/>
      <c r="I101" s="191"/>
      <c r="J101" s="132"/>
      <c r="K101" s="191"/>
    </row>
    <row r="102" spans="1:11" x14ac:dyDescent="0.35">
      <c r="A102" s="811">
        <f>A96+1</f>
        <v>16</v>
      </c>
      <c r="B102" s="36">
        <f>B96+10</f>
        <v>161</v>
      </c>
      <c r="C102" s="814"/>
      <c r="D102" s="82"/>
      <c r="E102" s="83"/>
      <c r="F102" s="62"/>
      <c r="G102" s="795"/>
      <c r="H102" s="122"/>
      <c r="I102" s="795"/>
      <c r="J102" s="122"/>
      <c r="K102" s="817"/>
    </row>
    <row r="103" spans="1:11" x14ac:dyDescent="0.35">
      <c r="A103" s="812"/>
      <c r="B103" s="36">
        <f>B97+10</f>
        <v>162</v>
      </c>
      <c r="C103" s="815"/>
      <c r="D103" s="84"/>
      <c r="E103" s="24" t="s">
        <v>136</v>
      </c>
      <c r="F103" s="24"/>
      <c r="G103" s="537"/>
      <c r="H103" s="125"/>
      <c r="I103" s="537"/>
      <c r="J103" s="125"/>
      <c r="K103" s="818"/>
    </row>
    <row r="104" spans="1:11" x14ac:dyDescent="0.35">
      <c r="A104" s="812"/>
      <c r="B104" s="36">
        <f>B98+10</f>
        <v>163</v>
      </c>
      <c r="C104" s="815"/>
      <c r="D104" s="79" t="b">
        <v>0</v>
      </c>
      <c r="E104" s="44" t="s">
        <v>363</v>
      </c>
      <c r="G104" s="537"/>
      <c r="H104" s="125"/>
      <c r="I104" s="537"/>
      <c r="J104" s="125"/>
      <c r="K104" s="818"/>
    </row>
    <row r="105" spans="1:11" ht="6.75" customHeight="1" x14ac:dyDescent="0.35">
      <c r="A105" s="812"/>
      <c r="B105" s="36">
        <f>B99+10</f>
        <v>164</v>
      </c>
      <c r="C105" s="815"/>
      <c r="D105" s="80"/>
      <c r="E105" s="44"/>
      <c r="G105" s="537"/>
      <c r="H105" s="125"/>
      <c r="I105" s="537"/>
      <c r="J105" s="125"/>
      <c r="K105" s="818"/>
    </row>
    <row r="106" spans="1:11" ht="29.5" thickBot="1" x14ac:dyDescent="0.4">
      <c r="A106" s="813"/>
      <c r="B106" s="36">
        <f>B100+10</f>
        <v>165</v>
      </c>
      <c r="C106" s="816"/>
      <c r="D106" s="81" t="b">
        <v>0</v>
      </c>
      <c r="E106" s="58" t="s">
        <v>364</v>
      </c>
      <c r="F106" s="67"/>
      <c r="G106" s="797"/>
      <c r="H106" s="127"/>
      <c r="I106" s="797"/>
      <c r="J106" s="127"/>
      <c r="K106" s="819"/>
    </row>
    <row r="107" spans="1:11" ht="6" customHeight="1" thickBot="1" x14ac:dyDescent="0.4">
      <c r="A107" s="93"/>
      <c r="B107" s="93"/>
      <c r="C107" s="191"/>
      <c r="D107" s="31"/>
      <c r="E107" s="30"/>
      <c r="F107" s="30"/>
      <c r="G107" s="191"/>
      <c r="H107" s="132"/>
      <c r="I107" s="191"/>
      <c r="J107" s="132"/>
      <c r="K107" s="191"/>
    </row>
    <row r="108" spans="1:11" x14ac:dyDescent="0.35">
      <c r="A108" s="811">
        <f>A102+1</f>
        <v>17</v>
      </c>
      <c r="B108" s="36">
        <f>B102+10</f>
        <v>171</v>
      </c>
      <c r="C108" s="814"/>
      <c r="D108" s="82"/>
      <c r="E108" s="83"/>
      <c r="F108" s="62"/>
      <c r="G108" s="795"/>
      <c r="H108" s="122"/>
      <c r="I108" s="795"/>
      <c r="J108" s="122"/>
      <c r="K108" s="817"/>
    </row>
    <row r="109" spans="1:11" x14ac:dyDescent="0.35">
      <c r="A109" s="812"/>
      <c r="B109" s="36">
        <f>B103+10</f>
        <v>172</v>
      </c>
      <c r="C109" s="815"/>
      <c r="D109" s="84"/>
      <c r="E109" s="24" t="s">
        <v>136</v>
      </c>
      <c r="F109" s="24"/>
      <c r="G109" s="537"/>
      <c r="H109" s="125"/>
      <c r="I109" s="537"/>
      <c r="J109" s="125"/>
      <c r="K109" s="818"/>
    </row>
    <row r="110" spans="1:11" x14ac:dyDescent="0.35">
      <c r="A110" s="812"/>
      <c r="B110" s="36">
        <f>B104+10</f>
        <v>173</v>
      </c>
      <c r="C110" s="815"/>
      <c r="D110" s="79" t="b">
        <v>0</v>
      </c>
      <c r="E110" s="44" t="s">
        <v>363</v>
      </c>
      <c r="G110" s="537"/>
      <c r="H110" s="125"/>
      <c r="I110" s="537"/>
      <c r="J110" s="125"/>
      <c r="K110" s="818"/>
    </row>
    <row r="111" spans="1:11" ht="6.75" customHeight="1" x14ac:dyDescent="0.35">
      <c r="A111" s="812"/>
      <c r="B111" s="36">
        <f>B105+10</f>
        <v>174</v>
      </c>
      <c r="C111" s="815"/>
      <c r="D111" s="80"/>
      <c r="E111" s="44"/>
      <c r="G111" s="537"/>
      <c r="H111" s="125"/>
      <c r="I111" s="537"/>
      <c r="J111" s="125"/>
      <c r="K111" s="818"/>
    </row>
    <row r="112" spans="1:11" ht="29.5" thickBot="1" x14ac:dyDescent="0.4">
      <c r="A112" s="813"/>
      <c r="B112" s="36">
        <f>B106+10</f>
        <v>175</v>
      </c>
      <c r="C112" s="816"/>
      <c r="D112" s="81" t="b">
        <v>0</v>
      </c>
      <c r="E112" s="58" t="s">
        <v>364</v>
      </c>
      <c r="F112" s="67"/>
      <c r="G112" s="797"/>
      <c r="H112" s="127"/>
      <c r="I112" s="797"/>
      <c r="J112" s="127"/>
      <c r="K112" s="819"/>
    </row>
    <row r="113" spans="1:11" ht="6" customHeight="1" thickBot="1" x14ac:dyDescent="0.4">
      <c r="A113" s="93"/>
      <c r="B113" s="93"/>
      <c r="C113" s="191"/>
      <c r="D113" s="31"/>
      <c r="E113" s="30"/>
      <c r="F113" s="30"/>
      <c r="G113" s="191"/>
      <c r="H113" s="132"/>
      <c r="I113" s="191"/>
      <c r="J113" s="132"/>
      <c r="K113" s="191"/>
    </row>
    <row r="114" spans="1:11" x14ac:dyDescent="0.35">
      <c r="A114" s="811">
        <f>A108+1</f>
        <v>18</v>
      </c>
      <c r="B114" s="36">
        <f>B108+10</f>
        <v>181</v>
      </c>
      <c r="C114" s="814"/>
      <c r="D114" s="82"/>
      <c r="E114" s="83"/>
      <c r="F114" s="62"/>
      <c r="G114" s="795"/>
      <c r="H114" s="122"/>
      <c r="I114" s="795"/>
      <c r="J114" s="122"/>
      <c r="K114" s="817"/>
    </row>
    <row r="115" spans="1:11" x14ac:dyDescent="0.35">
      <c r="A115" s="812"/>
      <c r="B115" s="36">
        <f>B109+10</f>
        <v>182</v>
      </c>
      <c r="C115" s="815"/>
      <c r="D115" s="84"/>
      <c r="E115" s="24" t="s">
        <v>136</v>
      </c>
      <c r="F115" s="24"/>
      <c r="G115" s="537"/>
      <c r="H115" s="125"/>
      <c r="I115" s="537"/>
      <c r="J115" s="125"/>
      <c r="K115" s="818"/>
    </row>
    <row r="116" spans="1:11" x14ac:dyDescent="0.35">
      <c r="A116" s="812"/>
      <c r="B116" s="36">
        <f>B110+10</f>
        <v>183</v>
      </c>
      <c r="C116" s="815"/>
      <c r="D116" s="79" t="b">
        <v>0</v>
      </c>
      <c r="E116" s="44" t="s">
        <v>363</v>
      </c>
      <c r="G116" s="537"/>
      <c r="H116" s="125"/>
      <c r="I116" s="537"/>
      <c r="J116" s="125"/>
      <c r="K116" s="818"/>
    </row>
    <row r="117" spans="1:11" ht="6.75" customHeight="1" x14ac:dyDescent="0.35">
      <c r="A117" s="812"/>
      <c r="B117" s="36">
        <f>B111+10</f>
        <v>184</v>
      </c>
      <c r="C117" s="815"/>
      <c r="D117" s="80"/>
      <c r="E117" s="44"/>
      <c r="G117" s="537"/>
      <c r="H117" s="125"/>
      <c r="I117" s="537"/>
      <c r="J117" s="125"/>
      <c r="K117" s="818"/>
    </row>
    <row r="118" spans="1:11" ht="29.5" thickBot="1" x14ac:dyDescent="0.4">
      <c r="A118" s="813"/>
      <c r="B118" s="36">
        <f>B112+10</f>
        <v>185</v>
      </c>
      <c r="C118" s="816"/>
      <c r="D118" s="81" t="b">
        <v>0</v>
      </c>
      <c r="E118" s="58" t="s">
        <v>364</v>
      </c>
      <c r="F118" s="67"/>
      <c r="G118" s="797"/>
      <c r="H118" s="127"/>
      <c r="I118" s="797"/>
      <c r="J118" s="127"/>
      <c r="K118" s="819"/>
    </row>
    <row r="119" spans="1:11" ht="6" customHeight="1" thickBot="1" x14ac:dyDescent="0.4">
      <c r="A119" s="93"/>
      <c r="B119" s="93"/>
      <c r="C119" s="191"/>
      <c r="D119" s="31"/>
      <c r="E119" s="30"/>
      <c r="F119" s="30"/>
      <c r="G119" s="191"/>
      <c r="H119" s="132"/>
      <c r="I119" s="191"/>
      <c r="J119" s="132"/>
      <c r="K119" s="191"/>
    </row>
    <row r="120" spans="1:11" x14ac:dyDescent="0.35">
      <c r="A120" s="811">
        <f>A114+1</f>
        <v>19</v>
      </c>
      <c r="B120" s="36">
        <f>B114+10</f>
        <v>191</v>
      </c>
      <c r="C120" s="814"/>
      <c r="D120" s="82"/>
      <c r="E120" s="83"/>
      <c r="F120" s="62"/>
      <c r="G120" s="795"/>
      <c r="H120" s="122"/>
      <c r="I120" s="795"/>
      <c r="J120" s="122"/>
      <c r="K120" s="817"/>
    </row>
    <row r="121" spans="1:11" x14ac:dyDescent="0.35">
      <c r="A121" s="812"/>
      <c r="B121" s="36">
        <f>B115+10</f>
        <v>192</v>
      </c>
      <c r="C121" s="815"/>
      <c r="D121" s="84"/>
      <c r="E121" s="24" t="s">
        <v>136</v>
      </c>
      <c r="F121" s="24"/>
      <c r="G121" s="537"/>
      <c r="H121" s="125"/>
      <c r="I121" s="537"/>
      <c r="J121" s="125"/>
      <c r="K121" s="818"/>
    </row>
    <row r="122" spans="1:11" x14ac:dyDescent="0.35">
      <c r="A122" s="812"/>
      <c r="B122" s="36">
        <f>B116+10</f>
        <v>193</v>
      </c>
      <c r="C122" s="815"/>
      <c r="D122" s="79" t="b">
        <v>0</v>
      </c>
      <c r="E122" s="44" t="s">
        <v>363</v>
      </c>
      <c r="G122" s="537"/>
      <c r="H122" s="125"/>
      <c r="I122" s="537"/>
      <c r="J122" s="125"/>
      <c r="K122" s="818"/>
    </row>
    <row r="123" spans="1:11" ht="6.75" customHeight="1" x14ac:dyDescent="0.35">
      <c r="A123" s="812"/>
      <c r="B123" s="36">
        <f>B117+10</f>
        <v>194</v>
      </c>
      <c r="C123" s="815"/>
      <c r="D123" s="80"/>
      <c r="E123" s="44"/>
      <c r="G123" s="537"/>
      <c r="H123" s="125"/>
      <c r="I123" s="537"/>
      <c r="J123" s="125"/>
      <c r="K123" s="818"/>
    </row>
    <row r="124" spans="1:11" ht="29.5" thickBot="1" x14ac:dyDescent="0.4">
      <c r="A124" s="813"/>
      <c r="B124" s="36">
        <f>B118+10</f>
        <v>195</v>
      </c>
      <c r="C124" s="816"/>
      <c r="D124" s="81" t="b">
        <v>0</v>
      </c>
      <c r="E124" s="58" t="s">
        <v>364</v>
      </c>
      <c r="F124" s="67"/>
      <c r="G124" s="797"/>
      <c r="H124" s="127"/>
      <c r="I124" s="797"/>
      <c r="J124" s="127"/>
      <c r="K124" s="819"/>
    </row>
    <row r="125" spans="1:11" ht="6" customHeight="1" thickBot="1" x14ac:dyDescent="0.4">
      <c r="A125" s="93"/>
      <c r="B125" s="93"/>
      <c r="C125" s="191"/>
      <c r="D125" s="31"/>
      <c r="E125" s="30"/>
      <c r="F125" s="30"/>
      <c r="G125" s="191"/>
      <c r="H125" s="132"/>
      <c r="I125" s="191"/>
      <c r="J125" s="132"/>
      <c r="K125" s="191"/>
    </row>
    <row r="126" spans="1:11" x14ac:dyDescent="0.35">
      <c r="A126" s="811">
        <f>A120+1</f>
        <v>20</v>
      </c>
      <c r="B126" s="36">
        <f>B120+10</f>
        <v>201</v>
      </c>
      <c r="C126" s="814"/>
      <c r="D126" s="82"/>
      <c r="E126" s="83"/>
      <c r="F126" s="62"/>
      <c r="G126" s="795"/>
      <c r="H126" s="122"/>
      <c r="I126" s="795"/>
      <c r="J126" s="122"/>
      <c r="K126" s="817"/>
    </row>
    <row r="127" spans="1:11" x14ac:dyDescent="0.35">
      <c r="A127" s="812"/>
      <c r="B127" s="36">
        <f>B121+10</f>
        <v>202</v>
      </c>
      <c r="C127" s="815"/>
      <c r="D127" s="84"/>
      <c r="E127" s="24" t="s">
        <v>136</v>
      </c>
      <c r="F127" s="24"/>
      <c r="G127" s="537"/>
      <c r="H127" s="125"/>
      <c r="I127" s="537"/>
      <c r="J127" s="125"/>
      <c r="K127" s="818"/>
    </row>
    <row r="128" spans="1:11" x14ac:dyDescent="0.35">
      <c r="A128" s="812"/>
      <c r="B128" s="36">
        <f>B122+10</f>
        <v>203</v>
      </c>
      <c r="C128" s="815"/>
      <c r="D128" s="79" t="b">
        <v>0</v>
      </c>
      <c r="E128" s="44" t="s">
        <v>363</v>
      </c>
      <c r="G128" s="537"/>
      <c r="H128" s="125"/>
      <c r="I128" s="537"/>
      <c r="J128" s="125"/>
      <c r="K128" s="818"/>
    </row>
    <row r="129" spans="1:11" ht="6.75" customHeight="1" x14ac:dyDescent="0.35">
      <c r="A129" s="812"/>
      <c r="B129" s="36">
        <f>B123+10</f>
        <v>204</v>
      </c>
      <c r="C129" s="815"/>
      <c r="D129" s="80"/>
      <c r="E129" s="44"/>
      <c r="G129" s="537"/>
      <c r="H129" s="125"/>
      <c r="I129" s="537"/>
      <c r="J129" s="125"/>
      <c r="K129" s="818"/>
    </row>
    <row r="130" spans="1:11" ht="29.5" thickBot="1" x14ac:dyDescent="0.4">
      <c r="A130" s="813"/>
      <c r="B130" s="36">
        <f>B124+10</f>
        <v>205</v>
      </c>
      <c r="C130" s="816"/>
      <c r="D130" s="81" t="b">
        <v>0</v>
      </c>
      <c r="E130" s="58" t="s">
        <v>364</v>
      </c>
      <c r="F130" s="67"/>
      <c r="G130" s="797"/>
      <c r="H130" s="127"/>
      <c r="I130" s="797"/>
      <c r="J130" s="127"/>
      <c r="K130" s="819"/>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4.5" outlineLevelRow="1" x14ac:dyDescent="0.35"/>
  <cols>
    <col min="1" max="1" width="2.81640625" style="232" hidden="1" customWidth="1"/>
    <col min="2" max="2" width="3.81640625" style="461" customWidth="1"/>
    <col min="3" max="3" width="0.453125" style="34" customWidth="1"/>
    <col min="4" max="4" width="24.453125" bestFit="1" customWidth="1"/>
    <col min="5" max="5" width="4.81640625" customWidth="1"/>
    <col min="6" max="6" width="33.1796875" customWidth="1"/>
    <col min="7" max="7" width="5.1796875" customWidth="1"/>
    <col min="8" max="8" width="31.1796875" customWidth="1"/>
    <col min="9" max="9" width="4.26953125" customWidth="1"/>
    <col min="10" max="10" width="22.453125" customWidth="1"/>
    <col min="11" max="11" width="5.1796875" customWidth="1"/>
    <col min="12" max="12" width="28.81640625" customWidth="1"/>
    <col min="13" max="13" width="5.453125" customWidth="1"/>
    <col min="14" max="14" width="13.54296875" customWidth="1"/>
    <col min="15" max="15" width="5" customWidth="1"/>
    <col min="16" max="16" width="27.54296875" customWidth="1"/>
    <col min="17" max="17" width="11" customWidth="1"/>
    <col min="18" max="18" width="3.81640625" customWidth="1"/>
    <col min="19" max="20" width="13.1796875" customWidth="1"/>
    <col min="21" max="21" width="29.453125" customWidth="1"/>
    <col min="22" max="22" width="8.7265625" customWidth="1"/>
    <col min="23" max="23" width="38" customWidth="1"/>
    <col min="24" max="24" width="4.54296875" customWidth="1"/>
    <col min="25" max="25" width="20.7265625" customWidth="1"/>
    <col min="26" max="26" width="34.7265625" customWidth="1"/>
    <col min="27" max="27" width="4.453125" customWidth="1"/>
    <col min="28" max="28" width="4.1796875" customWidth="1"/>
    <col min="29" max="29" width="40.81640625" customWidth="1"/>
    <col min="30" max="30" width="2.1796875" customWidth="1"/>
    <col min="31" max="31" width="5.26953125" customWidth="1"/>
    <col min="32" max="32" width="42.26953125" customWidth="1"/>
    <col min="33" max="33" width="1.26953125" customWidth="1"/>
    <col min="34" max="34" width="3.26953125" bestFit="1" customWidth="1"/>
    <col min="35" max="35" width="25.81640625" customWidth="1"/>
    <col min="36" max="36" width="2" bestFit="1" customWidth="1"/>
    <col min="37" max="37" width="3.26953125" bestFit="1" customWidth="1"/>
    <col min="38" max="38" width="35.81640625" customWidth="1"/>
    <col min="39" max="39" width="22" bestFit="1" customWidth="1"/>
    <col min="40" max="40" width="2.1796875" customWidth="1"/>
    <col min="41" max="41" width="3.26953125" bestFit="1" customWidth="1"/>
    <col min="42" max="42" width="30.1796875" customWidth="1"/>
    <col min="43" max="43" width="4" customWidth="1"/>
    <col min="44" max="44" width="3.1796875" customWidth="1"/>
    <col min="45" max="45" width="3.26953125" bestFit="1" customWidth="1"/>
    <col min="46" max="46" width="19.54296875" customWidth="1"/>
    <col min="47" max="47" width="24" customWidth="1"/>
    <col min="48" max="48" width="2.1796875" customWidth="1"/>
    <col min="49" max="49" width="3.26953125" bestFit="1" customWidth="1"/>
    <col min="50" max="50" width="30.54296875" customWidth="1"/>
    <col min="51" max="51" width="2.1796875" customWidth="1"/>
    <col min="52" max="52" width="35.54296875" customWidth="1"/>
  </cols>
  <sheetData>
    <row r="1" spans="1:37" ht="33" customHeight="1" x14ac:dyDescent="0.65">
      <c r="A1" s="282"/>
      <c r="B1" s="475"/>
      <c r="C1" s="294"/>
      <c r="D1" s="293" t="s">
        <v>110</v>
      </c>
      <c r="E1" s="222"/>
      <c r="F1" s="877" t="s">
        <v>365</v>
      </c>
      <c r="G1" s="877"/>
      <c r="H1" s="291">
        <v>1</v>
      </c>
      <c r="I1" s="292"/>
      <c r="J1" s="291">
        <v>1</v>
      </c>
      <c r="K1" s="292"/>
      <c r="L1" s="291">
        <v>1</v>
      </c>
      <c r="M1" s="292"/>
      <c r="N1" s="879">
        <v>1</v>
      </c>
      <c r="O1" s="880"/>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5" customHeight="1" x14ac:dyDescent="0.35">
      <c r="A2" s="287"/>
      <c r="B2" s="462"/>
      <c r="C2" s="295"/>
      <c r="D2" s="287"/>
      <c r="E2" s="287"/>
      <c r="F2" s="877"/>
      <c r="G2" s="877"/>
      <c r="H2" s="289" t="str">
        <f>D7</f>
        <v>Sensitivity Labels</v>
      </c>
      <c r="I2" s="287"/>
      <c r="J2" s="289" t="str">
        <f>D43</f>
        <v>Publishing</v>
      </c>
      <c r="K2" s="289"/>
      <c r="L2" s="289" t="str">
        <f>D57</f>
        <v>Service-Side Auto-Labeling Policies</v>
      </c>
      <c r="M2" s="289"/>
      <c r="N2" s="876" t="str">
        <f>D64</f>
        <v>Data Loss Prevention (DLP)</v>
      </c>
      <c r="O2" s="876"/>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5" hidden="1" customHeight="1" outlineLevel="1" x14ac:dyDescent="0.35">
      <c r="A3" s="287"/>
      <c r="B3" s="484"/>
      <c r="C3" s="881" t="s">
        <v>119</v>
      </c>
      <c r="D3" s="586" t="s">
        <v>264</v>
      </c>
      <c r="E3" s="586"/>
      <c r="F3" s="586"/>
      <c r="G3" s="297"/>
      <c r="H3" s="883" t="s">
        <v>366</v>
      </c>
      <c r="I3" s="298"/>
      <c r="J3" s="883" t="s">
        <v>367</v>
      </c>
      <c r="K3" s="299"/>
      <c r="L3" s="883" t="s">
        <v>368</v>
      </c>
      <c r="M3" s="299"/>
      <c r="N3" s="885" t="s">
        <v>369</v>
      </c>
      <c r="O3" s="886"/>
      <c r="P3"/>
    </row>
    <row r="4" spans="1:37" s="13" customFormat="1" ht="48.65" hidden="1" customHeight="1" outlineLevel="1" x14ac:dyDescent="0.35">
      <c r="A4" s="287"/>
      <c r="B4" s="484"/>
      <c r="C4" s="882"/>
      <c r="D4" s="586"/>
      <c r="E4" s="586"/>
      <c r="F4" s="586"/>
      <c r="G4" s="297"/>
      <c r="H4" s="884"/>
      <c r="I4" s="298"/>
      <c r="J4" s="884"/>
      <c r="K4" s="299"/>
      <c r="L4" s="884"/>
      <c r="M4" s="299"/>
      <c r="N4" s="626"/>
      <c r="O4" s="627"/>
      <c r="P4"/>
    </row>
    <row r="5" spans="1:37" s="13" customFormat="1" ht="35.15" hidden="1" customHeight="1" outlineLevel="1" x14ac:dyDescent="0.35">
      <c r="A5" s="287"/>
      <c r="B5" s="484"/>
      <c r="C5" s="887" t="s">
        <v>127</v>
      </c>
      <c r="D5" s="591"/>
      <c r="E5" s="591"/>
      <c r="F5" s="591"/>
      <c r="G5" s="297"/>
      <c r="H5" s="300"/>
      <c r="I5" s="298"/>
      <c r="J5" s="300"/>
      <c r="K5" s="299"/>
      <c r="L5" s="300"/>
      <c r="M5" s="299"/>
      <c r="N5" s="867"/>
      <c r="O5" s="867"/>
      <c r="P5"/>
    </row>
    <row r="6" spans="1:37" s="13" customFormat="1" ht="35.15" hidden="1" customHeight="1" outlineLevel="1" x14ac:dyDescent="0.35">
      <c r="A6" s="287"/>
      <c r="B6" s="484"/>
      <c r="C6" s="887"/>
      <c r="D6" s="591"/>
      <c r="E6" s="591"/>
      <c r="F6" s="591"/>
      <c r="G6" s="297"/>
      <c r="H6" s="300"/>
      <c r="I6" s="298"/>
      <c r="J6" s="300"/>
      <c r="K6" s="299"/>
      <c r="L6" s="300"/>
      <c r="M6" s="299"/>
      <c r="N6" s="867"/>
      <c r="O6" s="867"/>
      <c r="P6"/>
    </row>
    <row r="7" spans="1:37" ht="18.5" collapsed="1" x14ac:dyDescent="0.45">
      <c r="C7" s="361"/>
      <c r="D7" s="234" t="str">
        <f>'Sensitivity Labels'!C1</f>
        <v>Sensitivity Labels</v>
      </c>
      <c r="E7" s="195"/>
    </row>
    <row r="8" spans="1:37" s="228" customFormat="1" ht="29.5" customHeight="1" x14ac:dyDescent="0.35">
      <c r="A8" s="283"/>
      <c r="B8" s="463"/>
      <c r="C8" s="295"/>
      <c r="D8" s="474" t="str">
        <f>'Sensitivity Labels'!C3</f>
        <v>Label/Parent Label/Label Group/Sub-Label:</v>
      </c>
      <c r="E8" s="878" t="str">
        <f>'Sensitivity Labels'!D3</f>
        <v>Name:</v>
      </c>
      <c r="F8" s="830"/>
      <c r="G8" s="830" t="str">
        <f>'Sensitivity Labels'!E3</f>
        <v>Display Name:</v>
      </c>
      <c r="H8" s="830"/>
      <c r="I8" s="830" t="str">
        <f>'Sensitivity Labels'!F3</f>
        <v>Scope:</v>
      </c>
      <c r="J8" s="830"/>
      <c r="K8" s="830"/>
      <c r="L8" s="830"/>
      <c r="M8" s="830"/>
      <c r="N8" s="830"/>
      <c r="O8" s="830"/>
      <c r="P8" s="830"/>
      <c r="Q8" s="830"/>
      <c r="R8" s="830" t="str">
        <f>'Sensitivity Labels'!I3</f>
        <v>Description for users:</v>
      </c>
      <c r="S8" s="830"/>
      <c r="T8" s="830"/>
      <c r="U8" s="830"/>
      <c r="V8" s="830" t="str">
        <f>'Sensitivity Labels'!J3</f>
        <v>Description for admins:</v>
      </c>
      <c r="W8" s="830"/>
      <c r="X8" s="830" t="str">
        <f>'Sensitivity Labels'!K3</f>
        <v>Label Color:</v>
      </c>
      <c r="Y8" s="830"/>
    </row>
    <row r="9" spans="1:37" x14ac:dyDescent="0.35">
      <c r="A9" s="232">
        <f>VLOOKUP(B9,'Sensitivity Labels'!$A$11:$K$170,2,FALSE)</f>
        <v>11</v>
      </c>
      <c r="B9" s="888">
        <f>H$1</f>
        <v>1</v>
      </c>
      <c r="C9" s="296"/>
      <c r="D9" s="560" t="str">
        <f>IF(VLOOKUP($A9,'Sensitivity Labels'!$B$11:$K$170,2,FALSE)="","",VLOOKUP($A9,'Sensitivity Labels'!$B$11:$K$170,2,FALSE))</f>
        <v>Label</v>
      </c>
      <c r="E9" s="831" t="str">
        <f>IF(VLOOKUP($A9,'Sensitivity Labels'!$B$11:$K$170,3,FALSE)="","",VLOOKUP($A9,'Sensitivity Labels'!$B$11:$K$170,3,FALSE))</f>
        <v>Public</v>
      </c>
      <c r="F9" s="633"/>
      <c r="G9" s="831" t="str">
        <f>IF(VLOOKUP($A9,'Sensitivity Labels'!$B$11:$K$170,4,FALSE)="","",VLOOKUP($A9,'Sensitivity Labels'!$B$11:$K$170,4,FALSE))</f>
        <v>Public</v>
      </c>
      <c r="H9" s="633"/>
      <c r="I9" s="402" t="b">
        <f>VLOOKUP($A9,'Sensitivity Labels'!$B$11:$K$170,5,FALSE)</f>
        <v>1</v>
      </c>
      <c r="J9" s="256" t="s">
        <v>138</v>
      </c>
      <c r="K9" s="870" t="s">
        <v>139</v>
      </c>
      <c r="L9" s="870"/>
      <c r="M9" s="870"/>
      <c r="N9" s="870"/>
      <c r="O9" s="870"/>
      <c r="P9" s="870"/>
      <c r="Q9" s="870"/>
      <c r="R9" s="831" t="str">
        <f>IF(VLOOKUP($A9,'Sensitivity Labels'!$B$11:$K$170,8,FALSE)="","",VLOOKUP($A9,'Sensitivity Labels'!$B$11:$K$170,8,FALSE))</f>
        <v>Business data that is prepared and approved for public consumption.</v>
      </c>
      <c r="S9" s="832"/>
      <c r="T9" s="832"/>
      <c r="U9" s="633"/>
      <c r="V9" s="831" t="str">
        <f>IF(VLOOKUP($A9,'Sensitivity Labels'!$B$11:$K$170,9,FALSE)="","",VLOOKUP($A9,'Sensitivity Labels'!$B$11:$K$170,9,FALSE))</f>
        <v/>
      </c>
      <c r="W9" s="832"/>
      <c r="X9" s="837" t="str">
        <f>VLOOKUP($A9,'Sensitivity Labels'!$B$11:$K$170,10,FALSE)</f>
        <v>Blue</v>
      </c>
      <c r="Y9" s="838"/>
    </row>
    <row r="10" spans="1:37" x14ac:dyDescent="0.35">
      <c r="A10" s="232">
        <f t="shared" ref="A10:A15" si="0">A9+1</f>
        <v>12</v>
      </c>
      <c r="B10" s="889"/>
      <c r="C10" s="296"/>
      <c r="D10" s="560"/>
      <c r="E10" s="720"/>
      <c r="F10" s="634"/>
      <c r="G10" s="720"/>
      <c r="H10" s="634"/>
      <c r="I10" s="25"/>
      <c r="J10" s="25"/>
      <c r="L10" s="3"/>
      <c r="M10" s="3"/>
      <c r="N10" s="3"/>
      <c r="O10" s="3"/>
      <c r="P10" s="3"/>
      <c r="Q10" s="3"/>
      <c r="R10" s="720"/>
      <c r="S10" s="833"/>
      <c r="T10" s="833"/>
      <c r="U10" s="634"/>
      <c r="V10" s="720"/>
      <c r="W10" s="833"/>
      <c r="X10" s="839"/>
      <c r="Y10" s="840"/>
    </row>
    <row r="11" spans="1:37" x14ac:dyDescent="0.35">
      <c r="A11" s="232">
        <f t="shared" si="0"/>
        <v>13</v>
      </c>
      <c r="B11" s="889"/>
      <c r="C11" s="296"/>
      <c r="D11" s="560"/>
      <c r="E11" s="720"/>
      <c r="F11" s="634"/>
      <c r="G11" s="720"/>
      <c r="H11" s="634"/>
      <c r="I11" s="403" t="b">
        <f>VLOOKUP($A11,'Sensitivity Labels'!$B$11:$K$170,5,FALSE)</f>
        <v>1</v>
      </c>
      <c r="J11" s="25" t="s">
        <v>2</v>
      </c>
      <c r="K11" s="871" t="s">
        <v>140</v>
      </c>
      <c r="L11" s="871"/>
      <c r="M11" s="871"/>
      <c r="N11" s="871"/>
      <c r="O11" s="871"/>
      <c r="P11" s="871"/>
      <c r="Q11" s="871"/>
      <c r="R11" s="720"/>
      <c r="S11" s="833"/>
      <c r="T11" s="833"/>
      <c r="U11" s="634"/>
      <c r="V11" s="720"/>
      <c r="W11" s="833"/>
      <c r="X11" s="839"/>
      <c r="Y11" s="840"/>
    </row>
    <row r="12" spans="1:37" x14ac:dyDescent="0.35">
      <c r="A12" s="232">
        <f t="shared" si="0"/>
        <v>14</v>
      </c>
      <c r="B12" s="889"/>
      <c r="C12" s="296"/>
      <c r="D12" s="560"/>
      <c r="E12" s="720"/>
      <c r="F12" s="634"/>
      <c r="G12" s="720"/>
      <c r="H12" s="634"/>
      <c r="I12" s="25"/>
      <c r="J12" s="25"/>
      <c r="L12" s="3"/>
      <c r="M12" s="3"/>
      <c r="N12" s="3"/>
      <c r="O12" s="3"/>
      <c r="P12" s="3"/>
      <c r="Q12" s="3"/>
      <c r="R12" s="720"/>
      <c r="S12" s="833"/>
      <c r="T12" s="833"/>
      <c r="U12" s="634"/>
      <c r="V12" s="720"/>
      <c r="W12" s="833"/>
      <c r="X12" s="839"/>
      <c r="Y12" s="840"/>
    </row>
    <row r="13" spans="1:37" x14ac:dyDescent="0.35">
      <c r="A13" s="232">
        <f t="shared" si="0"/>
        <v>15</v>
      </c>
      <c r="B13" s="889"/>
      <c r="C13" s="296"/>
      <c r="D13" s="560"/>
      <c r="E13" s="720"/>
      <c r="F13" s="634"/>
      <c r="G13" s="720"/>
      <c r="H13" s="634"/>
      <c r="I13" s="404" t="b">
        <f>VLOOKUP($A13,'Sensitivity Labels'!$B$11:$K$170,5,FALSE)</f>
        <v>0</v>
      </c>
      <c r="J13" s="80" t="s">
        <v>141</v>
      </c>
      <c r="K13" s="647" t="s">
        <v>142</v>
      </c>
      <c r="L13" s="647"/>
      <c r="M13" s="647"/>
      <c r="N13" s="647"/>
      <c r="O13" s="647"/>
      <c r="P13" s="647"/>
      <c r="Q13" s="647"/>
      <c r="R13" s="720"/>
      <c r="S13" s="833"/>
      <c r="T13" s="833"/>
      <c r="U13" s="634"/>
      <c r="V13" s="720"/>
      <c r="W13" s="833"/>
      <c r="X13" s="839"/>
      <c r="Y13" s="840"/>
    </row>
    <row r="14" spans="1:37" x14ac:dyDescent="0.35">
      <c r="A14" s="232">
        <f t="shared" si="0"/>
        <v>16</v>
      </c>
      <c r="B14" s="889"/>
      <c r="C14" s="296"/>
      <c r="D14" s="560"/>
      <c r="E14" s="720"/>
      <c r="F14" s="634"/>
      <c r="G14" s="720"/>
      <c r="H14" s="634"/>
      <c r="I14" s="25"/>
      <c r="J14" s="25"/>
      <c r="L14" s="3"/>
      <c r="M14" s="3"/>
      <c r="N14" s="3"/>
      <c r="O14" s="3"/>
      <c r="P14" s="3"/>
      <c r="Q14" s="3"/>
      <c r="R14" s="720"/>
      <c r="S14" s="833"/>
      <c r="T14" s="833"/>
      <c r="U14" s="634"/>
      <c r="V14" s="720"/>
      <c r="W14" s="833"/>
      <c r="X14" s="839"/>
      <c r="Y14" s="840"/>
    </row>
    <row r="15" spans="1:37" ht="30" customHeight="1" x14ac:dyDescent="0.35">
      <c r="A15" s="232">
        <f t="shared" si="0"/>
        <v>17</v>
      </c>
      <c r="B15" s="890"/>
      <c r="C15" s="296"/>
      <c r="D15" s="809"/>
      <c r="E15" s="834"/>
      <c r="F15" s="836"/>
      <c r="G15" s="834"/>
      <c r="H15" s="836"/>
      <c r="I15" s="265" t="b">
        <f>VLOOKUP($A15,'Sensitivity Labels'!$B$11:$K$170,5,FALSE)</f>
        <v>0</v>
      </c>
      <c r="J15" s="405" t="s">
        <v>93</v>
      </c>
      <c r="K15" s="874" t="s">
        <v>143</v>
      </c>
      <c r="L15" s="874"/>
      <c r="M15" s="874"/>
      <c r="N15" s="874"/>
      <c r="O15" s="874"/>
      <c r="P15" s="874"/>
      <c r="Q15" s="874"/>
      <c r="R15" s="834"/>
      <c r="S15" s="835"/>
      <c r="T15" s="835"/>
      <c r="U15" s="836"/>
      <c r="V15" s="834"/>
      <c r="W15" s="835"/>
      <c r="X15" s="841"/>
      <c r="Y15" s="842"/>
    </row>
    <row r="16" spans="1:37" ht="4" customHeight="1" x14ac:dyDescent="0.35">
      <c r="B16" s="125"/>
      <c r="C16" s="296"/>
    </row>
    <row r="17" spans="1:34" ht="18.5" x14ac:dyDescent="0.45">
      <c r="C17" s="296"/>
      <c r="D17" s="234" t="str">
        <f>'Emails, Files, &amp; Other Data'!C1</f>
        <v>Emails, Files, &amp; Other Data Assets</v>
      </c>
      <c r="E17" s="195"/>
    </row>
    <row r="18" spans="1:34" s="227" customFormat="1" ht="32.5" customHeight="1" x14ac:dyDescent="0.35">
      <c r="A18" s="284"/>
      <c r="B18" s="464"/>
      <c r="C18" s="296"/>
      <c r="D18" s="290" t="str">
        <f>'Emails, Files, &amp; Other Data'!C3</f>
        <v>Label/Sub-Label Name:</v>
      </c>
      <c r="E18" s="900" t="str">
        <f>'Emails, Files, &amp; Other Data'!E3</f>
        <v>Choose protection settings for the types of items you selected:</v>
      </c>
      <c r="F18" s="900"/>
      <c r="G18" s="872" t="str">
        <f>'Emails, Files, &amp; Other Data'!H3</f>
        <v>Remove or Configure:</v>
      </c>
      <c r="H18" s="872"/>
      <c r="I18" s="872" t="str">
        <f>'Emails, Files, &amp; Other Data'!J3</f>
        <v>Assign:</v>
      </c>
      <c r="J18" s="872"/>
      <c r="K18" s="846" t="str">
        <f>'Emails, Files, &amp; Other Data'!L3</f>
        <v>User access to content expires:</v>
      </c>
      <c r="L18" s="847"/>
      <c r="M18" s="847"/>
      <c r="N18" s="848"/>
      <c r="O18" s="875" t="str">
        <f>'Emails, Files, &amp; Other Data'!O3</f>
        <v>Allow offline access:</v>
      </c>
      <c r="P18" s="875"/>
      <c r="Q18" s="875"/>
      <c r="R18" s="846" t="str">
        <f>'Emails, Files, &amp; Other Data'!R3</f>
        <v>Assign Permissions Now:</v>
      </c>
      <c r="S18" s="847"/>
      <c r="T18" s="847"/>
      <c r="U18" s="848"/>
      <c r="V18" s="856" t="str">
        <f>'Emails, Files, &amp; Other Data'!U3</f>
        <v>Let users assign permissions when they apply the label:</v>
      </c>
      <c r="W18" s="857"/>
      <c r="X18" s="843" t="str">
        <f>'Emails, Files, &amp; Other Data'!X3</f>
        <v>Content Marking:</v>
      </c>
      <c r="Y18" s="843"/>
      <c r="Z18" s="843"/>
      <c r="AA18" s="846" t="str">
        <f>'Emails, Files, &amp; Other Data'!AB3</f>
        <v>Auto-labeling for files and emails: "Client-side Auto-Labeling"</v>
      </c>
      <c r="AB18" s="847"/>
      <c r="AC18" s="847"/>
      <c r="AD18" s="847"/>
      <c r="AE18" s="847"/>
      <c r="AF18" s="847"/>
      <c r="AG18" s="848"/>
    </row>
    <row r="19" spans="1:34" ht="32.5" customHeight="1" x14ac:dyDescent="0.35">
      <c r="A19" s="232">
        <f>VLOOKUP(B19,'Emails, Files, &amp; Other Data'!A10:B246,2,FALSE)</f>
        <v>11</v>
      </c>
      <c r="B19" s="897">
        <f>H$1</f>
        <v>1</v>
      </c>
      <c r="C19" s="296"/>
      <c r="D19" s="896" t="str">
        <f>IF(VLOOKUP(A19,'Emails, Files, &amp; Other Data'!$B$10:$AE$248,2,FALSE)="","",VLOOKUP(A19,'Emails, Files, &amp; Other Data'!$B$10:$AE$248,2,FALSE))</f>
        <v>Label-Public</v>
      </c>
      <c r="E19" s="443"/>
      <c r="F19" s="444"/>
      <c r="G19" s="901"/>
      <c r="H19" s="902"/>
      <c r="I19" s="903"/>
      <c r="J19" s="904"/>
      <c r="K19" s="424"/>
      <c r="L19" s="400"/>
      <c r="M19" s="400"/>
      <c r="N19" s="400"/>
      <c r="O19" s="420"/>
      <c r="P19" s="496"/>
      <c r="Q19" s="497"/>
      <c r="R19" s="861" t="s">
        <v>179</v>
      </c>
      <c r="S19" s="861"/>
      <c r="T19" s="861"/>
      <c r="U19" s="855"/>
      <c r="V19" s="854" t="s">
        <v>180</v>
      </c>
      <c r="W19" s="855"/>
      <c r="X19" s="411"/>
      <c r="Y19" s="44"/>
      <c r="Z19" s="44"/>
      <c r="AA19" s="406"/>
      <c r="AB19" s="209"/>
      <c r="AC19" s="209"/>
      <c r="AD19" s="209"/>
      <c r="AE19" s="209"/>
      <c r="AF19" s="208"/>
      <c r="AG19" s="262"/>
      <c r="AH19" s="23"/>
    </row>
    <row r="20" spans="1:34" ht="15" customHeight="1" x14ac:dyDescent="0.35">
      <c r="A20" s="232">
        <f>A19+1</f>
        <v>12</v>
      </c>
      <c r="B20" s="898"/>
      <c r="C20" s="296"/>
      <c r="D20" s="896"/>
      <c r="E20" s="445"/>
      <c r="F20" s="446"/>
      <c r="G20" s="208"/>
      <c r="H20" s="399"/>
      <c r="I20" s="427"/>
      <c r="J20" s="428"/>
      <c r="K20" s="425"/>
      <c r="L20" s="400"/>
      <c r="M20" s="400"/>
      <c r="N20" s="400"/>
      <c r="O20" s="421"/>
      <c r="P20" s="24"/>
      <c r="Q20" s="498"/>
      <c r="R20" s="9"/>
      <c r="S20" s="576" t="str">
        <f>IF(VLOOKUP($A20,'Emails, Files, &amp; Other Data'!$B$10:$AE$248,17,FALSE)="","",VLOOKUP($A20,'Emails, Files, &amp; Other Data'!$B$10:$AE$248,17,FALSE))</f>
        <v/>
      </c>
      <c r="T20" s="576"/>
      <c r="U20" s="863"/>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35">
      <c r="A21" s="232">
        <f t="shared" ref="A21:A27" si="1">A20+1</f>
        <v>13</v>
      </c>
      <c r="B21" s="898"/>
      <c r="C21" s="296"/>
      <c r="D21" s="896"/>
      <c r="E21" s="423" t="b">
        <f>VLOOKUP($A21,'Emails, Files, &amp; Other Data'!$B$10:$AE$248,4,FALSE)</f>
        <v>0</v>
      </c>
      <c r="F21" s="435" t="s">
        <v>370</v>
      </c>
      <c r="G21" s="200" t="b">
        <f>VLOOKUP($A21,'Emails, Files, &amp; Other Data'!$B$10:$AE$248,7,FALSE)</f>
        <v>0</v>
      </c>
      <c r="H21" s="891"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6"/>
      <c r="T21" s="576"/>
      <c r="U21" s="863"/>
      <c r="V21" s="860" t="b">
        <f>VLOOKUP($A22,'Emails, Files, &amp; Other Data'!$B$10:$AE$248,20,FALSE)</f>
        <v>0</v>
      </c>
      <c r="W21" s="859"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35">
      <c r="A22" s="232">
        <f t="shared" si="1"/>
        <v>14</v>
      </c>
      <c r="B22" s="898"/>
      <c r="C22" s="296"/>
      <c r="D22" s="896"/>
      <c r="E22" s="423" t="b">
        <f>VLOOKUP(A22,'Emails, Files, &amp; Other Data'!$B$10:$AE$248,4,FALSE)</f>
        <v>0</v>
      </c>
      <c r="F22" s="447" t="s">
        <v>371</v>
      </c>
      <c r="G22" s="15"/>
      <c r="H22" s="891"/>
      <c r="I22" s="201" t="b">
        <f>VLOOKUP($A22,'Emails, Files, &amp; Other Data'!$B$10:$AE$248,9,FALSE)</f>
        <v>0</v>
      </c>
      <c r="J22" s="894" t="s">
        <v>190</v>
      </c>
      <c r="K22" s="426" t="b">
        <f>VLOOKUP($A22,'Emails, Files, &amp; Other Data'!$B$10:$AE$248,11,FALSE)</f>
        <v>0</v>
      </c>
      <c r="L22" s="202" t="s">
        <v>191</v>
      </c>
      <c r="M22" s="864">
        <f>VLOOKUP($A22,'Emails, Files, &amp; Other Data'!$B$10:$AE$248,13,FALSE)</f>
        <v>44197</v>
      </c>
      <c r="N22" s="864"/>
      <c r="O22" s="419" t="b">
        <f>VLOOKUP($A22,'Emails, Files, &amp; Other Data'!$B$10:$AE$248,14,FALSE)</f>
        <v>0</v>
      </c>
      <c r="P22" s="9" t="s">
        <v>185</v>
      </c>
      <c r="Q22" s="435"/>
      <c r="R22" s="203" t="b">
        <f>VLOOKUP($A22,'Emails, Files, &amp; Other Data'!$B$10:$AE$248,17,FALSE)</f>
        <v>0</v>
      </c>
      <c r="S22" s="647" t="s">
        <v>192</v>
      </c>
      <c r="T22" s="647"/>
      <c r="U22" s="416"/>
      <c r="V22" s="860"/>
      <c r="W22" s="859"/>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35">
      <c r="A23" s="232">
        <f t="shared" si="1"/>
        <v>15</v>
      </c>
      <c r="B23" s="898"/>
      <c r="C23" s="296"/>
      <c r="D23" s="896"/>
      <c r="E23" s="423" t="b">
        <f>VLOOKUP(A23,'Emails, Files, &amp; Other Data'!$B$10:$AE$248,4,FALSE)</f>
        <v>0</v>
      </c>
      <c r="F23" s="892" t="s">
        <v>196</v>
      </c>
      <c r="G23" s="200" t="b">
        <f>VLOOKUP($A23,'Emails, Files, &amp; Other Data'!$B$10:$AE$248,7,FALSE)</f>
        <v>0</v>
      </c>
      <c r="H23" s="442" t="s">
        <v>197</v>
      </c>
      <c r="I23" s="410"/>
      <c r="J23" s="894"/>
      <c r="K23" s="419" t="b">
        <f>VLOOKUP($A23,'Emails, Files, &amp; Other Data'!$B$10:$AE$248,11,FALSE)</f>
        <v>0</v>
      </c>
      <c r="L23" s="44" t="s">
        <v>198</v>
      </c>
      <c r="M23" s="865">
        <f>VLOOKUP($A23,'Emails, Files, &amp; Other Data'!$B$10:$AE$248,13,FALSE)</f>
        <v>78</v>
      </c>
      <c r="N23" s="865"/>
      <c r="O23" s="419" t="b">
        <f>VLOOKUP($A23,'Emails, Files, &amp; Other Data'!$B$10:$AE$248,14,FALSE)</f>
        <v>0</v>
      </c>
      <c r="P23" s="9" t="s">
        <v>198</v>
      </c>
      <c r="Q23" s="499">
        <f>VLOOKUP($A23,'Emails, Files, &amp; Other Data'!$B$10:$AE$248,16,FALSE)</f>
        <v>76</v>
      </c>
      <c r="R23" s="44"/>
      <c r="S23" s="576" t="str">
        <f>IF(VLOOKUP($A23,'Emails, Files, &amp; Other Data'!$B$10:$AE$248,17,FALSE)="","",VLOOKUP($A23,'Emails, Files, &amp; Other Data'!$B$10:$AE$248,17,FALSE))</f>
        <v/>
      </c>
      <c r="T23" s="576"/>
      <c r="U23" s="863"/>
      <c r="V23" s="415" t="b">
        <f>VLOOKUP($A24,'Emails, Files, &amp; Other Data'!$B$10:$AE$248,20,FALSE)</f>
        <v>0</v>
      </c>
      <c r="W23" s="252" t="s">
        <v>200</v>
      </c>
      <c r="X23" s="413" t="b">
        <f>VLOOKUP($A23,'Emails, Files, &amp; Other Data'!$B$10:$AE$248,23,FALSE)</f>
        <v>0</v>
      </c>
      <c r="Y23" s="9" t="s">
        <v>372</v>
      </c>
      <c r="Z23" s="647" t="str">
        <f>IF(VLOOKUP($A23,'Emails, Files, &amp; Other Data'!$B$10:$AE$248,25,FALSE)="","",VLOOKUP($A23,'Emails, Files, &amp; Other Data'!$B$10:$AE$248,25,FALSE))</f>
        <v/>
      </c>
      <c r="AA23" s="408"/>
      <c r="AB23" s="844" t="str">
        <f>IF(VLOOKUP($A23,'Emails, Files, &amp; Other Data'!$B$10:$AE$248,28,FALSE)="","",VLOOKUP($A23,'Emails, Files, &amp; Other Data'!$B$10:$AE$248,28,FALSE))</f>
        <v/>
      </c>
      <c r="AC23" s="845"/>
      <c r="AD23" s="20"/>
      <c r="AE23" s="20"/>
      <c r="AF23" s="15" t="str">
        <f>IF(VLOOKUP($A23,'Emails, Files, &amp; Other Data'!$B$10:$AE$248,30,FALSE)="","",VLOOKUP($A23,'Emails, Files, &amp; Other Data'!$B$10:$AE$248,30,FALSE))</f>
        <v/>
      </c>
      <c r="AG23" s="263"/>
    </row>
    <row r="24" spans="1:34" ht="15" customHeight="1" x14ac:dyDescent="0.35">
      <c r="A24" s="232">
        <f t="shared" si="1"/>
        <v>16</v>
      </c>
      <c r="B24" s="898"/>
      <c r="C24" s="296"/>
      <c r="D24" s="896"/>
      <c r="E24" s="422"/>
      <c r="F24" s="892"/>
      <c r="G24" s="15"/>
      <c r="H24" s="263"/>
      <c r="I24" s="410"/>
      <c r="J24" s="894"/>
      <c r="K24" s="422"/>
      <c r="L24" s="3"/>
      <c r="M24" s="3"/>
      <c r="N24" s="3"/>
      <c r="O24" s="422"/>
      <c r="P24" s="3"/>
      <c r="Q24" s="435"/>
      <c r="R24" s="44"/>
      <c r="S24" s="576"/>
      <c r="T24" s="576"/>
      <c r="U24" s="863"/>
      <c r="V24" s="410"/>
      <c r="W24" s="401" t="str">
        <f>IF(VLOOKUP($A25,'Emails, Files, &amp; Other Data'!$B$10:$AE$248,20,FALSE)="","",VLOOKUP($A25,'Emails, Files, &amp; Other Data'!$B$10:$AE$248,20,FALSE))</f>
        <v/>
      </c>
      <c r="X24" s="412"/>
      <c r="Y24" s="9"/>
      <c r="Z24" s="647"/>
      <c r="AA24" s="409"/>
      <c r="AB24" s="15"/>
      <c r="AC24" s="15"/>
      <c r="AD24" s="15"/>
      <c r="AE24" s="15"/>
      <c r="AF24" s="15"/>
      <c r="AG24" s="263"/>
    </row>
    <row r="25" spans="1:34" ht="15" customHeight="1" x14ac:dyDescent="0.35">
      <c r="A25" s="232">
        <f t="shared" si="1"/>
        <v>17</v>
      </c>
      <c r="B25" s="898"/>
      <c r="C25" s="296"/>
      <c r="D25" s="896"/>
      <c r="E25" s="143"/>
      <c r="F25" s="435"/>
      <c r="G25" s="15"/>
      <c r="H25" s="263"/>
      <c r="I25" s="430"/>
      <c r="J25" s="431"/>
      <c r="K25" s="422"/>
      <c r="L25" s="3"/>
      <c r="M25" s="3"/>
      <c r="N25" s="3"/>
      <c r="O25" s="422"/>
      <c r="P25" s="3"/>
      <c r="Q25" s="435"/>
      <c r="R25" s="203" t="b">
        <f>VLOOKUP($A25,'Emails, Files, &amp; Other Data'!$B$10:$AE$248,17,FALSE)</f>
        <v>0</v>
      </c>
      <c r="S25" s="647" t="s">
        <v>201</v>
      </c>
      <c r="T25" s="647"/>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35">
      <c r="A26" s="232">
        <f t="shared" si="1"/>
        <v>18</v>
      </c>
      <c r="B26" s="898"/>
      <c r="C26" s="296"/>
      <c r="D26" s="896"/>
      <c r="E26" s="143"/>
      <c r="F26" s="435"/>
      <c r="G26" s="212"/>
      <c r="H26" s="263"/>
      <c r="I26" s="430"/>
      <c r="J26" s="431"/>
      <c r="K26" s="422"/>
      <c r="L26" s="3"/>
      <c r="M26" s="3"/>
      <c r="N26" s="3"/>
      <c r="O26" s="422"/>
      <c r="P26" s="3"/>
      <c r="Q26" s="435"/>
      <c r="R26" s="44"/>
      <c r="S26" s="576" t="str">
        <f>IF(VLOOKUP($A26,'Emails, Files, &amp; Other Data'!$B$10:$AE$248,17,FALSE)="","",VLOOKUP($A26,'Emails, Files, &amp; Other Data'!$B$10:$AE$248,17,FALSE))</f>
        <v/>
      </c>
      <c r="T26" s="576"/>
      <c r="U26" s="863"/>
      <c r="V26" s="414"/>
      <c r="W26" s="862"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35">
      <c r="A27" s="232">
        <f t="shared" si="1"/>
        <v>19</v>
      </c>
      <c r="B27" s="898"/>
      <c r="C27" s="296"/>
      <c r="D27" s="896"/>
      <c r="E27" s="422"/>
      <c r="F27" s="435"/>
      <c r="G27" s="15"/>
      <c r="H27" s="263"/>
      <c r="I27" s="430"/>
      <c r="J27" s="431"/>
      <c r="K27" s="422"/>
      <c r="L27" s="3"/>
      <c r="M27" s="3"/>
      <c r="N27" s="3"/>
      <c r="O27" s="422"/>
      <c r="P27" s="3"/>
      <c r="Q27" s="435"/>
      <c r="R27" s="44"/>
      <c r="S27" s="576"/>
      <c r="T27" s="576"/>
      <c r="U27" s="863"/>
      <c r="V27" s="410"/>
      <c r="W27" s="862"/>
      <c r="X27" s="410"/>
      <c r="Y27" s="9"/>
      <c r="Z27" s="9"/>
      <c r="AA27" s="410"/>
      <c r="AB27" s="15"/>
      <c r="AC27" s="15"/>
      <c r="AD27" s="15"/>
      <c r="AE27" s="15"/>
      <c r="AF27" s="15"/>
      <c r="AG27" s="263"/>
    </row>
    <row r="28" spans="1:34" ht="16.5" customHeight="1" x14ac:dyDescent="0.35">
      <c r="B28" s="899"/>
      <c r="C28" s="296"/>
      <c r="D28" s="896"/>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5" x14ac:dyDescent="0.45">
      <c r="C29" s="296"/>
      <c r="D29" s="234" t="str">
        <f>'Teams meetings and chats'!B1</f>
        <v>Teams meetings and chats</v>
      </c>
      <c r="E29" s="35"/>
      <c r="F29" s="35"/>
      <c r="G29" s="35"/>
      <c r="H29" s="35"/>
    </row>
    <row r="30" spans="1:34" s="224" customFormat="1" ht="31" customHeight="1" x14ac:dyDescent="0.4">
      <c r="A30" s="285"/>
      <c r="B30" s="465"/>
      <c r="C30" s="295"/>
      <c r="D30" s="481" t="str">
        <f>'Teams meetings and chats'!B2</f>
        <v>Label/Sub-Label Name:</v>
      </c>
      <c r="E30" s="853" t="str">
        <f>'Teams meetings and chats'!D2</f>
        <v>Control who can Bypass the Lobby:</v>
      </c>
      <c r="F30" s="866"/>
      <c r="G30" s="866"/>
      <c r="H30" s="866"/>
      <c r="I30" s="866" t="str">
        <f>'Teams meetings and chats'!I2</f>
        <v>Control Who Can Present:</v>
      </c>
      <c r="J30" s="866"/>
      <c r="K30" s="827" t="str">
        <f>'Teams meetings and chats'!K2</f>
        <v>Control who can Record and Transcribe:</v>
      </c>
      <c r="L30" s="828"/>
      <c r="M30" s="829"/>
      <c r="N30" s="866" t="str">
        <f>'Teams meetings and chats'!M2</f>
        <v>Control Whether Meetings are Recorded Automatically:</v>
      </c>
      <c r="O30" s="866"/>
      <c r="P30" s="866"/>
      <c r="Q30" s="873" t="str">
        <f>'Teams meetings and chats'!O2</f>
        <v>Control End-to-end Encryption for Meeting Video and Audio:</v>
      </c>
      <c r="R30" s="873"/>
      <c r="S30" s="873"/>
      <c r="T30" s="873"/>
      <c r="U30" s="873"/>
      <c r="V30" s="858" t="str">
        <f>'Teams meetings and chats'!Q2</f>
        <v>Control Watermarks:</v>
      </c>
      <c r="W30" s="858"/>
      <c r="X30" s="858"/>
      <c r="Y30" s="858"/>
      <c r="Z30" s="849" t="str">
        <f>'Teams meetings and chats'!U2</f>
        <v>Detect sensitive content during screen sharing:</v>
      </c>
      <c r="AA30" s="850"/>
      <c r="AB30" s="827" t="str">
        <f>'Teams meetings and chats'!W2</f>
        <v>Control Meeting Chat:</v>
      </c>
      <c r="AC30" s="828"/>
      <c r="AD30" s="829"/>
      <c r="AE30" s="851" t="str">
        <f>'Teams meetings and chats'!Y2</f>
        <v>Prevent Copying and Forwarding of Meeting Content:</v>
      </c>
      <c r="AF30" s="852"/>
      <c r="AG30" s="853"/>
    </row>
    <row r="31" spans="1:34" s="3" customFormat="1" ht="43.5" x14ac:dyDescent="0.35">
      <c r="A31" s="286"/>
      <c r="B31" s="466">
        <f>H$1</f>
        <v>1</v>
      </c>
      <c r="C31" s="303"/>
      <c r="D31" s="473" t="str">
        <f>IF(VLOOKUP($B31,'Teams meetings and chats'!$A11:$Y50,2,FALSE)="","",VLOOKUP($B31,'Teams meetings and chats'!$A11:$Y50,2,FALSE))</f>
        <v>Label-Public - Pending checkbox selection on Sensitivity Labels Tab</v>
      </c>
      <c r="E31" s="868" t="str">
        <f>IF(VLOOKUP($B31,'Teams meetings and chats'!$A11:$Y50,4,FALSE)="","",VLOOKUP($B31,'Teams meetings and chats'!$A11:$Y50,4,FALSE))</f>
        <v/>
      </c>
      <c r="F31" s="869"/>
      <c r="G31" s="460" t="b">
        <f>VLOOKUP($B31,'Teams meetings and chats'!$A11:$Y50,6,FALSE)</f>
        <v>0</v>
      </c>
      <c r="H31" s="95" t="s">
        <v>224</v>
      </c>
      <c r="I31" s="868" t="str">
        <f>IF(VLOOKUP($B31,'Teams meetings and chats'!$A11:$Y50,9,FALSE)="","",VLOOKUP($B31,'Teams meetings and chats'!$A11:$Y50,9,FALSE))</f>
        <v/>
      </c>
      <c r="J31" s="869"/>
      <c r="K31" s="868" t="str">
        <f>IF(VLOOKUP($B31,'Teams meetings and chats'!$A11:$Y50,11,FALSE)="","",VLOOKUP($B31,'Teams meetings and chats'!$A11:$Y50,11,FALSE))</f>
        <v/>
      </c>
      <c r="L31" s="953"/>
      <c r="M31" s="869"/>
      <c r="N31" s="868" t="str">
        <f>IF(VLOOKUP($B31,'Teams meetings and chats'!$A11:$Y50,13,FALSE)="","",VLOOKUP($B31,'Teams meetings and chats'!$A11:$Y50,13,FALSE))</f>
        <v/>
      </c>
      <c r="O31" s="953"/>
      <c r="P31" s="869"/>
      <c r="Q31" s="896" t="str">
        <f>IF(VLOOKUP($B31,'Teams meetings and chats'!$A11:$Y50,15,FALSE)="","",VLOOKUP($B31,'Teams meetings and chats'!$A11:$Y50,15,FALSE))</f>
        <v/>
      </c>
      <c r="R31" s="960"/>
      <c r="S31" s="960"/>
      <c r="T31" s="960"/>
      <c r="U31" s="815"/>
      <c r="V31" s="537" t="str">
        <f>IF(VLOOKUP($B31,'Teams meetings and chats'!$A11:$Y50,17,FALSE)="","",VLOOKUP($B31,'Teams meetings and chats'!$A11:$Y50,17,FALSE))</f>
        <v/>
      </c>
      <c r="W31" s="896"/>
      <c r="X31" s="896" t="str">
        <f>IF(VLOOKUP($B31,'Teams meetings and chats'!$A11:$Y50,19,FALSE)="","",VLOOKUP($B31,'Teams meetings and chats'!$A11:$Y50,19,FALSE))</f>
        <v/>
      </c>
      <c r="Y31" s="815"/>
      <c r="Z31" s="815" t="str">
        <f>IF(VLOOKUP($B31,'Teams meetings and chats'!$A11:$Y50,21,FALSE)="","",VLOOKUP($B31,'Teams meetings and chats'!$A11:$Y50,21,FALSE))</f>
        <v/>
      </c>
      <c r="AA31" s="537"/>
      <c r="AB31" s="896" t="str">
        <f>IF(VLOOKUP($B31,'Teams meetings and chats'!$A11:$Y50,23,FALSE)="","",VLOOKUP($B31,'Teams meetings and chats'!$A11:$Y50,23,FALSE))</f>
        <v/>
      </c>
      <c r="AC31" s="960"/>
      <c r="AD31" s="815"/>
      <c r="AE31" s="896" t="str">
        <f>IF(VLOOKUP($B31,'Teams meetings and chats'!$A11:$Y50,25,FALSE)="","",VLOOKUP($B31,'Teams meetings and chats'!$A11:$Y50,25,FALSE))</f>
        <v/>
      </c>
      <c r="AF31" s="960"/>
      <c r="AG31" s="815"/>
    </row>
    <row r="32" spans="1:34" ht="3" customHeight="1" x14ac:dyDescent="0.3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15" customHeight="1" x14ac:dyDescent="0.3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5" x14ac:dyDescent="0.45">
      <c r="B34" s="467"/>
      <c r="C34" s="296"/>
      <c r="D34" s="234" t="str">
        <f>'Groups &amp; Sites'!C1</f>
        <v>Groups &amp; Sites</v>
      </c>
    </row>
    <row r="35" spans="1:34" s="3" customFormat="1" ht="31" customHeight="1" x14ac:dyDescent="0.35">
      <c r="A35" s="286"/>
      <c r="B35" s="468"/>
      <c r="C35" s="296"/>
      <c r="D35" s="480" t="str">
        <f>'Groups &amp; Sites'!C3</f>
        <v>Label/Sub-Label Name:</v>
      </c>
      <c r="E35" s="873" t="str">
        <f>'Groups &amp; Sites'!E3</f>
        <v>Define protection settings for groups and sites:</v>
      </c>
      <c r="F35" s="873"/>
      <c r="G35" s="873" t="str">
        <f>'Groups &amp; Sites'!H3</f>
        <v>Define privacy and external user access settings:</v>
      </c>
      <c r="H35" s="873"/>
      <c r="I35" s="964" t="str">
        <f>'Groups &amp; Sites'!K3</f>
        <v>External sharing and Conditional Access:</v>
      </c>
      <c r="J35" s="965"/>
      <c r="K35" s="965"/>
      <c r="L35" s="480" t="str">
        <f>'Groups &amp; Sites'!N3</f>
        <v>External sharing:</v>
      </c>
      <c r="M35" s="849" t="str">
        <f>'Groups &amp; Sites'!P3</f>
        <v>Conditional Access:</v>
      </c>
      <c r="N35" s="958"/>
      <c r="O35" s="958"/>
      <c r="P35" s="958"/>
      <c r="Q35" s="850"/>
      <c r="R35" s="849" t="str">
        <f>'Groups &amp; Sites'!S3</f>
        <v>Private teams discoverability and shared channel controls:</v>
      </c>
      <c r="S35" s="958"/>
      <c r="T35" s="958"/>
      <c r="U35" s="850"/>
    </row>
    <row r="36" spans="1:34" ht="35.15" customHeight="1" x14ac:dyDescent="0.35">
      <c r="A36" s="232">
        <f>VLOOKUP(B36,'Groups &amp; Sites'!$A$13:$T$191,2,FALSE)</f>
        <v>11</v>
      </c>
      <c r="B36" s="888">
        <f>H$1</f>
        <v>1</v>
      </c>
      <c r="C36" s="296"/>
      <c r="D36" s="949" t="str">
        <f>IF(VLOOKUP($A36,'Groups &amp; Sites'!$B$13:$T$191,2,FALSE)="","",VLOOKUP($A36,'Groups &amp; Sites'!$B$13:$T$191,2,FALSE))</f>
        <v>Label-Public - Pending checkbox selection on Sensitivity Labels Tab</v>
      </c>
      <c r="E36" s="274" t="b">
        <f>VLOOKUP($A36,'Groups &amp; Sites'!$B$13:$T$191,4,FALSE)</f>
        <v>0</v>
      </c>
      <c r="F36" s="259" t="s">
        <v>238</v>
      </c>
      <c r="G36" s="961" t="str">
        <f>IF(VLOOKUP($A36,'Groups &amp; Sites'!$B$13:$T$191,7,FALSE)="","",VLOOKUP($A36,'Groups &amp; Sites'!$B$13:$T$191,7,FALSE))</f>
        <v/>
      </c>
      <c r="H36" s="962"/>
      <c r="I36" s="277" t="b">
        <f>VLOOKUP($A36,'Groups &amp; Sites'!$B$13:$T$191,10,FALSE)</f>
        <v>0</v>
      </c>
      <c r="J36" s="260" t="s">
        <v>239</v>
      </c>
      <c r="K36" s="248"/>
      <c r="L36" s="472" t="s">
        <v>240</v>
      </c>
      <c r="M36" s="854" t="s">
        <v>241</v>
      </c>
      <c r="N36" s="861"/>
      <c r="O36" s="861"/>
      <c r="P36" s="861"/>
      <c r="Q36" s="855"/>
      <c r="R36" s="954" t="s">
        <v>242</v>
      </c>
      <c r="S36" s="954"/>
      <c r="T36" s="954"/>
      <c r="U36" s="955"/>
    </row>
    <row r="37" spans="1:34" ht="29.15" customHeight="1" x14ac:dyDescent="0.35">
      <c r="A37" s="232">
        <f>A36+1</f>
        <v>12</v>
      </c>
      <c r="B37" s="889"/>
      <c r="C37" s="296"/>
      <c r="D37" s="950"/>
      <c r="E37" s="275" t="b">
        <f>VLOOKUP($A37,'Groups &amp; Sites'!$B$13:$T$191,4,FALSE)</f>
        <v>0</v>
      </c>
      <c r="F37" s="231" t="s">
        <v>243</v>
      </c>
      <c r="G37" s="414"/>
      <c r="H37" s="24"/>
      <c r="I37" s="963" t="b">
        <f>VLOOKUP($A37,'Groups &amp; Sites'!$B$13:$T$191,10,FALSE)</f>
        <v>0</v>
      </c>
      <c r="J37" s="647" t="s">
        <v>241</v>
      </c>
      <c r="L37" s="414" t="str">
        <f>IF(VLOOKUP($A38,'Groups &amp; Sites'!$B$13:$T$191,13,FALSE)="","",VLOOKUP($A38,'Groups &amp; Sites'!$B$13:$T$191,13,FALSE))</f>
        <v/>
      </c>
      <c r="M37" s="432" t="b">
        <f>VLOOKUP($A37,'Groups &amp; Sites'!$B$13:$T$191,15,FALSE)</f>
        <v>0</v>
      </c>
      <c r="N37" s="647" t="s">
        <v>244</v>
      </c>
      <c r="O37" s="647"/>
      <c r="P37" s="647"/>
      <c r="Q37" s="959"/>
      <c r="R37" s="79" t="b">
        <f>VLOOKUP($A37,'Groups &amp; Sites'!$B$13:$T$191,18,FALSE)</f>
        <v>0</v>
      </c>
      <c r="S37" s="956" t="s">
        <v>245</v>
      </c>
      <c r="T37" s="895"/>
      <c r="U37" s="957"/>
    </row>
    <row r="38" spans="1:34" ht="29.5" customHeight="1" x14ac:dyDescent="0.35">
      <c r="A38" s="232">
        <f>A37+1</f>
        <v>13</v>
      </c>
      <c r="B38" s="889"/>
      <c r="C38" s="296"/>
      <c r="D38" s="950"/>
      <c r="E38" s="275" t="b">
        <f>VLOOKUP($A38,'Groups &amp; Sites'!$B$13:$T$191,4,FALSE)</f>
        <v>0</v>
      </c>
      <c r="F38" s="469" t="s">
        <v>246</v>
      </c>
      <c r="G38" s="278" t="b">
        <f>VLOOKUP($A38,'Groups &amp; Sites'!$B$13:$T$191,7,FALSE)</f>
        <v>0</v>
      </c>
      <c r="H38" s="895" t="s">
        <v>247</v>
      </c>
      <c r="I38" s="963"/>
      <c r="J38" s="647"/>
      <c r="L38" s="143"/>
      <c r="M38" s="414"/>
      <c r="N38" s="952" t="str">
        <f>IF(VLOOKUP($A38,'Groups &amp; Sites'!$B$13:$T$191,16,FALSE)="","",VLOOKUP($A38,'Groups &amp; Sites'!$B$13:$T$191,16,FALSE))</f>
        <v/>
      </c>
      <c r="O38" s="952"/>
      <c r="P38" s="952"/>
      <c r="Q38" s="433"/>
      <c r="R38" s="138" t="s">
        <v>248</v>
      </c>
      <c r="S38" s="138"/>
      <c r="T38" s="138"/>
      <c r="U38" s="257"/>
    </row>
    <row r="39" spans="1:34" x14ac:dyDescent="0.35">
      <c r="A39" s="232">
        <f>A38+1</f>
        <v>14</v>
      </c>
      <c r="B39" s="889"/>
      <c r="C39" s="296"/>
      <c r="D39" s="950"/>
      <c r="G39" s="414"/>
      <c r="H39" s="895"/>
      <c r="I39" s="143"/>
      <c r="L39" s="143"/>
      <c r="M39" s="278" t="b">
        <f>VLOOKUP($A39,'Groups &amp; Sites'!$B$13:$T$191,15,FALSE)</f>
        <v>0</v>
      </c>
      <c r="N39" s="44" t="s">
        <v>249</v>
      </c>
      <c r="Q39" s="257"/>
      <c r="R39" s="45" t="b">
        <f>VLOOKUP($A39,'Groups &amp; Sites'!$B$13:$T$191,18,FALSE)</f>
        <v>0</v>
      </c>
      <c r="S39" s="44" t="s">
        <v>250</v>
      </c>
      <c r="T39" s="44"/>
      <c r="U39" s="257"/>
    </row>
    <row r="40" spans="1:34" ht="29.15" customHeight="1" x14ac:dyDescent="0.35">
      <c r="A40" s="232">
        <f>A39+1</f>
        <v>15</v>
      </c>
      <c r="B40" s="889"/>
      <c r="C40" s="296"/>
      <c r="D40" s="950"/>
      <c r="G40" s="414"/>
      <c r="H40" s="895"/>
      <c r="I40" s="143"/>
      <c r="L40" s="471"/>
      <c r="M40" s="143"/>
      <c r="N40" s="952" t="str">
        <f>IF(VLOOKUP($A41,'Groups &amp; Sites'!$B$13:$T$191,16,FALSE)="","",VLOOKUP($A41,'Groups &amp; Sites'!$B$13:$T$191,16,FALSE))</f>
        <v/>
      </c>
      <c r="O40" s="952"/>
      <c r="P40" s="952"/>
      <c r="Q40" s="433"/>
      <c r="R40" s="79" t="b">
        <f>VLOOKUP($A40,'Groups &amp; Sites'!$B$13:$T$191,18,FALSE)</f>
        <v>0</v>
      </c>
      <c r="S40" s="80" t="s">
        <v>251</v>
      </c>
      <c r="T40" s="44"/>
      <c r="U40" s="257"/>
    </row>
    <row r="41" spans="1:34" ht="21.65" customHeight="1" x14ac:dyDescent="0.35">
      <c r="A41" s="232">
        <f>A40+1</f>
        <v>16</v>
      </c>
      <c r="B41" s="890"/>
      <c r="C41" s="296"/>
      <c r="D41" s="951"/>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7" customHeight="1" x14ac:dyDescent="0.35">
      <c r="B42" s="125"/>
      <c r="C42" s="296"/>
    </row>
    <row r="43" spans="1:34" ht="18.5" x14ac:dyDescent="0.45">
      <c r="B43" s="125"/>
      <c r="C43" s="296"/>
      <c r="D43" s="234" t="str">
        <f>Publishing!C1</f>
        <v>Publishing</v>
      </c>
    </row>
    <row r="44" spans="1:34" ht="36" customHeight="1" x14ac:dyDescent="0.45">
      <c r="B44" s="448"/>
      <c r="C44" s="295"/>
      <c r="D44" s="477" t="str">
        <f>Publishing!C3</f>
        <v>Name:</v>
      </c>
      <c r="E44" s="947" t="str">
        <f>Publishing!E3</f>
        <v>Description:</v>
      </c>
      <c r="F44" s="948"/>
      <c r="G44" s="893" t="str">
        <f>Publishing!G3</f>
        <v>Choose sensitivity labels to publish:</v>
      </c>
      <c r="H44" s="893"/>
      <c r="I44" s="948" t="str">
        <f>Publishing!I3</f>
        <v>Assign admin units:</v>
      </c>
      <c r="J44" s="948"/>
      <c r="K44" s="948" t="str">
        <f>Publishing!K3</f>
        <v>Publish to users and groups:</v>
      </c>
      <c r="L44" s="948"/>
      <c r="M44" s="967" t="str">
        <f>Publishing!M3</f>
        <v>Policy settings:</v>
      </c>
      <c r="N44" s="968"/>
      <c r="O44" s="968"/>
      <c r="P44" s="968"/>
      <c r="Q44" s="968"/>
      <c r="R44" s="944" t="str">
        <f>Publishing!P3</f>
        <v>Default settings for documents​:</v>
      </c>
      <c r="S44" s="945"/>
      <c r="T44" s="945"/>
      <c r="U44" s="946"/>
      <c r="V44" s="947" t="str">
        <f>Publishing!S3</f>
        <v>Default settings for emails:</v>
      </c>
      <c r="W44" s="948"/>
      <c r="X44" s="944" t="str">
        <f>Publishing!V3</f>
        <v>Default settings for meetings and calendar events:</v>
      </c>
      <c r="Y44" s="945"/>
      <c r="Z44" s="945"/>
      <c r="AA44" s="946"/>
      <c r="AB44" s="980" t="str">
        <f>Publishing!Y3</f>
        <v>Default settings for sites and groups</v>
      </c>
      <c r="AC44" s="981"/>
      <c r="AD44" s="947"/>
      <c r="AE44" s="944" t="str">
        <f>Publishing!AB3</f>
        <v>Default settings for Fabric and Power BI content:</v>
      </c>
      <c r="AF44" s="945"/>
      <c r="AG44" s="945"/>
      <c r="AH44" s="946"/>
    </row>
    <row r="45" spans="1:34" x14ac:dyDescent="0.35">
      <c r="A45" s="232">
        <f>VLOOKUP(B45,Publishing!A$13:AD$253,2,FALSE)</f>
        <v>11</v>
      </c>
      <c r="B45" s="897">
        <f>J1</f>
        <v>1</v>
      </c>
      <c r="C45" s="295"/>
      <c r="D45" s="560" t="str">
        <f>IF(VLOOKUP($A45,Publishing!$B$13:$AC$251,2,FALSE)="","",VLOOKUP($A45,Publishing!$B$13:$AC$251,2,FALSE))</f>
        <v>Company Wide</v>
      </c>
      <c r="E45" s="832" t="str">
        <f>IF(VLOOKUP($A45,Publishing!$B$13:$AC$251,4,FALSE)="","",VLOOKUP($A45,Publishing!$B$13:$AC$251,4,FALSE))</f>
        <v/>
      </c>
      <c r="F45" s="633"/>
      <c r="G45" s="837" t="str">
        <f>IF(VLOOKUP($A45,Publishing!$B$13:$AC$251,6,FALSE)="","",VLOOKUP($A45,Publishing!$B$13:$AC$251,6,FALSE))</f>
        <v>All Labels</v>
      </c>
      <c r="H45" s="838"/>
      <c r="I45" s="837" t="str">
        <f>IF(VLOOKUP($A45,Publishing!$B$13:$AC$251,8,FALSE)="","",VLOOKUP($A45,Publishing!$B$13:$AC$251,8,FALSE))</f>
        <v/>
      </c>
      <c r="J45" s="969"/>
      <c r="K45" s="837" t="str">
        <f>IF(VLOOKUP($A45,Publishing!$B$13:$AC$251,10,FALSE)="","",VLOOKUP($A45,Publishing!$B$13:$AC$251,10,FALSE))</f>
        <v>All users and groups</v>
      </c>
      <c r="L45" s="838"/>
      <c r="M45" s="247" t="b">
        <f>VLOOKUP($A45,Publishing!$B$13:$AC$251,12,FALSE)</f>
        <v>1</v>
      </c>
      <c r="N45" s="870" t="s">
        <v>297</v>
      </c>
      <c r="O45" s="870"/>
      <c r="P45" s="870"/>
      <c r="Q45" s="870"/>
      <c r="R45" s="406"/>
      <c r="S45" s="913" t="s">
        <v>298</v>
      </c>
      <c r="T45" s="913"/>
      <c r="U45" s="914"/>
      <c r="V45" s="971"/>
      <c r="W45" s="248" t="s">
        <v>299</v>
      </c>
      <c r="X45" s="972"/>
      <c r="Y45" s="248" t="s">
        <v>300</v>
      </c>
      <c r="Z45" s="248"/>
      <c r="AA45" s="490"/>
      <c r="AB45" s="500"/>
      <c r="AC45" s="248" t="s">
        <v>301</v>
      </c>
      <c r="AD45" s="251"/>
      <c r="AE45" s="969"/>
      <c r="AF45" s="966" t="s">
        <v>302</v>
      </c>
      <c r="AG45" s="248"/>
      <c r="AH45" s="251"/>
    </row>
    <row r="46" spans="1:34" x14ac:dyDescent="0.35">
      <c r="A46" s="232">
        <f t="shared" ref="A46:A54" si="2">A45+1</f>
        <v>12</v>
      </c>
      <c r="B46" s="898"/>
      <c r="C46" s="295"/>
      <c r="D46" s="560"/>
      <c r="E46" s="833"/>
      <c r="F46" s="634"/>
      <c r="G46" s="839"/>
      <c r="H46" s="840"/>
      <c r="I46" s="839"/>
      <c r="J46" s="723"/>
      <c r="K46" s="839"/>
      <c r="L46" s="840"/>
      <c r="M46" s="64" t="b">
        <f>VLOOKUP($A46,Publishing!$B$13:$AC$251,12,FALSE)</f>
        <v>1</v>
      </c>
      <c r="N46" s="871" t="s">
        <v>303</v>
      </c>
      <c r="O46" s="871"/>
      <c r="P46" s="871"/>
      <c r="Q46" s="871"/>
      <c r="R46" s="436"/>
      <c r="S46" s="976" t="str">
        <f>IF(VLOOKUP($A47,Publishing!$B$13:$AC$251,16,FALSE)="","",VLOOKUP($A47,Publishing!$B$13:$AC$251,16,FALSE))</f>
        <v>General</v>
      </c>
      <c r="T46" s="870"/>
      <c r="U46" s="977"/>
      <c r="V46" s="740"/>
      <c r="W46" s="487" t="str">
        <f>IF(VLOOKUP($A47,Publishing!$B$13:$AC$251,19,FALSE)="","",VLOOKUP($A47,Publishing!$B$13:$AC$251,19,FALSE))</f>
        <v>General</v>
      </c>
      <c r="X46" s="973"/>
      <c r="Y46" s="918" t="str">
        <f>IF(VLOOKUP($A47,Publishing!$B$13:$AC$251,22,FALSE)="","",VLOOKUP($A47,Publishing!$B$13:$AC$251,22,FALSE))</f>
        <v>General</v>
      </c>
      <c r="Z46" s="919"/>
      <c r="AA46" s="491"/>
      <c r="AB46" s="501"/>
      <c r="AC46" s="10" t="str">
        <f>IF(VLOOKUP($A47,Publishing!$B$13:$AC$251,25,FALSE)="","",VLOOKUP($A47,Publishing!$B$13:$AC$251,25,FALSE))</f>
        <v>General</v>
      </c>
      <c r="AD46" s="502"/>
      <c r="AE46" s="723"/>
      <c r="AF46" s="536"/>
      <c r="AH46" s="257"/>
    </row>
    <row r="47" spans="1:34" ht="14.5" customHeight="1" x14ac:dyDescent="0.35">
      <c r="A47" s="232">
        <f t="shared" si="2"/>
        <v>13</v>
      </c>
      <c r="B47" s="898"/>
      <c r="C47" s="295"/>
      <c r="D47" s="560"/>
      <c r="E47" s="833"/>
      <c r="F47" s="634"/>
      <c r="G47" s="839"/>
      <c r="H47" s="840"/>
      <c r="I47" s="839"/>
      <c r="J47" s="723"/>
      <c r="K47" s="839"/>
      <c r="L47" s="840"/>
      <c r="M47" s="64" t="b">
        <f>VLOOKUP($A47,Publishing!$B$13:$AC$251,12,FALSE)</f>
        <v>0</v>
      </c>
      <c r="N47" s="871" t="s">
        <v>304</v>
      </c>
      <c r="O47" s="871"/>
      <c r="P47" s="871"/>
      <c r="Q47" s="871"/>
      <c r="R47" s="436"/>
      <c r="S47" s="978"/>
      <c r="T47" s="874"/>
      <c r="U47" s="979"/>
      <c r="X47" s="492"/>
      <c r="AA47" s="435"/>
      <c r="AB47" s="143"/>
      <c r="AD47" s="257"/>
      <c r="AF47" s="10" t="str">
        <f>IF(VLOOKUP($A47,Publishing!$B$13:$AC$251,28,FALSE)="","",VLOOKUP($A47,Publishing!$B$13:$AC$251,28,FALSE))</f>
        <v/>
      </c>
      <c r="AH47" s="257"/>
    </row>
    <row r="48" spans="1:34" ht="4" customHeight="1" x14ac:dyDescent="0.35">
      <c r="A48" s="232">
        <f t="shared" si="2"/>
        <v>14</v>
      </c>
      <c r="B48" s="898"/>
      <c r="C48" s="295"/>
      <c r="D48" s="560"/>
      <c r="E48" s="833"/>
      <c r="F48" s="634"/>
      <c r="G48" s="839"/>
      <c r="H48" s="840"/>
      <c r="I48" s="839"/>
      <c r="J48" s="723"/>
      <c r="K48" s="839"/>
      <c r="L48" s="840"/>
      <c r="N48" s="183"/>
      <c r="O48" s="183"/>
      <c r="P48" s="183"/>
      <c r="Q48" s="183"/>
      <c r="R48" s="436"/>
      <c r="U48" s="257"/>
      <c r="X48" s="492"/>
      <c r="Y48" s="3"/>
      <c r="Z48" s="3"/>
      <c r="AA48" s="435"/>
      <c r="AB48" s="143"/>
      <c r="AD48" s="257"/>
      <c r="AH48" s="257"/>
    </row>
    <row r="49" spans="1:37" x14ac:dyDescent="0.35">
      <c r="A49" s="232">
        <f t="shared" si="2"/>
        <v>15</v>
      </c>
      <c r="B49" s="898"/>
      <c r="C49" s="295"/>
      <c r="D49" s="560"/>
      <c r="E49" s="833"/>
      <c r="F49" s="634"/>
      <c r="G49" s="839"/>
      <c r="H49" s="840"/>
      <c r="I49" s="839"/>
      <c r="J49" s="723"/>
      <c r="K49" s="839"/>
      <c r="L49" s="840"/>
      <c r="M49" s="64" t="b">
        <f>VLOOKUP($A49,Publishing!$B$13:$AC$251,12,FALSE)</f>
        <v>1</v>
      </c>
      <c r="N49" s="934" t="s">
        <v>305</v>
      </c>
      <c r="O49" s="934"/>
      <c r="P49" s="934"/>
      <c r="Q49" s="934"/>
      <c r="R49" s="437"/>
      <c r="U49" s="416"/>
      <c r="V49" s="45" t="b">
        <f>VLOOKUP($A49,Publishing!$B$13:$AC$251,18,FALSE)</f>
        <v>1</v>
      </c>
      <c r="W49" s="44" t="s">
        <v>306</v>
      </c>
      <c r="X49" s="236" t="b">
        <f>VLOOKUP($A49,Publishing!$B$13:$AC$251,21,FALSE)</f>
        <v>1</v>
      </c>
      <c r="Y49" s="871" t="s">
        <v>307</v>
      </c>
      <c r="Z49" s="871"/>
      <c r="AA49" s="435"/>
      <c r="AB49" s="236" t="b">
        <f>VLOOKUP($A49,Publishing!$B$13:$AC$251,24,FALSE)</f>
        <v>1</v>
      </c>
      <c r="AC49" t="s">
        <v>306</v>
      </c>
      <c r="AD49" s="257"/>
      <c r="AH49" s="257"/>
    </row>
    <row r="50" spans="1:37" ht="4" customHeight="1" x14ac:dyDescent="0.35">
      <c r="A50" s="232">
        <f t="shared" si="2"/>
        <v>16</v>
      </c>
      <c r="B50" s="898"/>
      <c r="C50" s="295"/>
      <c r="D50" s="560"/>
      <c r="E50" s="833"/>
      <c r="F50" s="634"/>
      <c r="G50" s="839"/>
      <c r="H50" s="840"/>
      <c r="I50" s="839"/>
      <c r="J50" s="723"/>
      <c r="K50" s="839"/>
      <c r="L50" s="840"/>
      <c r="N50" s="230"/>
      <c r="O50" s="230"/>
      <c r="P50" s="230"/>
      <c r="Q50" s="230"/>
      <c r="R50" s="437"/>
      <c r="U50" s="416"/>
      <c r="V50" s="44"/>
      <c r="W50" s="44"/>
      <c r="X50" s="492"/>
      <c r="Y50" s="183"/>
      <c r="Z50" s="183"/>
      <c r="AA50" s="483"/>
      <c r="AB50" s="501"/>
      <c r="AD50" s="257"/>
      <c r="AH50" s="257"/>
    </row>
    <row r="51" spans="1:37" x14ac:dyDescent="0.35">
      <c r="A51" s="232">
        <f t="shared" si="2"/>
        <v>17</v>
      </c>
      <c r="B51" s="898"/>
      <c r="C51" s="295"/>
      <c r="D51" s="560"/>
      <c r="E51" s="833"/>
      <c r="F51" s="634"/>
      <c r="G51" s="839"/>
      <c r="H51" s="840"/>
      <c r="I51" s="839"/>
      <c r="J51" s="723"/>
      <c r="K51" s="839"/>
      <c r="L51" s="840"/>
      <c r="N51" s="674" t="str">
        <f>VLOOKUP($A52,Publishing!$B$13:$AC$251,13,FALSE)</f>
        <v>Your internal Intranet SharePoint Online page with your Sensitivity Label information.</v>
      </c>
      <c r="O51" s="674"/>
      <c r="P51" s="674"/>
      <c r="R51" s="143"/>
      <c r="U51" s="257"/>
      <c r="V51" s="803" t="s">
        <v>309</v>
      </c>
      <c r="W51" s="803"/>
      <c r="X51" s="440" t="s">
        <v>310</v>
      </c>
      <c r="Y51" s="16"/>
      <c r="Z51" s="16"/>
      <c r="AA51" s="441"/>
      <c r="AB51" s="501"/>
      <c r="AD51" s="257"/>
      <c r="AH51" s="257"/>
    </row>
    <row r="52" spans="1:37" ht="14.5" customHeight="1" x14ac:dyDescent="0.35">
      <c r="A52" s="232">
        <f t="shared" si="2"/>
        <v>18</v>
      </c>
      <c r="B52" s="898"/>
      <c r="C52" s="295"/>
      <c r="D52" s="560"/>
      <c r="E52" s="833"/>
      <c r="F52" s="634"/>
      <c r="G52" s="839"/>
      <c r="H52" s="840"/>
      <c r="I52" s="839"/>
      <c r="J52" s="723"/>
      <c r="K52" s="839"/>
      <c r="L52" s="840"/>
      <c r="R52" s="143"/>
      <c r="U52" s="257"/>
      <c r="V52" s="45" t="b">
        <f>VLOOKUP($A52,Publishing!$B$13:$AC$251,18,FALSE)</f>
        <v>1</v>
      </c>
      <c r="W52" s="3" t="s">
        <v>311</v>
      </c>
      <c r="X52" s="143"/>
      <c r="Y52" t="s">
        <v>312</v>
      </c>
      <c r="AA52" s="257"/>
      <c r="AB52" s="143"/>
      <c r="AD52" s="257"/>
      <c r="AH52" s="257"/>
    </row>
    <row r="53" spans="1:37" x14ac:dyDescent="0.35">
      <c r="A53" s="232">
        <f t="shared" si="2"/>
        <v>19</v>
      </c>
      <c r="B53" s="898"/>
      <c r="C53" s="295"/>
      <c r="D53" s="560"/>
      <c r="E53" s="833"/>
      <c r="F53" s="634"/>
      <c r="G53" s="839"/>
      <c r="H53" s="840"/>
      <c r="I53" s="839"/>
      <c r="J53" s="723"/>
      <c r="K53" s="839"/>
      <c r="L53" s="840"/>
      <c r="N53" s="44"/>
      <c r="R53" s="143"/>
      <c r="U53" s="257"/>
      <c r="V53" s="974" t="str">
        <f>IF(VLOOKUP($A54,Publishing!$B$13:$AC$251,19,FALSE)="","",VLOOKUP($A54,Publishing!$B$13:$AC$251,19,FALSE))</f>
        <v>Automatic apply highest priority label</v>
      </c>
      <c r="W53" s="974"/>
      <c r="X53" s="492"/>
      <c r="Y53" s="975" t="str">
        <f>IF(VLOOKUP($A54,Publishing!$B$13:$AC$251,22,FALSE)="","",VLOOKUP($A54,Publishing!$B$13:$AC$251,22,FALSE))</f>
        <v>Automatic apply highest priority label</v>
      </c>
      <c r="Z53" s="975"/>
      <c r="AA53" s="434"/>
      <c r="AB53" s="503"/>
      <c r="AC53" s="73"/>
      <c r="AD53" s="434"/>
      <c r="AH53" s="257"/>
    </row>
    <row r="54" spans="1:37" x14ac:dyDescent="0.35">
      <c r="A54" s="232">
        <f t="shared" si="2"/>
        <v>20</v>
      </c>
      <c r="B54" s="898"/>
      <c r="C54" s="295"/>
      <c r="D54" s="560"/>
      <c r="E54" s="833"/>
      <c r="F54" s="634"/>
      <c r="G54" s="839"/>
      <c r="H54" s="840"/>
      <c r="I54" s="839"/>
      <c r="J54" s="723"/>
      <c r="K54" s="839"/>
      <c r="L54" s="840"/>
      <c r="N54" s="44"/>
      <c r="R54" s="143"/>
      <c r="U54" s="257"/>
      <c r="V54" s="974"/>
      <c r="W54" s="974"/>
      <c r="X54" s="492"/>
      <c r="Y54" s="975"/>
      <c r="Z54" s="975"/>
      <c r="AA54" s="434"/>
      <c r="AB54" s="503"/>
      <c r="AC54" s="73"/>
      <c r="AD54" s="434"/>
      <c r="AH54" s="257"/>
    </row>
    <row r="55" spans="1:37" x14ac:dyDescent="0.35">
      <c r="B55" s="899"/>
      <c r="C55" s="295"/>
      <c r="D55" s="809"/>
      <c r="E55" s="835"/>
      <c r="F55" s="836"/>
      <c r="G55" s="841"/>
      <c r="H55" s="842"/>
      <c r="I55" s="841"/>
      <c r="J55" s="970"/>
      <c r="K55" s="841"/>
      <c r="L55" s="842"/>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35">
      <c r="C56" s="296"/>
    </row>
    <row r="57" spans="1:37" ht="18.5" x14ac:dyDescent="0.45">
      <c r="C57" s="296"/>
      <c r="D57" s="234" t="str">
        <f>'Service-side Auto-Labeling'!C1</f>
        <v>Service-Side Auto-Labeling Policies</v>
      </c>
    </row>
    <row r="58" spans="1:37" s="2" customFormat="1" ht="55" customHeight="1" x14ac:dyDescent="0.45">
      <c r="A58" s="232">
        <f>VLOOKUP(B60,'Service-side Auto-Labeling'!$A$11:$AE$109,2,FALSE)</f>
        <v>10</v>
      </c>
      <c r="B58" s="461"/>
      <c r="C58" s="295"/>
      <c r="D58" s="245" t="str">
        <f>'Service-side Auto-Labeling'!C2</f>
        <v>Name</v>
      </c>
      <c r="E58" s="911" t="str">
        <f>'Service-side Auto-Labeling'!E2</f>
        <v>Policy Mode</v>
      </c>
      <c r="F58" s="905"/>
      <c r="G58" s="905" t="str">
        <f>'Service-side Auto-Labeling'!G2</f>
        <v>Description</v>
      </c>
      <c r="H58" s="905"/>
      <c r="I58" s="905" t="str">
        <f>'Service-side Auto-Labeling'!I2</f>
        <v>Label to auto-apply:</v>
      </c>
      <c r="J58" s="905"/>
      <c r="K58" s="905" t="str">
        <f>'Service-side Auto-Labeling'!K2</f>
        <v>Assign admin units:</v>
      </c>
      <c r="L58" s="905"/>
      <c r="M58" s="908" t="str">
        <f>'Service-side Auto-Labeling'!M2</f>
        <v>Locations where you want to apply the label:</v>
      </c>
      <c r="N58" s="908"/>
      <c r="O58" s="908"/>
      <c r="P58" s="246" t="str">
        <f>'Service-side Auto-Labeling'!P2</f>
        <v>Scope:</v>
      </c>
      <c r="Q58" s="931" t="str">
        <f>'Service-side Auto-Labeling'!R2</f>
        <v>Common or Advanced Rules:</v>
      </c>
      <c r="R58" s="932"/>
      <c r="S58" s="932"/>
      <c r="T58" s="933"/>
      <c r="U58" s="912" t="str">
        <f>'Service-side Auto-Labeling'!T2</f>
        <v>Common Rules:</v>
      </c>
      <c r="V58" s="912"/>
      <c r="W58" s="905" t="str">
        <f>'Service-side Auto-Labeling'!V2</f>
        <v>Rules for Exchange email:</v>
      </c>
      <c r="X58" s="905"/>
      <c r="Y58" s="908" t="str">
        <f>'Service-side Auto-Labeling'!X2</f>
        <v>Rules for SharePoint files:</v>
      </c>
      <c r="Z58" s="908"/>
      <c r="AA58" s="908"/>
      <c r="AB58" s="915" t="str">
        <f>'Service-side Auto-Labeling'!Z2</f>
        <v>Rules for OneDrive files:</v>
      </c>
      <c r="AC58" s="916"/>
      <c r="AD58" s="917"/>
      <c r="AE58" s="915" t="str">
        <f>'Service-side Auto-Labeling'!AB2</f>
        <v>Additional settings for email:</v>
      </c>
      <c r="AF58" s="916"/>
      <c r="AG58" s="916"/>
      <c r="AH58" s="916"/>
      <c r="AI58" s="916"/>
      <c r="AJ58" s="916"/>
      <c r="AK58" s="917"/>
    </row>
    <row r="59" spans="1:37" s="2" customFormat="1" ht="29.15" hidden="1" customHeight="1" x14ac:dyDescent="0.45">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35">
      <c r="A60" s="232">
        <f>A58+1</f>
        <v>11</v>
      </c>
      <c r="B60" s="888">
        <f>L1</f>
        <v>1</v>
      </c>
      <c r="C60" s="295"/>
      <c r="D60" s="537" t="str">
        <f>IF(VLOOKUP(A60,'Service-side Auto-Labeling'!$B$12:$AE$110,2,FALSE)="","",VLOOKUP(A60,'Service-side Auto-Labeling'!$B$12:$AE$110,2,FALSE))</f>
        <v/>
      </c>
      <c r="E60" s="815" t="str">
        <f>IF(VLOOKUP(A60,'Service-side Auto-Labeling'!$B$12:$AE$110,4,FALSE)="","",VLOOKUP(A60,'Service-side Auto-Labeling'!$B$12:$AE$110,4,FALSE))</f>
        <v/>
      </c>
      <c r="F60" s="537"/>
      <c r="G60" s="537" t="str">
        <f>IF(VLOOKUP($A60,'Service-side Auto-Labeling'!$B$12:$AE$110,6,FALSE)="","",VLOOKUP($A60,'Service-side Auto-Labeling'!$B$12:$AE$110,6,FALSE))</f>
        <v/>
      </c>
      <c r="H60" s="537"/>
      <c r="I60" s="537" t="str">
        <f>IF(VLOOKUP($A60,'Service-side Auto-Labeling'!$B$12:$AE$110,8,FALSE)="","",VLOOKUP($A60,'Service-side Auto-Labeling'!$B$12:$AE$110,8,FALSE))</f>
        <v/>
      </c>
      <c r="J60" s="537"/>
      <c r="K60" s="537" t="str">
        <f>IF(VLOOKUP($A60,'Service-side Auto-Labeling'!$B$12:$AE$110,10,FALSE)="","",VLOOKUP($A60,'Service-side Auto-Labeling'!$B$12:$AE$110,10,FALSE))</f>
        <v/>
      </c>
      <c r="L60" s="537"/>
      <c r="M60" s="275" t="b">
        <f>VLOOKUP($A60,'Service-side Auto-Labeling'!$B$12:$AE$110,12,FALSE)</f>
        <v>0</v>
      </c>
      <c r="N60" s="906" t="s">
        <v>341</v>
      </c>
      <c r="O60" s="906"/>
      <c r="P60" s="438" t="s">
        <v>348</v>
      </c>
      <c r="Q60" s="831" t="str">
        <f>IF(VLOOKUP($A60,'Service-side Auto-Labeling'!$B$12:$AE$110,17,FALSE)="","",VLOOKUP($A60,'Service-side Auto-Labeling'!$B$12:$AE$110,17,FALSE))</f>
        <v/>
      </c>
      <c r="R60" s="832"/>
      <c r="S60" s="832"/>
      <c r="T60" s="633"/>
      <c r="U60" s="920" t="str">
        <f>IF(VLOOKUP($A60,'Service-side Auto-Labeling'!$B$12:$AE$110,19,FALSE)="","",VLOOKUP($A60,'Service-side Auto-Labeling'!$B$12:$AE$110,19,FALSE))</f>
        <v/>
      </c>
      <c r="V60" s="921"/>
      <c r="W60" s="920" t="str">
        <f>IF(VLOOKUP($A60,'Service-side Auto-Labeling'!$B$12:$AE$110,21,FALSE)="","",VLOOKUP($A60,'Service-side Auto-Labeling'!$B$12:$AE$110,21,FALSE))</f>
        <v/>
      </c>
      <c r="X60" s="921"/>
      <c r="Y60" s="926" t="str">
        <f>IF(VLOOKUP($A60,'Service-side Auto-Labeling'!$B$12:$AE$110,23,FALSE)="","",VLOOKUP($A60,'Service-side Auto-Labeling'!$B$12:$AE$110,23,FALSE))</f>
        <v/>
      </c>
      <c r="Z60" s="927"/>
      <c r="AA60" s="927"/>
      <c r="AB60" s="935" t="str">
        <f>IF(VLOOKUP($A60,'Service-side Auto-Labeling'!$B$12:$AE$110,25,FALSE)="","",VLOOKUP($A60,'Service-side Auto-Labeling'!$B$12:$AE$110,25,FALSE))</f>
        <v/>
      </c>
      <c r="AC60" s="936"/>
      <c r="AD60" s="937"/>
      <c r="AE60" s="277" t="b">
        <f>VLOOKUP($A60,'Service-side Auto-Labeling'!$B$12:$AE$110,27,FALSE)</f>
        <v>0</v>
      </c>
      <c r="AF60" s="249" t="s">
        <v>343</v>
      </c>
      <c r="AG60" s="250"/>
      <c r="AH60" s="248"/>
      <c r="AI60" s="248"/>
      <c r="AJ60" s="248"/>
      <c r="AK60" s="251"/>
    </row>
    <row r="61" spans="1:37" ht="32.15" customHeight="1" x14ac:dyDescent="0.35">
      <c r="A61" s="232">
        <f>A60+1</f>
        <v>12</v>
      </c>
      <c r="B61" s="889"/>
      <c r="C61" s="295"/>
      <c r="D61" s="537"/>
      <c r="E61" s="815"/>
      <c r="F61" s="537"/>
      <c r="G61" s="537"/>
      <c r="H61" s="537"/>
      <c r="I61" s="537"/>
      <c r="J61" s="537"/>
      <c r="K61" s="537"/>
      <c r="L61" s="537"/>
      <c r="M61" s="115" t="b">
        <f>VLOOKUP($A61,'Service-side Auto-Labeling'!$B$12:$AE$110,12,FALSE)</f>
        <v>0</v>
      </c>
      <c r="N61" s="907" t="s">
        <v>344</v>
      </c>
      <c r="O61" s="907"/>
      <c r="P61" s="114" t="s">
        <v>373</v>
      </c>
      <c r="Q61" s="720"/>
      <c r="R61" s="833"/>
      <c r="S61" s="833"/>
      <c r="T61" s="634"/>
      <c r="U61" s="922"/>
      <c r="V61" s="923"/>
      <c r="W61" s="922"/>
      <c r="X61" s="923"/>
      <c r="Y61" s="928"/>
      <c r="Z61" s="606"/>
      <c r="AA61" s="606"/>
      <c r="AB61" s="938"/>
      <c r="AC61" s="939"/>
      <c r="AD61" s="940"/>
      <c r="AE61" s="278" t="b">
        <f>VLOOKUP($A61,'Service-side Auto-Labeling'!$B$12:$AE$110,27,FALSE)</f>
        <v>0</v>
      </c>
      <c r="AF61" s="9" t="s">
        <v>346</v>
      </c>
      <c r="AG61" s="895" t="str">
        <f>IF(VLOOKUP($A61,'Service-side Auto-Labeling'!$B$12:$AE$110,29,FALSE)="","",VLOOKUP($A61,'Service-side Auto-Labeling'!$B$12:$AE$110,29,FALSE))</f>
        <v/>
      </c>
      <c r="AH61" s="895"/>
      <c r="AI61" s="895"/>
      <c r="AJ61" s="895"/>
      <c r="AK61" s="252"/>
    </row>
    <row r="62" spans="1:37" x14ac:dyDescent="0.35">
      <c r="A62" s="232">
        <f>A61+1</f>
        <v>13</v>
      </c>
      <c r="B62" s="890"/>
      <c r="C62" s="295"/>
      <c r="D62" s="537"/>
      <c r="E62" s="815"/>
      <c r="F62" s="537"/>
      <c r="G62" s="537"/>
      <c r="H62" s="537"/>
      <c r="I62" s="537"/>
      <c r="J62" s="537"/>
      <c r="K62" s="537"/>
      <c r="L62" s="537"/>
      <c r="M62" s="439" t="b">
        <f>VLOOKUP($A60,'Service-side Auto-Labeling'!$B$12:$AE$110,12,FALSE)</f>
        <v>0</v>
      </c>
      <c r="N62" s="405" t="s">
        <v>347</v>
      </c>
      <c r="O62" s="405"/>
      <c r="P62" s="405" t="s">
        <v>348</v>
      </c>
      <c r="Q62" s="834"/>
      <c r="R62" s="835"/>
      <c r="S62" s="835"/>
      <c r="T62" s="836"/>
      <c r="U62" s="924"/>
      <c r="V62" s="925"/>
      <c r="W62" s="924"/>
      <c r="X62" s="925"/>
      <c r="Y62" s="929"/>
      <c r="Z62" s="930"/>
      <c r="AA62" s="930"/>
      <c r="AB62" s="941"/>
      <c r="AC62" s="942"/>
      <c r="AD62" s="943"/>
      <c r="AE62" s="243"/>
      <c r="AF62" s="253"/>
      <c r="AG62" s="254"/>
      <c r="AH62" s="253"/>
      <c r="AI62" s="253"/>
      <c r="AJ62" s="253"/>
      <c r="AK62" s="255"/>
    </row>
    <row r="63" spans="1:37" x14ac:dyDescent="0.35">
      <c r="C63" s="296"/>
    </row>
    <row r="64" spans="1:37" ht="18.5" x14ac:dyDescent="0.45">
      <c r="C64" s="296"/>
      <c r="D64" s="234" t="str">
        <f>'Data Loss Prevention (DLP)'!A1</f>
        <v>Data Loss Prevention (DLP)</v>
      </c>
    </row>
    <row r="65" spans="1:12" x14ac:dyDescent="0.35">
      <c r="C65" s="295"/>
      <c r="D65" s="479" t="str">
        <f>'Data Loss Prevention (DLP)'!C3</f>
        <v>Name:</v>
      </c>
      <c r="E65" s="909" t="str">
        <f>'Data Loss Prevention (DLP)'!E3</f>
        <v>Policy mode:</v>
      </c>
      <c r="F65" s="910"/>
      <c r="G65" s="910" t="str">
        <f>'Data Loss Prevention (DLP)'!G3</f>
        <v>Assign admin units:</v>
      </c>
      <c r="H65" s="910"/>
      <c r="I65" s="910" t="str">
        <f>'Data Loss Prevention (DLP)'!I3</f>
        <v>Locations:</v>
      </c>
      <c r="J65" s="910"/>
      <c r="K65" s="910" t="str">
        <f>'Data Loss Prevention (DLP)'!K3</f>
        <v>Data Loss Prevention (DLP) rules:</v>
      </c>
      <c r="L65" s="910"/>
    </row>
    <row r="66" spans="1:12" x14ac:dyDescent="0.35">
      <c r="A66" s="232">
        <f>VLOOKUP(B66,'Data Loss Prevention (DLP)'!$A$12:$K$130,2,FALSE)</f>
        <v>11</v>
      </c>
      <c r="B66" s="888">
        <f>N1</f>
        <v>1</v>
      </c>
      <c r="C66" s="295"/>
      <c r="D66" s="809" t="str">
        <f>IF(VLOOKUP(A66,'Data Loss Prevention (DLP)'!$B$12:$K$130,2,FALSE)="","",VLOOKUP(A66,'Data Loss Prevention (DLP)'!$B$12:$K$130,2,FALSE))</f>
        <v>Block All Employee labled content to External</v>
      </c>
      <c r="E66" s="832" t="str">
        <f>IF(VLOOKUP(A66,'Data Loss Prevention (DLP)'!$B$12:$K$130,4,FALSE)="","",VLOOKUP(A66,'Data Loss Prevention (DLP)'!$B$12:$K$130,4,FALSE))</f>
        <v>On</v>
      </c>
      <c r="F66" s="633"/>
      <c r="G66" s="537" t="str">
        <f>IF(VLOOKUP(A66,'Data Loss Prevention (DLP)'!$B$12:$K$130,6,FALSE)="","",VLOOKUP(A66,'Data Loss Prevention (DLP)'!$B$12:$K$130,6,FALSE))</f>
        <v/>
      </c>
      <c r="H66" s="537"/>
      <c r="I66" s="537" t="str">
        <f>IF(VLOOKUP(A66,'Data Loss Prevention (DLP)'!$B$12:$K$130,8,FALSE)="","",VLOOKUP(A66,'Data Loss Prevention (DLP)'!$B$12:$K$130,8,FALSE))</f>
        <v>Exchange, SharePoint, OneDrive, Devices</v>
      </c>
      <c r="J66" s="537"/>
      <c r="K66" s="537" t="str">
        <f>IF(VLOOKUP(A66,'Data Loss Prevention (DLP)'!$B$12:$K$130,10,FALSE)="","",VLOOKUP(A66,'Data Loss Prevention (DLP)'!$B$12:$K$130,10,FALSE))</f>
        <v xml:space="preserve">Blocking all employees labeled content (Confidential/Highly Confidential.) shared to external people. </v>
      </c>
      <c r="L66" s="537"/>
    </row>
    <row r="67" spans="1:12" x14ac:dyDescent="0.35">
      <c r="A67" s="232">
        <f>A66+1</f>
        <v>12</v>
      </c>
      <c r="B67" s="889"/>
      <c r="C67" s="295"/>
      <c r="D67" s="537"/>
      <c r="E67" s="833"/>
      <c r="F67" s="634"/>
      <c r="G67" s="537"/>
      <c r="H67" s="537"/>
      <c r="I67" s="537"/>
      <c r="J67" s="537"/>
      <c r="K67" s="537"/>
      <c r="L67" s="537"/>
    </row>
    <row r="68" spans="1:12" x14ac:dyDescent="0.35">
      <c r="A68" s="232">
        <f>A67+1</f>
        <v>13</v>
      </c>
      <c r="B68" s="889"/>
      <c r="C68" s="295"/>
      <c r="D68" s="537"/>
      <c r="E68" s="833"/>
      <c r="F68" s="634"/>
      <c r="G68" s="537"/>
      <c r="H68" s="537"/>
      <c r="I68" s="537"/>
      <c r="J68" s="537"/>
      <c r="K68" s="537"/>
      <c r="L68" s="537"/>
    </row>
    <row r="69" spans="1:12" x14ac:dyDescent="0.35">
      <c r="A69" s="232">
        <f>A68+1</f>
        <v>14</v>
      </c>
      <c r="B69" s="889"/>
      <c r="C69" s="295"/>
      <c r="D69" s="796"/>
      <c r="E69" s="833"/>
      <c r="F69" s="634"/>
      <c r="G69" s="537"/>
      <c r="H69" s="537"/>
      <c r="I69" s="537"/>
      <c r="J69" s="537"/>
      <c r="K69" s="537"/>
      <c r="L69" s="537"/>
    </row>
    <row r="70" spans="1:12" ht="32.5" customHeight="1" x14ac:dyDescent="0.35">
      <c r="A70" s="232">
        <f>A69+1</f>
        <v>15</v>
      </c>
      <c r="B70" s="890"/>
      <c r="C70" s="476"/>
      <c r="D70" s="537"/>
      <c r="E70" s="835"/>
      <c r="F70" s="836"/>
      <c r="G70" s="537"/>
      <c r="H70" s="537"/>
      <c r="I70" s="537"/>
      <c r="J70" s="537"/>
      <c r="K70" s="537"/>
      <c r="L70" s="537"/>
    </row>
    <row r="71" spans="1:12" x14ac:dyDescent="0.35">
      <c r="B71" s="125"/>
      <c r="C71"/>
    </row>
    <row r="72" spans="1:12" x14ac:dyDescent="0.35">
      <c r="B72" s="125"/>
      <c r="C72"/>
    </row>
    <row r="73" spans="1:12" x14ac:dyDescent="0.35">
      <c r="B73" s="125"/>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N2:O2"/>
    <mergeCell ref="F1:G2"/>
    <mergeCell ref="I8:Q8"/>
    <mergeCell ref="E8:F8"/>
    <mergeCell ref="D6:F6"/>
    <mergeCell ref="N1:O1"/>
    <mergeCell ref="C3:C4"/>
    <mergeCell ref="D5:F5"/>
    <mergeCell ref="H3:H4"/>
    <mergeCell ref="J3:J4"/>
    <mergeCell ref="L3:L4"/>
    <mergeCell ref="N3:O4"/>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70" priority="1">
      <formula>AND($I$9=FALSE,$I$11=FALSE)</formula>
    </cfRule>
  </conditionalFormatting>
  <conditionalFormatting sqref="G21">
    <cfRule type="expression" dxfId="168" priority="53">
      <formula>$E$21=FALSE</formula>
    </cfRule>
    <cfRule type="expression" dxfId="167" priority="184">
      <formula>$G$23=TRUE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181">
      <formula>$I$22=TRUE</formula>
    </cfRule>
    <cfRule type="expression" dxfId="150" priority="348">
      <formula>G23=TRUE</formula>
    </cfRule>
  </conditionalFormatting>
  <conditionalFormatting sqref="I22">
    <cfRule type="expression" dxfId="149" priority="82">
      <formula>$I$21=TRUE</formula>
    </cfRule>
    <cfRule type="expression" dxfId="148" priority="349">
      <formula>G23=TRUE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57">
      <formula>AND($I$21=FALSE,$I$22=FALSE)</formula>
    </cfRule>
    <cfRule type="expression" dxfId="113" priority="114">
      <formula>AND($K$22=TRUE,$I$21=TRUE)</formula>
    </cfRule>
  </conditionalFormatting>
  <conditionalFormatting sqref="M22:N23">
    <cfRule type="expression" dxfId="112" priority="121">
      <formula>$K$21=TRUE</formula>
    </cfRule>
  </conditionalFormatting>
  <conditionalFormatting sqref="M23:N23">
    <cfRule type="expression" dxfId="111" priority="117">
      <formula>AND(K23=TRUE,$I$21=TRUE)</formula>
    </cfRule>
    <cfRule type="expression" dxfId="110" priority="120">
      <formula>AND(K22=TRUE,$I$21=TRUE)</formula>
    </cfRule>
  </conditionalFormatting>
  <conditionalFormatting sqref="N37">
    <cfRule type="expression" dxfId="106" priority="299">
      <formula>AND(I37=TRUE,$E$37=TRUE)</formula>
    </cfRule>
  </conditionalFormatting>
  <conditionalFormatting sqref="N39">
    <cfRule type="expression" dxfId="105" priority="4420">
      <formula>AND(I37=TRUE,$E$37=TRUE)</formula>
    </cfRule>
    <cfRule type="expression" dxfId="104" priority="4421">
      <formula>M36=TRUE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05" operator="equal">
      <formula>"Brown"</formula>
    </cfRule>
    <cfRule type="cellIs" dxfId="49" priority="406" operator="equal">
      <formula>"Amber"</formula>
    </cfRule>
    <cfRule type="cellIs" dxfId="48" priority="407" operator="equal">
      <formula>"orange"</formula>
    </cfRule>
    <cfRule type="cellIs" dxfId="47" priority="408" operator="equal">
      <formula>"Green"</formula>
    </cfRule>
    <cfRule type="cellIs" dxfId="46" priority="409" operator="equal">
      <formula>"Blue"</formula>
    </cfRule>
    <cfRule type="cellIs" dxfId="45" priority="410" operator="equal">
      <formula>"Purple"</formula>
    </cfRule>
    <cfRule type="cellIs" dxfId="44" priority="411" operator="equal">
      <formula>"Dark Gray"</formula>
    </cfRule>
    <cfRule type="cellIs" dxfId="43" priority="412" operator="equal">
      <formula>"Magenta"</formula>
    </cfRule>
    <cfRule type="cellIs" dxfId="42" priority="413" operator="equal">
      <formula>"Gray"</formula>
    </cfRule>
    <cfRule type="cellIs" dxfId="41" priority="414" operator="equal">
      <formula>"Black"</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6" priority="366">
      <formula>AB21=TRUE</formula>
    </cfRule>
  </conditionalFormatting>
  <conditionalFormatting sqref="AG60">
    <cfRule type="expression" dxfId="3" priority="4450">
      <formula>M60=FALSE</formula>
    </cfRule>
    <cfRule type="expression" dxfId="2" priority="4451">
      <formula>AE61=TRUE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170" stopIfTrue="1" id="{10D28445-AD25-4B76-B205-981C7672BDF1}">
            <xm:f>K31=INputs!$AB$4</xm:f>
            <x14:dxf>
              <font>
                <color theme="2" tint="-0.499984740745262"/>
              </font>
              <fill>
                <patternFill>
                  <bgColor theme="2" tint="-0.499984740745262"/>
                </patternFill>
              </fill>
            </x14:dxf>
          </x14:cfRule>
          <x14:cfRule type="expression" priority="266" stopIfTrue="1" id="{F47964D7-A20D-4BB8-BD69-8BFF358ADF29}">
            <xm:f>K31=INputs!$AB$3</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38" stopIfTrue="1" id="{5D8D0F7E-C6E9-4F5E-938C-025F5EA373E5}">
            <xm:f>OR($Q$31=INputs!$AB$3,INputs!$AB$4=Q31)</xm:f>
            <x14:dxf>
              <font>
                <color theme="2" tint="-0.499984740745262"/>
              </font>
              <fill>
                <patternFill>
                  <bgColor theme="2" tint="-0.499984740745262"/>
                </patternFill>
              </fill>
            </x14:dxf>
          </x14:cfRule>
          <x14:cfRule type="expression" priority="54" stopIfTrue="1" id="{CC1E8B91-1C4D-4D59-A298-A8015AF1162B}">
            <xm:f>$Q$31=INputs!$AF$3</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2025-11-21T15:24:26Z</dcterms:modified>
  <cp:category/>
  <cp:contentStatus/>
</cp:coreProperties>
</file>