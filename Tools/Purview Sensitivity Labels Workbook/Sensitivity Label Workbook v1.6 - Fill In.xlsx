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crosoft-my.sharepoint.com/personal/nickbear_microsoft_com/Documents/Desktop/Sensitivity Label Workbook Project/"/>
    </mc:Choice>
  </mc:AlternateContent>
  <xr:revisionPtr revIDLastSave="0" documentId="8_{6BB2041F-56B3-40A3-AF87-0F30AB5CBFA7}" xr6:coauthVersionLast="47" xr6:coauthVersionMax="47" xr10:uidLastSave="{00000000-0000-0000-0000-000000000000}"/>
  <bookViews>
    <workbookView xWindow="9000" yWindow="220" windowWidth="4221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8" l="1"/>
  <c r="D31" i="13"/>
  <c r="B31" i="13"/>
  <c r="B238" i="3"/>
  <c r="B239" i="3" s="1"/>
  <c r="B240" i="3" s="1"/>
  <c r="B241" i="3" s="1"/>
  <c r="B242" i="3" s="1"/>
  <c r="B243" i="3" s="1"/>
  <c r="B244" i="3" s="1"/>
  <c r="B245" i="3" s="1"/>
  <c r="B246" i="3" s="1"/>
  <c r="B226" i="3"/>
  <c r="B227" i="3" s="1"/>
  <c r="B228" i="3" s="1"/>
  <c r="B229" i="3" s="1"/>
  <c r="B230" i="3" s="1"/>
  <c r="B231" i="3" s="1"/>
  <c r="B232" i="3" s="1"/>
  <c r="B233" i="3" s="1"/>
  <c r="B234" i="3" s="1"/>
  <c r="B214" i="3"/>
  <c r="B215" i="3" s="1"/>
  <c r="B216" i="3" s="1"/>
  <c r="B217" i="3" s="1"/>
  <c r="B218" i="3" s="1"/>
  <c r="B219" i="3" s="1"/>
  <c r="B220" i="3" s="1"/>
  <c r="B221" i="3" s="1"/>
  <c r="B222" i="3" s="1"/>
  <c r="B202" i="3"/>
  <c r="B203" i="3" s="1"/>
  <c r="B204" i="3" s="1"/>
  <c r="B205" i="3" s="1"/>
  <c r="B206" i="3" s="1"/>
  <c r="B207" i="3" s="1"/>
  <c r="B208" i="3" s="1"/>
  <c r="B209" i="3" s="1"/>
  <c r="B210" i="3" s="1"/>
  <c r="B190" i="3"/>
  <c r="B191" i="3" s="1"/>
  <c r="B192" i="3" s="1"/>
  <c r="B193" i="3" s="1"/>
  <c r="B194" i="3" s="1"/>
  <c r="B195" i="3" s="1"/>
  <c r="B196" i="3" s="1"/>
  <c r="B197" i="3" s="1"/>
  <c r="B198" i="3" s="1"/>
  <c r="B178" i="3"/>
  <c r="B179" i="3" s="1"/>
  <c r="B180" i="3" s="1"/>
  <c r="B181" i="3" s="1"/>
  <c r="B182" i="3" s="1"/>
  <c r="B183" i="3" s="1"/>
  <c r="B184" i="3" s="1"/>
  <c r="B185" i="3" s="1"/>
  <c r="B186" i="3" s="1"/>
  <c r="B166" i="3"/>
  <c r="B167" i="3" s="1"/>
  <c r="B168" i="3" s="1"/>
  <c r="B169" i="3" s="1"/>
  <c r="B170" i="3" s="1"/>
  <c r="B171" i="3" s="1"/>
  <c r="B172" i="3" s="1"/>
  <c r="B173" i="3" s="1"/>
  <c r="B174" i="3" s="1"/>
  <c r="B154" i="3"/>
  <c r="B155" i="3" s="1"/>
  <c r="B156" i="3" s="1"/>
  <c r="B157" i="3" s="1"/>
  <c r="B158" i="3" s="1"/>
  <c r="B159" i="3" s="1"/>
  <c r="B160" i="3" s="1"/>
  <c r="B161" i="3" s="1"/>
  <c r="B162" i="3" s="1"/>
  <c r="B142" i="3"/>
  <c r="B143" i="3" s="1"/>
  <c r="B144" i="3" s="1"/>
  <c r="B145" i="3" s="1"/>
  <c r="B146" i="3" s="1"/>
  <c r="B147" i="3" s="1"/>
  <c r="B148" i="3" s="1"/>
  <c r="B149" i="3" s="1"/>
  <c r="B150" i="3" s="1"/>
  <c r="B130" i="3"/>
  <c r="B131" i="3" s="1"/>
  <c r="B132" i="3" s="1"/>
  <c r="B133" i="3" s="1"/>
  <c r="B134" i="3" s="1"/>
  <c r="B135" i="3" s="1"/>
  <c r="B136" i="3" s="1"/>
  <c r="B137" i="3" s="1"/>
  <c r="B138" i="3" s="1"/>
  <c r="B118" i="3"/>
  <c r="B119" i="3" s="1"/>
  <c r="B120" i="3" s="1"/>
  <c r="B121" i="3" s="1"/>
  <c r="B122" i="3" s="1"/>
  <c r="B123" i="3" s="1"/>
  <c r="B124" i="3" s="1"/>
  <c r="B125" i="3" s="1"/>
  <c r="B126" i="3" s="1"/>
  <c r="B106" i="3"/>
  <c r="B107" i="3" s="1"/>
  <c r="B108" i="3" s="1"/>
  <c r="B109" i="3" s="1"/>
  <c r="B110" i="3" s="1"/>
  <c r="B111" i="3" s="1"/>
  <c r="B112" i="3" s="1"/>
  <c r="B113" i="3" s="1"/>
  <c r="B114" i="3" s="1"/>
  <c r="B94" i="3"/>
  <c r="B95" i="3" s="1"/>
  <c r="B96" i="3" s="1"/>
  <c r="B97" i="3" s="1"/>
  <c r="B98" i="3" s="1"/>
  <c r="B99" i="3" s="1"/>
  <c r="B100" i="3" s="1"/>
  <c r="B101" i="3" s="1"/>
  <c r="B102" i="3" s="1"/>
  <c r="B82" i="3"/>
  <c r="B83" i="3" s="1"/>
  <c r="B84" i="3" s="1"/>
  <c r="B85" i="3" s="1"/>
  <c r="B86" i="3" s="1"/>
  <c r="B87" i="3" s="1"/>
  <c r="B88" i="3" s="1"/>
  <c r="B89" i="3" s="1"/>
  <c r="B90" i="3" s="1"/>
  <c r="B70" i="3"/>
  <c r="B71" i="3" s="1"/>
  <c r="B72" i="3" s="1"/>
  <c r="B73" i="3" s="1"/>
  <c r="B74" i="3" s="1"/>
  <c r="B75" i="3" s="1"/>
  <c r="B76" i="3" s="1"/>
  <c r="B77" i="3" s="1"/>
  <c r="B78" i="3" s="1"/>
  <c r="B58" i="3"/>
  <c r="B59" i="3" s="1"/>
  <c r="B60" i="3" s="1"/>
  <c r="B61" i="3" s="1"/>
  <c r="B62" i="3" s="1"/>
  <c r="B63" i="3" s="1"/>
  <c r="B64" i="3" s="1"/>
  <c r="B65" i="3" s="1"/>
  <c r="B66" i="3" s="1"/>
  <c r="B46" i="3"/>
  <c r="B47" i="3" s="1"/>
  <c r="B48" i="3" s="1"/>
  <c r="B49" i="3" s="1"/>
  <c r="B50" i="3" s="1"/>
  <c r="B51" i="3" s="1"/>
  <c r="B52" i="3" s="1"/>
  <c r="B53" i="3" s="1"/>
  <c r="B54" i="3" s="1"/>
  <c r="B34" i="3"/>
  <c r="B35" i="3" s="1"/>
  <c r="B36" i="3" s="1"/>
  <c r="B37" i="3" s="1"/>
  <c r="B38" i="3" s="1"/>
  <c r="B39" i="3" s="1"/>
  <c r="B40" i="3" s="1"/>
  <c r="B41" i="3" s="1"/>
  <c r="B42" i="3" s="1"/>
  <c r="B23" i="3"/>
  <c r="B24" i="3" s="1"/>
  <c r="B25" i="3" s="1"/>
  <c r="B26" i="3" s="1"/>
  <c r="B27" i="3" s="1"/>
  <c r="B28" i="3" s="1"/>
  <c r="B29" i="3" s="1"/>
  <c r="B30" i="3" s="1"/>
  <c r="B22" i="3"/>
  <c r="B12" i="3"/>
  <c r="B13" i="3" s="1"/>
  <c r="B14" i="3" s="1"/>
  <c r="B15" i="3" s="1"/>
  <c r="B16" i="3" s="1"/>
  <c r="B17" i="3" s="1"/>
  <c r="B18" i="3" s="1"/>
  <c r="B11" i="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Q89" i="13"/>
  <c r="M88" i="13"/>
  <c r="F88" i="13"/>
  <c r="E88" i="13"/>
  <c r="Q87" i="13"/>
  <c r="P87" i="13"/>
  <c r="J89" i="13"/>
  <c r="J88" i="13"/>
  <c r="M87" i="13"/>
  <c r="K87" i="13"/>
  <c r="I87" i="13"/>
  <c r="H87" i="13"/>
  <c r="G87" i="13"/>
  <c r="F87" i="13"/>
  <c r="E87" i="13"/>
  <c r="D87" i="13"/>
  <c r="C87" i="13"/>
  <c r="B87" i="13"/>
  <c r="F86" i="13"/>
  <c r="E86" i="13"/>
  <c r="F85" i="13"/>
  <c r="E85" i="13"/>
  <c r="Q85" i="13"/>
  <c r="M84" i="13"/>
  <c r="F84" i="13"/>
  <c r="E84" i="13"/>
  <c r="Q83" i="13"/>
  <c r="P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D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D22" i="4" s="1"/>
  <c r="L21" i="4"/>
  <c r="K21" i="4"/>
  <c r="J21" i="4"/>
  <c r="I21" i="4"/>
  <c r="G21" i="4"/>
  <c r="D21" i="4"/>
  <c r="C21" i="4"/>
  <c r="E21" i="4" s="1"/>
  <c r="L20" i="4"/>
  <c r="K20" i="4"/>
  <c r="J20" i="4"/>
  <c r="I20" i="4"/>
  <c r="G20" i="4"/>
  <c r="D20" i="4"/>
  <c r="C20" i="4"/>
  <c r="E20" i="4" s="1"/>
  <c r="L19" i="4"/>
  <c r="K19" i="4"/>
  <c r="J19" i="4"/>
  <c r="I19" i="4"/>
  <c r="G19" i="4"/>
  <c r="D19" i="4"/>
  <c r="C19" i="4"/>
  <c r="L18" i="4"/>
  <c r="K18" i="4"/>
  <c r="J18" i="4"/>
  <c r="I18" i="4"/>
  <c r="G18" i="4"/>
  <c r="D18" i="4"/>
  <c r="C18" i="4"/>
  <c r="E18" i="4" s="1"/>
  <c r="L17" i="4"/>
  <c r="K17" i="4"/>
  <c r="J17" i="4"/>
  <c r="I17" i="4"/>
  <c r="G17" i="4"/>
  <c r="D17" i="4"/>
  <c r="C17" i="4"/>
  <c r="E17" i="4" s="1"/>
  <c r="L16" i="4"/>
  <c r="K16" i="4"/>
  <c r="J16" i="4"/>
  <c r="I16" i="4"/>
  <c r="G16" i="4"/>
  <c r="D16" i="4"/>
  <c r="C16" i="4"/>
  <c r="E16" i="4" s="1"/>
  <c r="L15" i="4"/>
  <c r="K15" i="4"/>
  <c r="J15" i="4"/>
  <c r="I15" i="4"/>
  <c r="G15" i="4"/>
  <c r="D15" i="4"/>
  <c r="C15" i="4"/>
  <c r="L14" i="4"/>
  <c r="K14" i="4"/>
  <c r="J14" i="4"/>
  <c r="I14" i="4"/>
  <c r="G14" i="4"/>
  <c r="D14" i="4"/>
  <c r="C14" i="4"/>
  <c r="L13" i="4"/>
  <c r="K13" i="4"/>
  <c r="J13" i="4"/>
  <c r="I13" i="4"/>
  <c r="G13" i="4"/>
  <c r="D13" i="4"/>
  <c r="C13" i="4"/>
  <c r="E13" i="4" s="1"/>
  <c r="L12" i="4"/>
  <c r="K12" i="4"/>
  <c r="J12" i="4"/>
  <c r="I12" i="4"/>
  <c r="G12" i="4"/>
  <c r="D12" i="4"/>
  <c r="C12" i="4"/>
  <c r="E12" i="4" s="1"/>
  <c r="L11" i="4"/>
  <c r="K11" i="4"/>
  <c r="J11" i="4"/>
  <c r="I11" i="4"/>
  <c r="G11" i="4"/>
  <c r="D11" i="4"/>
  <c r="C11" i="4"/>
  <c r="E11" i="4" s="1"/>
  <c r="L10" i="4"/>
  <c r="K10" i="4"/>
  <c r="J10" i="4"/>
  <c r="I10" i="4"/>
  <c r="G10" i="4"/>
  <c r="D10" i="4"/>
  <c r="C10" i="4"/>
  <c r="E10" i="4" s="1"/>
  <c r="L9" i="4"/>
  <c r="K9" i="4"/>
  <c r="J9" i="4"/>
  <c r="I9" i="4"/>
  <c r="G9" i="4"/>
  <c r="D9" i="4"/>
  <c r="C9" i="4"/>
  <c r="L8" i="4"/>
  <c r="K8" i="4"/>
  <c r="J8" i="4"/>
  <c r="I8" i="4"/>
  <c r="G8" i="4"/>
  <c r="C8" i="4"/>
  <c r="D8" i="4" s="1"/>
  <c r="L7" i="4"/>
  <c r="K7" i="4"/>
  <c r="J7" i="4"/>
  <c r="I7" i="4"/>
  <c r="G7" i="4"/>
  <c r="D7" i="4"/>
  <c r="C7" i="4"/>
  <c r="L6" i="4"/>
  <c r="K6" i="4"/>
  <c r="J6" i="4"/>
  <c r="I6" i="4"/>
  <c r="G6" i="4"/>
  <c r="C6" i="4"/>
  <c r="L5" i="4"/>
  <c r="K5" i="4"/>
  <c r="J5" i="4"/>
  <c r="I5" i="4"/>
  <c r="G5" i="4"/>
  <c r="C5" i="4"/>
  <c r="D5" i="4" s="1"/>
  <c r="L4" i="4"/>
  <c r="K4" i="4"/>
  <c r="J4" i="4"/>
  <c r="I4" i="4"/>
  <c r="G4" i="4"/>
  <c r="C4" i="4"/>
  <c r="L3" i="4"/>
  <c r="K3" i="4"/>
  <c r="J3" i="4"/>
  <c r="I3" i="4"/>
  <c r="C3" i="4"/>
  <c r="D3" i="4" s="1"/>
  <c r="BB2" i="4"/>
  <c r="AZ2" i="4"/>
  <c r="AX2" i="4"/>
  <c r="AV2" i="4"/>
  <c r="AT2" i="4"/>
  <c r="AR2" i="4"/>
  <c r="AP2" i="4"/>
  <c r="AN2" i="4"/>
  <c r="AL2" i="4"/>
  <c r="AJ2" i="4"/>
  <c r="AH2" i="4"/>
  <c r="AF2" i="4"/>
  <c r="AD2" i="4"/>
  <c r="AB2" i="4"/>
  <c r="Z2" i="4"/>
  <c r="X2" i="4"/>
  <c r="V2" i="4"/>
  <c r="L2" i="4"/>
  <c r="K2" i="4"/>
  <c r="J2" i="4"/>
  <c r="I2" i="4"/>
  <c r="A1" i="4"/>
  <c r="E19" i="4" l="1"/>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O21" i="4"/>
  <c r="N21" i="4"/>
  <c r="B47" i="6" s="1"/>
  <c r="M21" i="4"/>
  <c r="H21" i="4"/>
  <c r="O19" i="4"/>
  <c r="H19" i="4"/>
  <c r="N19" i="4"/>
  <c r="B43" i="6" s="1"/>
  <c r="M19" i="4"/>
  <c r="O18" i="4"/>
  <c r="N18" i="4"/>
  <c r="B41" i="6" s="1"/>
  <c r="M18" i="4"/>
  <c r="H18" i="4"/>
  <c r="M3" i="4"/>
  <c r="C10" i="3" s="1"/>
  <c r="O17" i="4"/>
  <c r="N17" i="4"/>
  <c r="B39" i="6" s="1"/>
  <c r="M17" i="4"/>
  <c r="H17" i="4"/>
  <c r="O15" i="4"/>
  <c r="M15" i="4"/>
  <c r="H15" i="4"/>
  <c r="N15" i="4"/>
  <c r="B35" i="6" s="1"/>
  <c r="O14" i="4"/>
  <c r="N14" i="4"/>
  <c r="B33" i="6" s="1"/>
  <c r="M14" i="4"/>
  <c r="H14" i="4"/>
  <c r="O13" i="4"/>
  <c r="M13" i="4"/>
  <c r="H13" i="4"/>
  <c r="N13" i="4"/>
  <c r="B31" i="6" s="1"/>
  <c r="O12" i="4"/>
  <c r="N12" i="4"/>
  <c r="B29" i="6" s="1"/>
  <c r="M12" i="4"/>
  <c r="H12" i="4"/>
  <c r="O11" i="4"/>
  <c r="N11" i="4"/>
  <c r="B27" i="6" s="1"/>
  <c r="M11" i="4"/>
  <c r="H11" i="4"/>
  <c r="O10" i="4"/>
  <c r="M10" i="4"/>
  <c r="C94" i="3" s="1"/>
  <c r="H10" i="4"/>
  <c r="N10" i="4"/>
  <c r="B25" i="6" s="1"/>
  <c r="E8" i="4"/>
  <c r="A19" i="11"/>
  <c r="A106" i="3"/>
  <c r="A67" i="11"/>
  <c r="A68" i="11" s="1"/>
  <c r="E9" i="4"/>
  <c r="M8" i="4"/>
  <c r="C70" i="3" s="1"/>
  <c r="N8" i="4"/>
  <c r="B21" i="6" s="1"/>
  <c r="H8" i="4"/>
  <c r="O8" i="4"/>
  <c r="N7" i="4"/>
  <c r="B19" i="6" s="1"/>
  <c r="O7" i="4"/>
  <c r="M7" i="4"/>
  <c r="C58" i="3" s="1"/>
  <c r="H7" i="4"/>
  <c r="J87" i="13"/>
  <c r="J75" i="13"/>
  <c r="O20" i="4"/>
  <c r="N20" i="4"/>
  <c r="B45" i="6" s="1"/>
  <c r="M20" i="4"/>
  <c r="H20" i="4"/>
  <c r="N16" i="4"/>
  <c r="B37" i="6" s="1"/>
  <c r="M16" i="4"/>
  <c r="H16" i="4"/>
  <c r="O16" i="4"/>
  <c r="O9" i="4"/>
  <c r="N9" i="4"/>
  <c r="B23" i="6" s="1"/>
  <c r="M9" i="4"/>
  <c r="C82" i="3" s="1"/>
  <c r="H9" i="4"/>
  <c r="J39" i="13"/>
  <c r="J83" i="13"/>
  <c r="J59" i="13"/>
  <c r="J35" i="13"/>
  <c r="J11" i="13"/>
  <c r="H3" i="4"/>
  <c r="E3" i="4"/>
  <c r="O3" i="4"/>
  <c r="C13" i="7" s="1"/>
  <c r="N3" i="4"/>
  <c r="B11" i="6" s="1"/>
  <c r="M60" i="11"/>
  <c r="AE60" i="11"/>
  <c r="A61" i="11"/>
  <c r="AG61" i="11" s="1"/>
  <c r="M62" i="11"/>
  <c r="J15" i="13"/>
  <c r="D4" i="4"/>
  <c r="E4" i="4" s="1"/>
  <c r="N5" i="4"/>
  <c r="B15" i="6" s="1"/>
  <c r="O5" i="4"/>
  <c r="M5" i="4"/>
  <c r="C34" i="3" s="1"/>
  <c r="H5" i="4"/>
  <c r="E5" i="4"/>
  <c r="D6" i="4"/>
  <c r="O22" i="4"/>
  <c r="N22" i="4"/>
  <c r="B49" i="6" s="1"/>
  <c r="M22" i="4"/>
  <c r="H22" i="4"/>
  <c r="E22"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A49" i="8" l="1"/>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E24" i="4" s="1" a="1"/>
  <c r="M6" i="4"/>
  <c r="C46" i="3" s="1"/>
  <c r="A118" i="3"/>
  <c r="C106" i="3"/>
  <c r="C118" i="3"/>
  <c r="A130" i="3"/>
  <c r="A69" i="11"/>
  <c r="A70" i="11" s="1"/>
  <c r="M61" i="11"/>
  <c r="AE61" i="11"/>
  <c r="A62" i="11"/>
  <c r="H4" i="4"/>
  <c r="M4" i="4"/>
  <c r="C22" i="3" s="1"/>
  <c r="D19" i="11" s="1"/>
  <c r="N4" i="4"/>
  <c r="B13" i="6" s="1"/>
  <c r="D31" i="11" s="1"/>
  <c r="O4" i="4"/>
  <c r="C22" i="7" s="1"/>
  <c r="D36" i="11" s="1"/>
  <c r="H6" i="4"/>
  <c r="N6" i="4"/>
  <c r="O6" i="4"/>
  <c r="I11" i="11"/>
  <c r="A12" i="11"/>
  <c r="A13" i="11" s="1"/>
  <c r="E36" i="11"/>
  <c r="A37" i="11"/>
  <c r="I36" i="11"/>
  <c r="C31" i="7"/>
  <c r="A40" i="7"/>
  <c r="B23" i="7"/>
  <c r="B24" i="7" s="1"/>
  <c r="B25" i="7" s="1"/>
  <c r="B26" i="7" s="1"/>
  <c r="B27" i="7" s="1"/>
  <c r="B31" i="7"/>
  <c r="M45" i="11" l="1"/>
  <c r="K45" i="11"/>
  <c r="I45" i="11"/>
  <c r="G45" i="11"/>
  <c r="E45" i="11"/>
  <c r="D45" i="11"/>
  <c r="A61" i="8"/>
  <c r="B49" i="8"/>
  <c r="B50" i="8" s="1"/>
  <c r="B51" i="8" s="1"/>
  <c r="B52" i="8" s="1"/>
  <c r="B53" i="8" s="1"/>
  <c r="B54" i="8" s="1"/>
  <c r="B55" i="8" s="1"/>
  <c r="B56" i="8" s="1"/>
  <c r="B57" i="8" s="1"/>
  <c r="B58" i="8" s="1"/>
  <c r="A46" i="11"/>
  <c r="M46" i="11" s="1"/>
  <c r="A21" i="11"/>
  <c r="AF21" i="11"/>
  <c r="A142" i="3"/>
  <c r="C130" i="3"/>
  <c r="O24" i="4" a="1"/>
  <c r="O24" i="4" s="1"/>
  <c r="E24" i="4"/>
  <c r="M24" i="4" a="1"/>
  <c r="N24" i="4" a="1"/>
  <c r="N24" i="4" s="1"/>
  <c r="B17" i="6"/>
  <c r="I13" i="11"/>
  <c r="A14" i="11"/>
  <c r="A15" i="11" s="1"/>
  <c r="I15" i="11" s="1"/>
  <c r="E37" i="11"/>
  <c r="M37" i="11"/>
  <c r="R37" i="11"/>
  <c r="I37" i="11"/>
  <c r="A38" i="11"/>
  <c r="C40" i="7"/>
  <c r="A49" i="7"/>
  <c r="B32" i="7"/>
  <c r="B33" i="7" s="1"/>
  <c r="B34" i="7" s="1"/>
  <c r="B35" i="7" s="1"/>
  <c r="B36" i="7" s="1"/>
  <c r="B40" i="7"/>
  <c r="A73" i="8" l="1"/>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E22" i="11" l="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X23" i="11" l="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V23" i="11" l="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W24" i="11" l="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S26" i="11" l="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A145" i="8" l="1"/>
  <c r="B133" i="8"/>
  <c r="B134" i="8" s="1"/>
  <c r="B135" i="8" s="1"/>
  <c r="B136" i="8" s="1"/>
  <c r="B137" i="8" s="1"/>
  <c r="B138" i="8" s="1"/>
  <c r="B139" i="8" s="1"/>
  <c r="B140" i="8" s="1"/>
  <c r="B141" i="8" s="1"/>
  <c r="B142" i="8" s="1"/>
  <c r="C214" i="3"/>
  <c r="A226" i="3"/>
  <c r="A112" i="7"/>
  <c r="C103" i="7"/>
  <c r="B95" i="7"/>
  <c r="B96" i="7" s="1"/>
  <c r="B97" i="7" s="1"/>
  <c r="B98" i="7" s="1"/>
  <c r="B99" i="7" s="1"/>
  <c r="B103" i="7"/>
  <c r="A157" i="8" l="1"/>
  <c r="B145" i="8"/>
  <c r="B146" i="8" s="1"/>
  <c r="B147" i="8" s="1"/>
  <c r="B148" i="8" s="1"/>
  <c r="B149" i="8" s="1"/>
  <c r="B150" i="8" s="1"/>
  <c r="B151" i="8" s="1"/>
  <c r="B152" i="8" s="1"/>
  <c r="B153" i="8" s="1"/>
  <c r="B154" i="8" s="1"/>
  <c r="A238" i="3"/>
  <c r="C238" i="3" s="1"/>
  <c r="C226" i="3"/>
  <c r="C112" i="7"/>
  <c r="A121" i="7"/>
  <c r="B112" i="7"/>
  <c r="B104" i="7"/>
  <c r="B105" i="7" s="1"/>
  <c r="B106" i="7" s="1"/>
  <c r="B107" i="7" s="1"/>
  <c r="B108" i="7" s="1"/>
  <c r="A169" i="8" l="1"/>
  <c r="B157" i="8"/>
  <c r="B158" i="8" s="1"/>
  <c r="B159" i="8" s="1"/>
  <c r="B160" i="8" s="1"/>
  <c r="B161" i="8" s="1"/>
  <c r="B162" i="8" s="1"/>
  <c r="B163" i="8" s="1"/>
  <c r="B164" i="8" s="1"/>
  <c r="B165" i="8" s="1"/>
  <c r="B166" i="8" s="1"/>
  <c r="C121" i="7"/>
  <c r="A130" i="7"/>
  <c r="B121" i="7"/>
  <c r="B113" i="7"/>
  <c r="B114" i="7" s="1"/>
  <c r="B115" i="7" s="1"/>
  <c r="B116" i="7" s="1"/>
  <c r="B117" i="7" s="1"/>
  <c r="A181" i="8" l="1"/>
  <c r="B169" i="8"/>
  <c r="B170" i="8" s="1"/>
  <c r="B171" i="8" s="1"/>
  <c r="B172" i="8" s="1"/>
  <c r="B173" i="8" s="1"/>
  <c r="B174" i="8" s="1"/>
  <c r="B175" i="8" s="1"/>
  <c r="B176" i="8" s="1"/>
  <c r="B177" i="8" s="1"/>
  <c r="B178" i="8" s="1"/>
  <c r="C130" i="7"/>
  <c r="A139" i="7"/>
  <c r="B122" i="7"/>
  <c r="B123" i="7" s="1"/>
  <c r="B124" i="7" s="1"/>
  <c r="B125" i="7" s="1"/>
  <c r="B126" i="7" s="1"/>
  <c r="B130" i="7"/>
  <c r="A193" i="8" l="1"/>
  <c r="B181" i="8"/>
  <c r="B182" i="8" s="1"/>
  <c r="B183" i="8" s="1"/>
  <c r="B184" i="8" s="1"/>
  <c r="B185" i="8" s="1"/>
  <c r="B186" i="8" s="1"/>
  <c r="B187" i="8" s="1"/>
  <c r="B188" i="8" s="1"/>
  <c r="B189" i="8" s="1"/>
  <c r="B190" i="8" s="1"/>
  <c r="C139" i="7"/>
  <c r="A148" i="7"/>
  <c r="B131" i="7"/>
  <c r="B132" i="7" s="1"/>
  <c r="B133" i="7" s="1"/>
  <c r="B134" i="7" s="1"/>
  <c r="B135" i="7" s="1"/>
  <c r="B139" i="7"/>
  <c r="A205" i="8" l="1"/>
  <c r="B193" i="8"/>
  <c r="B194" i="8" s="1"/>
  <c r="B195" i="8" s="1"/>
  <c r="B196" i="8" s="1"/>
  <c r="B197" i="8" s="1"/>
  <c r="B198" i="8" s="1"/>
  <c r="B199" i="8" s="1"/>
  <c r="B200" i="8" s="1"/>
  <c r="B201" i="8" s="1"/>
  <c r="B202" i="8" s="1"/>
  <c r="C148" i="7"/>
  <c r="A157" i="7"/>
  <c r="B140" i="7"/>
  <c r="B141" i="7" s="1"/>
  <c r="B142" i="7" s="1"/>
  <c r="B143" i="7" s="1"/>
  <c r="B144" i="7" s="1"/>
  <c r="B148" i="7"/>
  <c r="A217" i="8" l="1"/>
  <c r="B205" i="8"/>
  <c r="B206" i="8" s="1"/>
  <c r="B207" i="8" s="1"/>
  <c r="B208" i="8" s="1"/>
  <c r="B209" i="8" s="1"/>
  <c r="B210" i="8" s="1"/>
  <c r="B211" i="8" s="1"/>
  <c r="B212" i="8" s="1"/>
  <c r="B213" i="8" s="1"/>
  <c r="B214" i="8" s="1"/>
  <c r="C157" i="7"/>
  <c r="A166" i="7"/>
  <c r="B149" i="7"/>
  <c r="B150" i="7" s="1"/>
  <c r="B151" i="7" s="1"/>
  <c r="B152" i="7" s="1"/>
  <c r="B153" i="7" s="1"/>
  <c r="B157" i="7"/>
  <c r="A229" i="8" l="1"/>
  <c r="B217" i="8"/>
  <c r="B218" i="8" s="1"/>
  <c r="B219" i="8" s="1"/>
  <c r="B220" i="8" s="1"/>
  <c r="B221" i="8" s="1"/>
  <c r="B222" i="8" s="1"/>
  <c r="B223" i="8" s="1"/>
  <c r="B224" i="8" s="1"/>
  <c r="B225" i="8" s="1"/>
  <c r="B226" i="8" s="1"/>
  <c r="C166" i="7"/>
  <c r="A175" i="7"/>
  <c r="B158" i="7"/>
  <c r="B159" i="7" s="1"/>
  <c r="B160" i="7" s="1"/>
  <c r="B161" i="7" s="1"/>
  <c r="B162" i="7" s="1"/>
  <c r="B166" i="7"/>
  <c r="A241" i="8" l="1"/>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176" i="7" l="1"/>
  <c r="B177" i="7" s="1"/>
  <c r="B178" i="7" s="1"/>
  <c r="B179" i="7" s="1"/>
  <c r="B180" i="7" s="1"/>
  <c r="B184" i="7"/>
  <c r="B185" i="7" s="1"/>
  <c r="B186" i="7" s="1"/>
  <c r="B187" i="7" s="1"/>
  <c r="B188" i="7" s="1"/>
  <c r="B189"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<sst xmlns="http://schemas.openxmlformats.org/spreadsheetml/2006/main" count="2530" uniqueCount="377">
  <si>
    <t>Sens</t>
  </si>
  <si>
    <t>Tab Location</t>
  </si>
  <si>
    <t>Emails</t>
  </si>
  <si>
    <t>Teams</t>
  </si>
  <si>
    <t>List Name</t>
  </si>
  <si>
    <t>Settings</t>
  </si>
  <si>
    <t>List Selection</t>
  </si>
  <si>
    <t>Control Access
Control who can access and view labels</t>
  </si>
  <si>
    <t>Do not Forward</t>
  </si>
  <si>
    <t>Everyone</t>
  </si>
  <si>
    <t>Organizers and presenters</t>
  </si>
  <si>
    <t>Record Automatically</t>
  </si>
  <si>
    <t>Don't apply end-to-end encryption</t>
  </si>
  <si>
    <t>Apply watermark to shared content</t>
  </si>
  <si>
    <t>On</t>
  </si>
  <si>
    <t>Yes</t>
  </si>
  <si>
    <t>Public</t>
  </si>
  <si>
    <t>Anyone</t>
  </si>
  <si>
    <t>Allow full access from desktop apps, mobile apps, and the web</t>
  </si>
  <si>
    <t>Common Rules</t>
  </si>
  <si>
    <t>Run the policy in simulation mode</t>
  </si>
  <si>
    <t>Automatically apply the label</t>
  </si>
  <si>
    <t>Parent Label</t>
  </si>
  <si>
    <t xml:space="preserve">Apply Content Marking
</t>
  </si>
  <si>
    <t>Encrypt-Only</t>
  </si>
  <si>
    <t>People in my org, trusted orgs, and guests</t>
  </si>
  <si>
    <t>People in my org and guests</t>
  </si>
  <si>
    <t>Organizers and co-organizers</t>
  </si>
  <si>
    <t>Don't record automatically</t>
  </si>
  <si>
    <t>Don't apply watermark to shared content</t>
  </si>
  <si>
    <t>Off</t>
  </si>
  <si>
    <t>No</t>
  </si>
  <si>
    <t>Private</t>
  </si>
  <si>
    <t>New and existing guests</t>
  </si>
  <si>
    <t>Allow limited, web-only access</t>
  </si>
  <si>
    <t>Recommend users apply the highest priority label</t>
  </si>
  <si>
    <t>Simulation Mode</t>
  </si>
  <si>
    <t>Advanced Rules</t>
  </si>
  <si>
    <t>Recommend that users apply the label</t>
  </si>
  <si>
    <t>Label Group</t>
  </si>
  <si>
    <t>Let meeting organizers select specific people</t>
  </si>
  <si>
    <t>In-Meeting Only</t>
  </si>
  <si>
    <t>None</t>
  </si>
  <si>
    <t>Existing Guests</t>
  </si>
  <si>
    <t>Block Access</t>
  </si>
  <si>
    <t>Do not inherit highest priority label from file</t>
  </si>
  <si>
    <t>Leave the policy turned off</t>
  </si>
  <si>
    <t>Label</t>
  </si>
  <si>
    <t>People in my org</t>
  </si>
  <si>
    <t>Only Organizers and co-organizers</t>
  </si>
  <si>
    <t>Only People in your organizations</t>
  </si>
  <si>
    <t>Sub Label</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</si>
  <si>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</si>
  <si>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</si>
  <si>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</si>
  <si>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</si>
  <si>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</si>
  <si>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</si>
  <si>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</si>
  <si>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</si>
  <si>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</si>
  <si>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</si>
  <si>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</si>
  <si>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</si>
  <si>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</si>
  <si>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</si>
  <si>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Secure by default with Microsoft Purview</t>
  </si>
  <si>
    <t>https://learn.microsoft.com/en-us/purview/deploymentmodels/depmod-securebydefault-phase1</t>
  </si>
  <si>
    <t>Legend:</t>
  </si>
  <si>
    <t>Page:</t>
  </si>
  <si>
    <t>Links:</t>
  </si>
  <si>
    <t>Sensitivity Labels</t>
  </si>
  <si>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</si>
  <si>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</si>
  <si>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</si>
  <si>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Teams meetings and chats</t>
  </si>
  <si>
    <t>Groups &amp; Sites</t>
  </si>
  <si>
    <t>These settings apply to teams, groups, and sites that have this label applied. They don't apply directly to the files stored in those containers.</t>
  </si>
  <si>
    <t>Use sensitivity labels with Microsoft Teams, Microsoft 365 Groups, and SharePoint sites | Microsoft Learn</t>
  </si>
  <si>
    <t>Publishing</t>
  </si>
  <si>
    <t>Publish one or more labels to users' Microsoft 365 apps (like Outlook and Word), SharePoint sites, and Microsoft 365 groups. Once published, users can apply the labels to protect their content.</t>
  </si>
  <si>
    <t>Service-side Auto-Labeling</t>
  </si>
  <si>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</si>
  <si>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</si>
  <si>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</si>
  <si>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</si>
  <si>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</si>
  <si>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Label/Parent Label/Label Group/Sub-Label:</t>
  </si>
  <si>
    <t>Name:</t>
  </si>
  <si>
    <t>Scope:</t>
  </si>
  <si>
    <t>Description for users:</t>
  </si>
  <si>
    <t>Description for admins:</t>
  </si>
  <si>
    <t>Label Color:</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</si>
  <si>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</si>
  <si>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</si>
  <si>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</si>
  <si>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</si>
  <si>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</si>
  <si>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</si>
  <si>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</si>
  <si>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</si>
  <si>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</si>
  <si>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</si>
  <si>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</si>
  <si>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</si>
  <si>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</si>
  <si>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</si>
  <si>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</si>
  <si>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</si>
  <si>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</si>
  <si>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</si>
  <si>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</si>
  <si>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</si>
  <si>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</si>
  <si>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</si>
  <si>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</si>
  <si>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</si>
  <si>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</si>
  <si>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</si>
  <si>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</si>
  <si>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</si>
  <si>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</si>
  <si>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</si>
  <si>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</si>
  <si>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</si>
  <si>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</si>
  <si>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</si>
  <si>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</si>
  <si>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</si>
  <si>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</si>
  <si>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</si>
  <si>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</si>
  <si>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</si>
  <si>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</si>
  <si>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</si>
  <si>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</si>
  <si>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</si>
  <si>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</si>
  <si>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</si>
  <si>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</si>
  <si>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</si>
  <si>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</si>
  <si>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</si>
  <si>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</si>
  <si>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</si>
  <si>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</si>
  <si>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</si>
  <si>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Assign Permissions to specific user and groups</t>
  </si>
  <si>
    <t>In outlook, enforce one of the following restrictions</t>
  </si>
  <si>
    <r>
      <rPr>
        <b/>
        <sz val="12"/>
        <color theme="1"/>
        <rFont val="Aptos Narrow"/>
        <family val="2"/>
        <scheme val="minor"/>
      </rPr>
      <t>Control Access</t>
    </r>
    <r>
      <rPr>
        <sz val="11"/>
        <color theme="1"/>
        <rFont val="Aptos Narrow"/>
        <family val="2"/>
        <scheme val="minor"/>
      </rPr>
      <t xml:space="preserve">
  Control who can access and view labels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</si>
  <si>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</si>
  <si>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</si>
  <si>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</si>
  <si>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</si>
  <si>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</si>
  <si>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</si>
  <si>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</si>
  <si>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Let users assign permissions when they apply the label</t>
  </si>
  <si>
    <t>On a specific Date</t>
  </si>
  <si>
    <t>Add a header</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</si>
  <si>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</si>
  <si>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</si>
  <si>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</si>
  <si>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</si>
  <si>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In Word, PowerPoint, and Excel, prompt users to specify Permissions</t>
  </si>
  <si>
    <t>Use dynamic watermarking</t>
  </si>
  <si>
    <t>Use Double Key Encryption</t>
  </si>
  <si>
    <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</si>
  <si>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</si>
  <si>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</si>
  <si>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</si>
  <si>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</si>
  <si>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</si>
  <si>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</si>
  <si>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</si>
  <si>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</si>
  <si>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</si>
  <si>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</si>
  <si>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</si>
  <si>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</si>
  <si>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</si>
  <si>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</si>
  <si>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</si>
  <si>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</si>
  <si>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</si>
  <si>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</si>
  <si>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</si>
  <si>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</si>
  <si>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</si>
  <si>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</si>
  <si>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</si>
  <si>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</si>
  <si>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</si>
  <si>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</si>
  <si>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</si>
  <si>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</si>
  <si>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</si>
  <si>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</si>
  <si>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</si>
  <si>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</si>
  <si>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</si>
  <si>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</si>
  <si>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</si>
  <si>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</si>
  <si>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</si>
  <si>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</si>
  <si>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</si>
  <si>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</si>
  <si>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</si>
  <si>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</si>
  <si>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</si>
  <si>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</si>
  <si>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</si>
  <si>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</si>
  <si>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</si>
  <si>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</si>
  <si>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</si>
  <si>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</si>
  <si>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</si>
  <si>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</si>
  <si>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</si>
  <si>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</si>
  <si>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</si>
  <si>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</si>
  <si>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</si>
  <si>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</si>
  <si>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</si>
  <si>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</si>
  <si>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</si>
  <si>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</si>
  <si>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</si>
  <si>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</si>
  <si>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</si>
  <si>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</si>
  <si>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</si>
  <si>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</si>
  <si>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</si>
  <si>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</si>
  <si>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</si>
  <si>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</si>
  <si>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</si>
  <si>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</si>
  <si>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</si>
  <si>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</si>
  <si>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</si>
  <si>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</si>
  <si>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</si>
  <si>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</si>
  <si>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</si>
  <si>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</si>
  <si>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</si>
  <si>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</si>
  <si>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</si>
  <si>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</si>
  <si>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</si>
  <si>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Require users to apply a label to their meetings and calendar events</t>
  </si>
  <si>
    <t>Provide users with a link to a custom help page</t>
  </si>
  <si>
    <t>Require users to apply a label to their emails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</si>
  <si>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</si>
  <si>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</si>
  <si>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</si>
  <si>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</si>
  <si>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</si>
  <si>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</si>
  <si>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</si>
  <si>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</si>
  <si>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</si>
  <si>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</si>
  <si>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</si>
  <si>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</si>
  <si>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</si>
  <si>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</si>
  <si>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</si>
  <si>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</si>
  <si>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</si>
  <si>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</si>
  <si>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</si>
  <si>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</si>
  <si>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</si>
  <si>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</si>
  <si>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</si>
  <si>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</si>
  <si>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</si>
  <si>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</si>
  <si>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</si>
  <si>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</si>
  <si>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</si>
  <si>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</si>
  <si>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</si>
  <si>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</si>
  <si>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</si>
  <si>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</si>
  <si>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</si>
  <si>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</si>
  <si>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</si>
  <si>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</si>
  <si>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Data Loss Prevention (DLP)</t>
  </si>
  <si>
    <t>Policy mode:</t>
  </si>
  <si>
    <t>Locations:</t>
  </si>
  <si>
    <t>Data Loss Prevention (DLP) rules:</t>
  </si>
  <si>
    <t>Name of the Data Loss Prevention (DLP) Policy.</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</si>
  <si>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</si>
  <si>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</si>
  <si>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</si>
  <si>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</si>
  <si>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</si>
  <si>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</si>
  <si>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</si>
  <si>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</si>
  <si>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SubL</t>
  </si>
  <si>
    <t>If selected, you won't be able to apply end-to-end encryption.</t>
  </si>
  <si>
    <t>Detect sensitive content during screen sharing:</t>
  </si>
  <si>
    <t>Turn the policy on immediately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</si>
  <si>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</si>
  <si>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t>LabelE</t>
  </si>
  <si>
    <t>LabelM</t>
  </si>
  <si>
    <t>LabelG</t>
  </si>
  <si>
    <t>Please fill out Sensitivity Labels Tab</t>
  </si>
  <si>
    <t>MIT License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</si>
  <si>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Select scenario from drop down</t>
  </si>
  <si>
    <t>Automatic apply highest priority label</t>
  </si>
  <si>
    <t>Simulation Mode with turn on if not modified in 7 days</t>
  </si>
  <si>
    <t>Explanation</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</si>
  <si>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</si>
  <si>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</si>
  <si>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Page Description:</t>
  </si>
  <si>
    <t>Microsoft Description:</t>
  </si>
  <si>
    <t xml:space="preserve">These are Sensitivity Label's settings for Object based labeling. </t>
  </si>
  <si>
    <t xml:space="preserve">These are Sensitivity Label's settings for "Teams meetings and chats" labeling. </t>
  </si>
  <si>
    <t xml:space="preserve">These are Sensitivity Label's settings for Container based labeling. </t>
  </si>
  <si>
    <t>Locations where you want to apply the label:</t>
  </si>
  <si>
    <t>Add a footer</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</si>
  <si>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</si>
  <si>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r>
      <rPr>
        <b/>
        <sz val="12"/>
        <color theme="1"/>
        <rFont val="Aptos Narrow"/>
        <family val="2"/>
        <scheme val="minor"/>
      </rPr>
      <t>Control Access</t>
    </r>
    <r>
      <rPr>
        <sz val="11"/>
        <color theme="1"/>
        <rFont val="Aptos Narrow"/>
        <family val="2"/>
        <scheme val="minor"/>
      </rPr>
      <t xml:space="preserve">
  Control who can access and view labeled items.</t>
    </r>
  </si>
  <si>
    <t>This tab is used to look up any Sensitivity Labels, Publishing Policies, Service-Side Auto-Labeling Policies, and or Data Loss Prevention (DLP) policies you have.</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</si>
  <si>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</si>
  <si>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</si>
  <si>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</si>
  <si>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</si>
  <si>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t>Display Name:</t>
  </si>
  <si>
    <t>Apply end-to-end encryption</t>
  </si>
  <si>
    <t>Group Check</t>
  </si>
  <si>
    <t>Pending checkbox selection on Sensititivty Labels Tab</t>
  </si>
  <si>
    <t>Emails, Files, &amp; Other Data Assets (Object Based Labeling Functionality)</t>
  </si>
  <si>
    <t>Groups &amp; Sites (Container Based Labeling)</t>
  </si>
  <si>
    <t>Teams meetings and chats settings:</t>
  </si>
  <si>
    <t>Content Marking</t>
  </si>
  <si>
    <t xml:space="preserve">This tool is meant to help you with planning and implementing your Sensitivity Labels. The pages below go together if they're colored the same. Further explanations below. </t>
  </si>
  <si>
    <t>Search</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</si>
  <si>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</si>
  <si>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</si>
  <si>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</si>
  <si>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</si>
  <si>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</si>
  <si>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</si>
  <si>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</si>
  <si>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</si>
  <si>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</si>
  <si>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</si>
  <si>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Summary</t>
  </si>
  <si>
    <t>Select a check box</t>
  </si>
  <si>
    <t>Enter Text (Detect content that matches these conditions)</t>
  </si>
  <si>
    <t>Enter Text (Display this message to users when the label is applied)</t>
  </si>
  <si>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</si>
  <si>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https://learn.microsoft.com/en-us/purview/apply-sensitivity-label-automatically#how-automatic-or-recommended-labels-are-applied</t>
  </si>
  <si>
    <t>User access to content expires:</t>
  </si>
  <si>
    <t xml:space="preserve">Use dynamic watermarking </t>
  </si>
  <si>
    <t xml:space="preserve">Use Double Key Encryption </t>
  </si>
  <si>
    <t>All sites</t>
  </si>
  <si>
    <t>fgh</t>
  </si>
  <si>
    <t>https://www.linkedin.com/pulse/how-enable-container-based-groups-sites-sensitivity-label-bear-pberc/</t>
  </si>
  <si>
    <t>Require users to apply a label to their groups or sites</t>
  </si>
  <si>
    <t>Enabling "Groups &amp; Sites" functionality to 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</si>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</sst>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0" fillId="0" borderId="0" applyNumberFormat="0" applyFill="0" applyBorder="0" applyAlignment="0" applyProtection="0"/>
  </cellStyleXfs>
  <cellXfs count="956">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26" fillId="0" borderId="0" xfId="0" applyFont="1" applyAlignment="1">
      <alignment vertical="center" wrapText="1"/>
    </xf>
    <xf numFmtId="0" fontId="0" fillId="0" borderId="0" xfId="0" applyAlignment="1">
      <alignment horizontal="center" vertical="top"/>
    </xf>
    <xf numFmtId="0" fontId="26" fillId="3" borderId="14" xfId="0" applyFont="1" applyFill="1" applyBorder="1" applyAlignment="1">
      <alignment horizontal="center" vertical="center" wrapText="1"/>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26" fillId="3" borderId="38" xfId="0" applyFont="1" applyFill="1" applyBorder="1" applyAlignment="1">
      <alignment horizontal="center" vertical="center" wrapText="1"/>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1" fillId="0" borderId="1" xfId="0" applyFont="1" applyBorder="1" applyAlignment="1">
      <alignment wrapText="1"/>
    </xf>
    <xf numFmtId="0" fontId="0" fillId="11"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2"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7" borderId="30" xfId="0" applyFill="1" applyBorder="1">
      <extLst>
        <ext xmlns:xfpb="http://schemas.microsoft.com/office/spreadsheetml/2022/featurepropertybag" uri="{C7286773-470A-42A8-94C5-96B5CB345126}">
          <xfpb:xfComplement i="0"/>
        </ext>
      </extLst>
    </xf>
    <xf numFmtId="0" fontId="0" fillId="17" borderId="30" xfId="0" applyFill="1" applyBorder="1"/>
    <xf numFmtId="0" fontId="0" fillId="17" borderId="1" xfId="0" applyFill="1" applyBorder="1"/>
    <xf numFmtId="0" fontId="0" fillId="17" borderId="1" xfId="0" applyFill="1" applyBorder="1">
      <extLst>
        <ext xmlns:xfpb="http://schemas.microsoft.com/office/spreadsheetml/2022/featurepropertybag" uri="{C7286773-470A-42A8-94C5-96B5CB345126}">
          <xfpb:xfComplement i="0"/>
        </ext>
      </extLst>
    </xf>
    <xf numFmtId="0" fontId="0" fillId="17" borderId="33" xfId="0" applyFill="1" applyBorder="1"/>
    <xf numFmtId="0" fontId="1" fillId="17" borderId="29" xfId="0" applyFont="1" applyFill="1" applyBorder="1" applyAlignment="1">
      <alignment horizontal="center" vertical="center"/>
    </xf>
    <xf numFmtId="0" fontId="0" fillId="17" borderId="35" xfId="0" applyFill="1" applyBorder="1"/>
    <xf numFmtId="0" fontId="1" fillId="17" borderId="23" xfId="0" applyFont="1" applyFill="1" applyBorder="1" applyAlignment="1">
      <alignment horizontal="center"/>
    </xf>
    <xf numFmtId="0" fontId="0" fillId="17" borderId="36" xfId="0" applyFill="1" applyBorder="1"/>
    <xf numFmtId="0" fontId="41" fillId="15" borderId="4" xfId="0" applyFont="1" applyFill="1" applyBorder="1" applyAlignment="1">
      <alignment horizontal="center" vertical="center" wrapText="1"/>
    </xf>
    <xf numFmtId="0" fontId="41" fillId="16" borderId="25" xfId="0" applyFont="1" applyFill="1" applyBorder="1" applyAlignment="1">
      <alignment horizontal="center" vertical="center" wrapText="1"/>
    </xf>
    <xf numFmtId="0" fontId="41" fillId="16"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5" borderId="31" xfId="0" applyFont="1" applyFill="1" applyBorder="1" applyAlignment="1">
      <alignment horizontal="center" vertical="center" wrapText="1"/>
    </xf>
    <xf numFmtId="0" fontId="41" fillId="16" borderId="44" xfId="0" applyFont="1" applyFill="1" applyBorder="1" applyAlignment="1">
      <alignment horizontal="center" vertical="center" wrapText="1"/>
    </xf>
    <xf numFmtId="0" fontId="41" fillId="16" borderId="34" xfId="0" applyFont="1" applyFill="1" applyBorder="1" applyAlignment="1">
      <alignment horizontal="center" vertical="center" wrapText="1"/>
    </xf>
    <xf numFmtId="0" fontId="41" fillId="16" borderId="10" xfId="0" applyFont="1" applyFill="1" applyBorder="1" applyAlignment="1">
      <alignment horizontal="center" vertical="center" wrapText="1"/>
    </xf>
    <xf numFmtId="0" fontId="41" fillId="16" borderId="69" xfId="0" applyFont="1" applyFill="1" applyBorder="1" applyAlignment="1">
      <alignment horizontal="center" vertical="center" wrapText="1"/>
    </xf>
    <xf numFmtId="0" fontId="41" fillId="16" borderId="52" xfId="0" applyFont="1" applyFill="1" applyBorder="1" applyAlignment="1">
      <alignment horizontal="center" vertical="center" wrapText="1"/>
    </xf>
    <xf numFmtId="0" fontId="41" fillId="16" borderId="24" xfId="0" applyFont="1" applyFill="1" applyBorder="1" applyAlignment="1">
      <alignment horizontal="center" vertical="center" wrapText="1"/>
    </xf>
    <xf numFmtId="0" fontId="41" fillId="16" borderId="25" xfId="0" applyFont="1" applyFill="1" applyBorder="1" applyAlignment="1">
      <alignment horizontal="left" vertical="center" wrapText="1"/>
    </xf>
    <xf numFmtId="0" fontId="0" fillId="18" borderId="28" xfId="0" applyFill="1" applyBorder="1" applyAlignment="1">
      <alignment vertical="center" wrapText="1"/>
    </xf>
    <xf numFmtId="0" fontId="0" fillId="18" borderId="30" xfId="0" applyFill="1" applyBorder="1" applyAlignment="1">
      <alignment vertical="center" wrapText="1"/>
    </xf>
    <xf numFmtId="0" fontId="20" fillId="18" borderId="30" xfId="0" applyFont="1" applyFill="1" applyBorder="1" applyAlignment="1">
      <alignment horizontal="center" vertical="center" wrapText="1"/>
    </xf>
    <xf numFmtId="0" fontId="0" fillId="18" borderId="30" xfId="0" applyFill="1" applyBorder="1" applyAlignment="1">
      <alignment horizontal="center" vertical="center" wrapText="1"/>
    </xf>
    <xf numFmtId="0" fontId="20" fillId="18" borderId="30" xfId="0" applyFont="1" applyFill="1" applyBorder="1" applyAlignment="1">
      <alignment vertical="center" wrapText="1"/>
    </xf>
    <xf numFmtId="0" fontId="41" fillId="19" borderId="30" xfId="0" applyFont="1" applyFill="1" applyBorder="1" applyAlignment="1">
      <alignment horizontal="center" vertical="center" wrapText="1"/>
    </xf>
    <xf numFmtId="0" fontId="0" fillId="18" borderId="41" xfId="0" applyFill="1" applyBorder="1" applyAlignment="1">
      <alignment vertical="center" wrapText="1"/>
    </xf>
    <xf numFmtId="0" fontId="0" fillId="18" borderId="33" xfId="0" applyFill="1" applyBorder="1" applyAlignment="1">
      <alignment vertical="center" wrapText="1"/>
    </xf>
    <xf numFmtId="0" fontId="20" fillId="18" borderId="33" xfId="0" applyFont="1" applyFill="1" applyBorder="1" applyAlignment="1">
      <alignment horizontal="center" vertical="center" wrapText="1"/>
    </xf>
    <xf numFmtId="0" fontId="0" fillId="18" borderId="33" xfId="0" applyFill="1" applyBorder="1" applyAlignment="1">
      <alignment horizontal="center" vertical="center" wrapText="1"/>
    </xf>
    <xf numFmtId="0" fontId="20" fillId="18" borderId="33" xfId="0" applyFont="1" applyFill="1" applyBorder="1" applyAlignment="1">
      <alignment vertical="center" wrapText="1"/>
    </xf>
    <xf numFmtId="0" fontId="41" fillId="19"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4" borderId="15" xfId="0" applyFont="1" applyFill="1" applyBorder="1" applyAlignment="1">
      <alignment horizontal="center" vertical="center"/>
    </xf>
    <xf numFmtId="0" fontId="11" fillId="15" borderId="43" xfId="0" applyFont="1" applyFill="1" applyBorder="1" applyAlignment="1">
      <alignment horizontal="center" vertical="center" wrapText="1"/>
    </xf>
    <xf numFmtId="0" fontId="26" fillId="15" borderId="4" xfId="0" applyFont="1" applyFill="1" applyBorder="1" applyAlignment="1">
      <alignment horizontal="center" vertical="center" wrapText="1"/>
    </xf>
    <xf numFmtId="0" fontId="26" fillId="15" borderId="10" xfId="0" applyFont="1" applyFill="1" applyBorder="1" applyAlignment="1">
      <alignment horizontal="center" vertical="center" wrapText="1"/>
    </xf>
    <xf numFmtId="0" fontId="26" fillId="15"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30" fillId="0" borderId="2" xfId="1" applyBorder="1" applyAlignment="1">
      <alignment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2"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3" borderId="1" xfId="0" applyFont="1" applyFill="1" applyBorder="1" applyAlignment="1">
      <alignment horizontal="center"/>
    </xf>
    <xf numFmtId="0" fontId="6" fillId="8" borderId="8" xfId="0" applyFont="1" applyFill="1" applyBorder="1" applyAlignment="1">
      <alignment horizontal="center"/>
    </xf>
    <xf numFmtId="0" fontId="0" fillId="11" borderId="1" xfId="0" applyFill="1" applyBorder="1" applyAlignment="1">
      <alignment horizontal="center"/>
    </xf>
    <xf numFmtId="0" fontId="1" fillId="12" borderId="1" xfId="0" applyFont="1" applyFill="1" applyBorder="1" applyAlignment="1">
      <alignment horizontal="center" wrapText="1"/>
    </xf>
    <xf numFmtId="0" fontId="20" fillId="12"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30" fillId="0" borderId="1" xfId="1" applyBorder="1" applyAlignment="1">
      <alignment vertical="center" wrapText="1"/>
    </xf>
    <xf numFmtId="0" fontId="5" fillId="0" borderId="8" xfId="0" applyFont="1" applyBorder="1"/>
    <xf numFmtId="0" fontId="10" fillId="0" borderId="10" xfId="0" applyFont="1" applyBorder="1"/>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5"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3" xfId="0" applyFill="1" applyBorder="1" applyAlignment="1">
      <alignment horizontal="center" vertical="center" wrapText="1"/>
    </xf>
    <xf numFmtId="0" fontId="0" fillId="7" borderId="66"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46" xfId="0" applyFill="1" applyBorder="1" applyAlignment="1">
      <alignment horizontal="center" vertical="center" wrapText="1"/>
    </xf>
    <xf numFmtId="0" fontId="12" fillId="0" borderId="21" xfId="0" applyFont="1" applyBorder="1" applyAlignment="1">
      <alignment horizontal="center" wrapText="1"/>
    </xf>
    <xf numFmtId="0" fontId="10" fillId="0" borderId="21" xfId="0" applyFont="1" applyBorder="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0" fillId="0" borderId="0" xfId="0" applyAlignment="1">
      <alignment horizontal="left" vertical="top" wrapText="1"/>
    </xf>
    <xf numFmtId="0" fontId="8" fillId="0" borderId="0" xfId="0" applyFont="1" applyAlignment="1">
      <alignment horizontal="left" vertical="center"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8" fillId="4" borderId="15"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28" fillId="4" borderId="17"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0" fillId="7" borderId="12" xfId="0" applyFill="1"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 fillId="0" borderId="21" xfId="0" applyFont="1" applyBorder="1" applyAlignment="1">
      <alignment horizontal="center"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0" fillId="0" borderId="12" xfId="0" applyBorder="1" applyAlignment="1">
      <alignment horizontal="center" vertical="center" wrapText="1"/>
    </xf>
    <xf numFmtId="0" fontId="9" fillId="0" borderId="0" xfId="0" applyFont="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9" borderId="48" xfId="0" applyFont="1" applyFill="1" applyBorder="1" applyAlignment="1">
      <alignment horizontal="left" vertical="center" wrapText="1"/>
    </xf>
    <xf numFmtId="0" fontId="41" fillId="19" borderId="47" xfId="0" applyFont="1" applyFill="1" applyBorder="1" applyAlignment="1">
      <alignment horizontal="left" vertical="center" wrapText="1"/>
    </xf>
    <xf numFmtId="0" fontId="41" fillId="19" borderId="50" xfId="0" applyFont="1" applyFill="1" applyBorder="1" applyAlignment="1">
      <alignment horizontal="left" vertical="center" wrapText="1"/>
    </xf>
    <xf numFmtId="0" fontId="41" fillId="19" borderId="51" xfId="0" applyFont="1" applyFill="1" applyBorder="1" applyAlignment="1">
      <alignment horizontal="left" vertical="center" wrapText="1"/>
    </xf>
    <xf numFmtId="0" fontId="41" fillId="19" borderId="28" xfId="0" applyFont="1" applyFill="1" applyBorder="1" applyAlignment="1">
      <alignment horizontal="left" vertical="center" wrapText="1"/>
    </xf>
    <xf numFmtId="0" fontId="41" fillId="19" borderId="41" xfId="0" applyFont="1" applyFill="1" applyBorder="1" applyAlignment="1">
      <alignment horizontal="left" vertical="center" wrapText="1"/>
    </xf>
    <xf numFmtId="0" fontId="41" fillId="19" borderId="76" xfId="0" applyFont="1" applyFill="1" applyBorder="1" applyAlignment="1">
      <alignment horizontal="left" vertical="center" wrapText="1"/>
    </xf>
    <xf numFmtId="0" fontId="41" fillId="19"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8" borderId="48" xfId="0" applyFill="1" applyBorder="1" applyAlignment="1">
      <alignment horizontal="left" vertical="center" wrapText="1"/>
    </xf>
    <xf numFmtId="0" fontId="0" fillId="18" borderId="28" xfId="0" applyFill="1" applyBorder="1" applyAlignment="1">
      <alignment horizontal="left" vertical="center" wrapText="1"/>
    </xf>
    <xf numFmtId="0" fontId="0" fillId="18" borderId="50" xfId="0" applyFill="1" applyBorder="1" applyAlignment="1">
      <alignment horizontal="left" vertical="center" wrapText="1"/>
    </xf>
    <xf numFmtId="0" fontId="0" fillId="18" borderId="41" xfId="0" applyFill="1" applyBorder="1" applyAlignment="1">
      <alignment horizontal="left" vertical="center" wrapText="1"/>
    </xf>
    <xf numFmtId="0" fontId="0" fillId="17" borderId="70" xfId="0" applyFill="1" applyBorder="1" applyAlignment="1">
      <alignment horizontal="left" vertical="center" wrapText="1"/>
    </xf>
    <xf numFmtId="0" fontId="0" fillId="17" borderId="75" xfId="0" applyFill="1" applyBorder="1" applyAlignment="1">
      <alignment horizontal="left" vertical="center" wrapText="1"/>
    </xf>
    <xf numFmtId="0" fontId="1" fillId="17" borderId="60" xfId="0" applyFont="1" applyFill="1" applyBorder="1" applyAlignment="1">
      <alignment horizontal="center" vertical="center"/>
    </xf>
    <xf numFmtId="0" fontId="1" fillId="17" borderId="68" xfId="0" applyFont="1" applyFill="1" applyBorder="1" applyAlignment="1">
      <alignment horizontal="center" vertical="center"/>
    </xf>
    <xf numFmtId="0" fontId="0" fillId="4" borderId="75" xfId="0" applyFill="1" applyBorder="1" applyAlignment="1">
      <alignment horizontal="left" vertical="center" wrapText="1"/>
    </xf>
    <xf numFmtId="0" fontId="0" fillId="17" borderId="66" xfId="0" applyFill="1" applyBorder="1" applyAlignment="1">
      <alignment horizontal="left" vertical="center"/>
    </xf>
    <xf numFmtId="0" fontId="0" fillId="17" borderId="72" xfId="0" applyFill="1" applyBorder="1" applyAlignment="1">
      <alignment horizontal="left" vertical="center"/>
    </xf>
    <xf numFmtId="0" fontId="0" fillId="4" borderId="66"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4" borderId="15" xfId="0" applyFont="1" applyFill="1" applyBorder="1" applyAlignment="1">
      <alignment horizontal="center" vertical="center"/>
    </xf>
    <xf numFmtId="0" fontId="4" fillId="14" borderId="17" xfId="0" applyFont="1" applyFill="1" applyBorder="1" applyAlignment="1">
      <alignment horizontal="center" vertical="center"/>
    </xf>
    <xf numFmtId="0" fontId="4" fillId="14" borderId="16" xfId="0" applyFont="1" applyFill="1" applyBorder="1" applyAlignment="1">
      <alignment horizontal="center" vertical="center"/>
    </xf>
    <xf numFmtId="0" fontId="26" fillId="15" borderId="10" xfId="0" applyFont="1" applyFill="1" applyBorder="1" applyAlignment="1">
      <alignment horizontal="center" vertical="center" wrapText="1"/>
    </xf>
    <xf numFmtId="0" fontId="26" fillId="15" borderId="0" xfId="0" applyFont="1" applyFill="1" applyAlignment="1">
      <alignment horizontal="center" vertical="center" wrapText="1"/>
    </xf>
    <xf numFmtId="0" fontId="26" fillId="15" borderId="60" xfId="0" applyFont="1" applyFill="1" applyBorder="1" applyAlignment="1">
      <alignment horizontal="center" vertical="center" wrapText="1"/>
    </xf>
    <xf numFmtId="0" fontId="26" fillId="15" borderId="22" xfId="0" applyFont="1" applyFill="1" applyBorder="1" applyAlignment="1">
      <alignment horizontal="center" vertical="center" wrapText="1"/>
    </xf>
    <xf numFmtId="0" fontId="26" fillId="15" borderId="53" xfId="0" applyFont="1" applyFill="1" applyBorder="1" applyAlignment="1">
      <alignment horizontal="center" vertical="center" wrapText="1"/>
    </xf>
    <xf numFmtId="0" fontId="26" fillId="15" borderId="18" xfId="0" applyFont="1" applyFill="1" applyBorder="1" applyAlignment="1">
      <alignment horizontal="center" vertical="center" wrapText="1"/>
    </xf>
    <xf numFmtId="0" fontId="0" fillId="4" borderId="71" xfId="0" applyFill="1" applyBorder="1" applyAlignment="1">
      <alignment horizontal="left"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4" borderId="21"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19" xfId="0" applyFont="1" applyFill="1" applyBorder="1" applyAlignment="1">
      <alignment horizontal="center" vertical="center" wrapText="1"/>
    </xf>
    <xf numFmtId="0" fontId="0" fillId="4" borderId="71" xfId="0" applyFill="1" applyBorder="1" applyAlignment="1">
      <alignment horizontal="left" vertical="center"/>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7" borderId="20" xfId="0" applyFont="1" applyFill="1" applyBorder="1" applyAlignment="1">
      <alignment horizontal="center" vertical="center"/>
    </xf>
    <xf numFmtId="0" fontId="1" fillId="17" borderId="74" xfId="0" applyFont="1" applyFill="1" applyBorder="1" applyAlignment="1">
      <alignment horizontal="center" vertical="center"/>
    </xf>
    <xf numFmtId="0" fontId="0" fillId="17" borderId="31" xfId="0" applyFill="1" applyBorder="1" applyAlignment="1">
      <alignment horizontal="left" vertical="center"/>
    </xf>
    <xf numFmtId="0" fontId="0" fillId="17" borderId="5" xfId="0" applyFill="1" applyBorder="1" applyAlignment="1">
      <alignment horizontal="left" vertical="center"/>
    </xf>
    <xf numFmtId="0" fontId="1" fillId="17" borderId="10" xfId="0" applyFont="1" applyFill="1" applyBorder="1" applyAlignment="1">
      <alignment horizontal="center" vertical="center"/>
    </xf>
    <xf numFmtId="0" fontId="1" fillId="17" borderId="69" xfId="0" applyFont="1" applyFill="1" applyBorder="1" applyAlignment="1">
      <alignment horizontal="center" vertical="center"/>
    </xf>
    <xf numFmtId="0" fontId="0" fillId="17" borderId="4" xfId="0" applyFill="1" applyBorder="1" applyAlignment="1">
      <alignment horizontal="left" vertical="center" wrapText="1"/>
    </xf>
    <xf numFmtId="0" fontId="0" fillId="17" borderId="34" xfId="0" applyFill="1" applyBorder="1" applyAlignment="1">
      <alignment horizontal="left" vertical="center" wrapText="1"/>
    </xf>
    <xf numFmtId="0" fontId="1" fillId="17" borderId="11" xfId="0" applyFont="1" applyFill="1" applyBorder="1" applyAlignment="1">
      <alignment horizontal="center" vertical="center"/>
    </xf>
    <xf numFmtId="0" fontId="0" fillId="17" borderId="3" xfId="0" applyFill="1" applyBorder="1" applyAlignment="1">
      <alignment horizontal="left" vertical="center" wrapText="1"/>
    </xf>
    <xf numFmtId="0" fontId="1" fillId="17" borderId="73" xfId="0" applyFont="1" applyFill="1" applyBorder="1" applyAlignment="1">
      <alignment horizontal="center" vertical="center"/>
    </xf>
    <xf numFmtId="0" fontId="1" fillId="17" borderId="24" xfId="0" applyFont="1" applyFill="1" applyBorder="1" applyAlignment="1">
      <alignment horizontal="center" vertical="center"/>
    </xf>
    <xf numFmtId="0" fontId="0" fillId="17" borderId="66" xfId="0" applyFill="1" applyBorder="1" applyAlignment="1">
      <alignment horizontal="left" wrapText="1"/>
    </xf>
    <xf numFmtId="0" fontId="0" fillId="17" borderId="72" xfId="0" applyFill="1" applyBorder="1" applyAlignment="1">
      <alignment horizontal="left" wrapText="1"/>
    </xf>
    <xf numFmtId="0" fontId="1" fillId="17" borderId="65" xfId="0" applyFont="1" applyFill="1" applyBorder="1" applyAlignment="1">
      <alignment horizontal="center" vertical="center"/>
    </xf>
    <xf numFmtId="0" fontId="1" fillId="17" borderId="44" xfId="0" applyFont="1" applyFill="1" applyBorder="1" applyAlignment="1">
      <alignment horizontal="center" vertical="center"/>
    </xf>
    <xf numFmtId="0" fontId="1" fillId="17" borderId="38" xfId="0" applyFont="1" applyFill="1" applyBorder="1" applyAlignment="1">
      <alignment horizontal="center" vertical="center"/>
    </xf>
    <xf numFmtId="0" fontId="1" fillId="17" borderId="39" xfId="0" applyFont="1" applyFill="1" applyBorder="1" applyAlignment="1">
      <alignment horizontal="center" vertical="center"/>
    </xf>
    <xf numFmtId="0" fontId="1" fillId="17"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2" borderId="46" xfId="0" applyFont="1" applyFill="1" applyBorder="1" applyAlignment="1">
      <alignment horizontal="center" wrapText="1"/>
    </xf>
    <xf numFmtId="0" fontId="20" fillId="12" borderId="49" xfId="0" applyFont="1" applyFill="1" applyBorder="1" applyAlignment="1">
      <alignment horizontal="center" wrapText="1"/>
    </xf>
    <xf numFmtId="0" fontId="20" fillId="12" borderId="2" xfId="0" applyFont="1" applyFill="1" applyBorder="1" applyAlignment="1">
      <alignment horizontal="center" wrapText="1"/>
    </xf>
    <xf numFmtId="0" fontId="1" fillId="12"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2"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2" borderId="46" xfId="0" applyFont="1" applyFill="1" applyBorder="1" applyAlignment="1">
      <alignment horizontal="center" vertical="top"/>
    </xf>
    <xf numFmtId="0" fontId="1" fillId="12" borderId="49" xfId="0" applyFont="1" applyFill="1" applyBorder="1" applyAlignment="1">
      <alignment horizontal="center" vertical="top"/>
    </xf>
    <xf numFmtId="0" fontId="1" fillId="12" borderId="2" xfId="0" applyFont="1" applyFill="1" applyBorder="1" applyAlignment="1">
      <alignment horizontal="center" vertical="top"/>
    </xf>
    <xf numFmtId="0" fontId="1" fillId="12" borderId="11" xfId="0" applyFont="1" applyFill="1" applyBorder="1" applyAlignment="1">
      <alignment horizontal="center" wrapText="1"/>
    </xf>
    <xf numFmtId="0" fontId="1" fillId="12" borderId="12" xfId="0" applyFont="1" applyFill="1" applyBorder="1" applyAlignment="1">
      <alignment horizontal="center" wrapText="1"/>
    </xf>
    <xf numFmtId="0" fontId="20" fillId="12" borderId="11" xfId="0" applyFont="1" applyFill="1" applyBorder="1" applyAlignment="1">
      <alignment horizontal="center" wrapText="1"/>
    </xf>
    <xf numFmtId="0" fontId="20" fillId="12" borderId="6" xfId="0" applyFont="1" applyFill="1" applyBorder="1" applyAlignment="1">
      <alignment horizontal="center" wrapText="1"/>
    </xf>
    <xf numFmtId="0" fontId="20" fillId="12"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2" borderId="46" xfId="0" applyFont="1" applyFill="1" applyBorder="1" applyAlignment="1">
      <alignment horizontal="center" vertical="top" wrapText="1"/>
    </xf>
    <xf numFmtId="0" fontId="1" fillId="12" borderId="2" xfId="0" applyFont="1" applyFill="1" applyBorder="1" applyAlignment="1">
      <alignment horizontal="center" vertical="top" wrapText="1"/>
    </xf>
    <xf numFmtId="0" fontId="1" fillId="12"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12" borderId="3" xfId="0" applyFont="1" applyFill="1" applyBorder="1" applyAlignment="1">
      <alignment horizontal="center" wrapText="1"/>
    </xf>
    <xf numFmtId="0" fontId="1" fillId="2" borderId="10" xfId="0" applyFont="1" applyFill="1" applyBorder="1" applyAlignment="1">
      <alignment horizontal="center" vertical="center" textRotation="90"/>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2"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2"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2"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3"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2" borderId="3" xfId="0" applyFont="1" applyFill="1" applyBorder="1" applyAlignment="1">
      <alignment horizontal="center" vertical="top" wrapText="1"/>
    </xf>
    <xf numFmtId="0" fontId="0" fillId="0" borderId="7" xfId="0" applyBorder="1" applyAlignment="1">
      <alignment horizontal="left" wrapText="1"/>
    </xf>
    <xf numFmtId="0" fontId="1" fillId="12" borderId="3" xfId="0" applyFont="1" applyFill="1" applyBorder="1" applyAlignment="1">
      <alignment horizontal="center" vertical="top"/>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1" borderId="12" xfId="0" applyFill="1" applyBorder="1" applyAlignment="1">
      <alignment horizontal="center"/>
    </xf>
    <xf numFmtId="0" fontId="0" fillId="11"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3" borderId="11" xfId="0" applyFont="1" applyFill="1" applyBorder="1" applyAlignment="1">
      <alignment horizontal="center" wrapText="1"/>
    </xf>
    <xf numFmtId="0" fontId="6" fillId="13" borderId="6" xfId="0" applyFont="1" applyFill="1" applyBorder="1" applyAlignment="1">
      <alignment horizontal="center" wrapText="1"/>
    </xf>
    <xf numFmtId="0" fontId="6" fillId="13" borderId="12" xfId="0" applyFont="1" applyFill="1" applyBorder="1" applyAlignment="1">
      <alignment horizontal="center" wrapText="1"/>
    </xf>
    <xf numFmtId="0" fontId="6" fillId="13" borderId="12" xfId="0" applyFont="1" applyFill="1" applyBorder="1" applyAlignment="1">
      <alignment horizontal="center"/>
    </xf>
    <xf numFmtId="0" fontId="6" fillId="13"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2"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1" fillId="12" borderId="68" xfId="0" applyFont="1" applyFill="1" applyBorder="1" applyAlignment="1">
      <alignment horizontal="center" wrapText="1"/>
    </xf>
    <xf numFmtId="0" fontId="1" fillId="12" borderId="7" xfId="0" applyFont="1" applyFill="1" applyBorder="1" applyAlignment="1">
      <alignment horizontal="center" wrapText="1"/>
    </xf>
    <xf numFmtId="0" fontId="0" fillId="0" borderId="6" xfId="0" applyBorder="1" applyAlignment="1">
      <alignment horizontal="center" wrapText="1"/>
    </xf>
    <xf numFmtId="0" fontId="6" fillId="13" borderId="46" xfId="0" applyFont="1" applyFill="1" applyBorder="1" applyAlignment="1">
      <alignment horizontal="center" wrapText="1"/>
    </xf>
    <xf numFmtId="0" fontId="6" fillId="13"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3" borderId="11" xfId="0" applyFont="1" applyFill="1" applyBorder="1" applyAlignment="1">
      <alignment horizontal="center"/>
    </xf>
    <xf numFmtId="0" fontId="6" fillId="13" borderId="6" xfId="0" applyFont="1" applyFill="1" applyBorder="1" applyAlignment="1">
      <alignment horizontal="center"/>
    </xf>
  </cellXfs>
  <cellStyles count="2">
    <cellStyle name="Hyperlink" xfId="1" builtinId="8"/>
    <cellStyle name="Normal" xfId="0" builtinId="0"/>
  </cellStyles>
  <dxfs count="3401">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0"/>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topLeftCell="Y1" workbookViewId="0">
      <selection activeCell="C26" sqref="C26"/>
    </sheetView>
  </sheetViews>
  <sheetFormatPr defaultColWidth="9.1796875" defaultRowHeight="14.5" x14ac:dyDescent="0.35"/>
  <cols>
    <col min="1" max="1" width="16.089843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36328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15" t="s">
        <v>2</v>
      </c>
      <c r="T1" s="515"/>
      <c r="U1" s="515"/>
      <c r="V1" s="515"/>
      <c r="X1" s="515" t="s">
        <v>3</v>
      </c>
      <c r="Y1" s="515"/>
      <c r="Z1" s="515"/>
      <c r="AA1" s="515"/>
      <c r="AB1" s="515"/>
      <c r="AC1" s="515"/>
      <c r="AD1" s="515"/>
      <c r="AE1" s="515"/>
      <c r="AF1" s="515"/>
      <c r="AG1" s="515"/>
      <c r="AH1" s="515"/>
      <c r="AI1" s="515"/>
      <c r="AJ1" s="515"/>
      <c r="AK1" s="515"/>
      <c r="AL1" s="515"/>
    </row>
    <row r="2" spans="1:54" ht="43.5" x14ac:dyDescent="0.35">
      <c r="B2" s="5"/>
      <c r="C2" s="5"/>
      <c r="D2" s="4"/>
      <c r="E2" s="4"/>
      <c r="G2" s="4"/>
      <c r="H2" s="4" t="s">
        <v>341</v>
      </c>
      <c r="I2" s="187" t="str">
        <f>'Sensitivity Labels'!G11</f>
        <v>Files &amp; Other Data assets</v>
      </c>
      <c r="J2" s="187" t="str">
        <f>'Sensitivity Labels'!G13</f>
        <v>Emails</v>
      </c>
      <c r="K2" s="188" t="str">
        <f>'Sensitivity Labels'!G15</f>
        <v>Meetings</v>
      </c>
      <c r="L2" s="189" t="str">
        <f>'Sensitivity Labels'!G17</f>
        <v>Groups &amp; Sites</v>
      </c>
      <c r="M2" s="187"/>
      <c r="N2" s="188"/>
      <c r="O2" s="189"/>
      <c r="P2" s="4"/>
      <c r="R2" s="3" t="s">
        <v>4</v>
      </c>
      <c r="S2" s="4" t="s">
        <v>5</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22</v>
      </c>
      <c r="B3" s="95">
        <f>G3</f>
        <v>1</v>
      </c>
      <c r="C3" s="5" t="str">
        <f>IF('Sensitivity Labels'!C11="","",'Sensitivity Labels'!C11)</f>
        <v/>
      </c>
      <c r="D3" s="5" t="str">
        <f>IF('Sensitivity Labels'!D11="","",C3&amp;"-"&amp;'Sensitivity Labels'!D11)</f>
        <v/>
      </c>
      <c r="E3" s="5" t="str">
        <f t="shared" ref="E3:E22" si="0">IF(OR(C3="",(LEFT(D3,3)="Par"),RIGHT(C3,1)="p"),"",D3)</f>
        <v/>
      </c>
      <c r="G3" s="3">
        <v>1</v>
      </c>
      <c r="H3" s="295" t="str">
        <f>IF(OR((LEFT(D3,3)="Par"),RIGHT(C3,1)="p"),"True","false")</f>
        <v>false</v>
      </c>
      <c r="I3" s="3" t="b">
        <f>'Sensitivity Labels'!F11</f>
        <v>0</v>
      </c>
      <c r="J3" s="3" t="b">
        <f>'Sensitivity Labels'!F13</f>
        <v>0</v>
      </c>
      <c r="K3" s="3" t="b">
        <f>'Sensitivity Labels'!F15</f>
        <v>0</v>
      </c>
      <c r="L3" s="3" t="b">
        <f>'Sensitivity Labels'!F17</f>
        <v>0</v>
      </c>
      <c r="M3" s="33" t="str">
        <f>IF(D3="",P$3,IF(OR(I3=TRUE,J3=TRUE),D3,P$4))</f>
        <v>Please fill out Sensitivity Labels Tab</v>
      </c>
      <c r="N3" s="33" t="str">
        <f>IF(D3="",P$3,IF(AND(I3=TRUE,J3=TRUE,K3=TRUE),$D3,P$4))</f>
        <v>Please fill out Sensitivity Labels Tab</v>
      </c>
      <c r="O3" s="33" t="str">
        <f>IF(D3="",P$3,IF(L3=TRUE,$D3,P$4))</f>
        <v>Please fill out Sensitivity Labels Tab</v>
      </c>
      <c r="P3" s="5" t="s">
        <v>317</v>
      </c>
      <c r="R3" s="516" t="s">
        <v>6</v>
      </c>
      <c r="S3" s="5" t="s">
        <v>7</v>
      </c>
      <c r="V3" s="5" t="s">
        <v>8</v>
      </c>
      <c r="X3" s="6" t="s">
        <v>9</v>
      </c>
      <c r="Z3" s="6" t="s">
        <v>9</v>
      </c>
      <c r="AB3" s="6" t="s">
        <v>10</v>
      </c>
      <c r="AD3" s="6" t="s">
        <v>11</v>
      </c>
      <c r="AF3" s="5" t="s">
        <v>340</v>
      </c>
      <c r="AH3" s="6" t="s">
        <v>13</v>
      </c>
      <c r="AJ3" s="5" t="s">
        <v>14</v>
      </c>
      <c r="AL3" s="5" t="s">
        <v>15</v>
      </c>
      <c r="AN3" s="5" t="s">
        <v>16</v>
      </c>
      <c r="AP3" s="5" t="s">
        <v>17</v>
      </c>
      <c r="AR3" s="5" t="s">
        <v>18</v>
      </c>
      <c r="AT3" s="5" t="s">
        <v>320</v>
      </c>
      <c r="AV3" s="5" t="s">
        <v>14</v>
      </c>
      <c r="AX3" s="5" t="s">
        <v>19</v>
      </c>
      <c r="AZ3" s="5" t="s">
        <v>20</v>
      </c>
      <c r="BB3" s="22" t="s">
        <v>21</v>
      </c>
    </row>
    <row r="4" spans="1:54" ht="32" x14ac:dyDescent="0.35">
      <c r="A4" s="5" t="s">
        <v>39</v>
      </c>
      <c r="B4" s="95">
        <f t="shared" ref="B4:B22" si="1">G4</f>
        <v>2</v>
      </c>
      <c r="C4" s="5" t="str">
        <f>IF('Sensitivity Labels'!C19="","",'Sensitivity Labels'!C19)</f>
        <v/>
      </c>
      <c r="D4" s="5" t="str">
        <f>IF('Sensitivity Labels'!D19="","",C4&amp;"-"&amp;'Sensitivity Labels'!D19)</f>
        <v/>
      </c>
      <c r="E4" s="5" t="str">
        <f>IF(OR(C4="",(LEFT(D4,3)="Par"),RIGHT(C4,1)="p"),"",D4)</f>
        <v/>
      </c>
      <c r="G4" s="3">
        <f>G3+1</f>
        <v>2</v>
      </c>
      <c r="H4" s="295" t="str">
        <f t="shared" ref="H4:H22" si="2">IF(OR((LEFT(D4,3)="Par"),RIGHT(C4,1)="p"),"True","false")</f>
        <v>false</v>
      </c>
      <c r="I4" s="3" t="b">
        <f>'Sensitivity Labels'!F19</f>
        <v>0</v>
      </c>
      <c r="J4" s="3" t="b">
        <f>'Sensitivity Labels'!F21</f>
        <v>0</v>
      </c>
      <c r="K4" s="3" t="b">
        <f>'Sensitivity Labels'!F23</f>
        <v>0</v>
      </c>
      <c r="L4" s="3" t="b">
        <f>'Sensitivity Labels'!F25</f>
        <v>0</v>
      </c>
      <c r="M4" s="33" t="str">
        <f>IF(D4="",P$3,IF(OR(I4=TRUE,J4=TRUE),D4,P$4))</f>
        <v>Please fill out Sensitivity Labels Tab</v>
      </c>
      <c r="N4" s="33" t="str">
        <f t="shared" ref="N4:N22" si="3">IF(D4="",P$3,IF(AND(I4=TRUE,J4=TRUE,K4=TRUE),$D4,P$4))</f>
        <v>Please fill out Sensitivity Labels Tab</v>
      </c>
      <c r="O4" s="33" t="str">
        <f t="shared" ref="O4:O22" si="4">IF(D4="",P$3,IF(L4=TRUE,$D4,P$4))</f>
        <v>Please fill out Sensitivity Labels Tab</v>
      </c>
      <c r="P4" s="5" t="s">
        <v>342</v>
      </c>
      <c r="R4" s="516"/>
      <c r="S4" s="5" t="s">
        <v>23</v>
      </c>
      <c r="V4" s="5" t="s">
        <v>24</v>
      </c>
      <c r="X4" s="6" t="s">
        <v>25</v>
      </c>
      <c r="Z4" s="6" t="s">
        <v>26</v>
      </c>
      <c r="AB4" s="6" t="s">
        <v>27</v>
      </c>
      <c r="AD4" s="6" t="s">
        <v>28</v>
      </c>
      <c r="AF4" s="5" t="s">
        <v>12</v>
      </c>
      <c r="AH4" s="6" t="s">
        <v>29</v>
      </c>
      <c r="AJ4" s="5" t="s">
        <v>30</v>
      </c>
      <c r="AL4" s="5" t="s">
        <v>31</v>
      </c>
      <c r="AN4" s="5" t="s">
        <v>32</v>
      </c>
      <c r="AP4" s="5" t="s">
        <v>33</v>
      </c>
      <c r="AR4" s="5" t="s">
        <v>34</v>
      </c>
      <c r="AT4" s="5" t="s">
        <v>35</v>
      </c>
      <c r="AV4" s="5" t="s">
        <v>36</v>
      </c>
      <c r="AX4" s="5" t="s">
        <v>37</v>
      </c>
      <c r="AZ4" s="5" t="s">
        <v>312</v>
      </c>
      <c r="BB4" s="22" t="s">
        <v>38</v>
      </c>
    </row>
    <row r="5" spans="1:54" ht="29" x14ac:dyDescent="0.35">
      <c r="A5" s="5" t="s">
        <v>47</v>
      </c>
      <c r="B5" s="95">
        <f t="shared" si="1"/>
        <v>3</v>
      </c>
      <c r="C5" s="5" t="str">
        <f>IF('Sensitivity Labels'!C27="","",'Sensitivity Labels'!C27)</f>
        <v/>
      </c>
      <c r="D5" s="5" t="str">
        <f>IF('Sensitivity Labels'!D27="","",C5&amp;"-"&amp;'Sensitivity Labels'!D27)</f>
        <v/>
      </c>
      <c r="E5" s="5" t="str">
        <f t="shared" si="0"/>
        <v/>
      </c>
      <c r="G5" s="3">
        <f t="shared" ref="G5:G22" si="5">G4+1</f>
        <v>3</v>
      </c>
      <c r="H5" s="295" t="str">
        <f t="shared" si="2"/>
        <v>false</v>
      </c>
      <c r="I5" s="3" t="b">
        <f>'Sensitivity Labels'!F27</f>
        <v>0</v>
      </c>
      <c r="J5" s="3" t="b">
        <f>'Sensitivity Labels'!F29</f>
        <v>0</v>
      </c>
      <c r="K5" s="3" t="b">
        <f>'Sensitivity Labels'!F31</f>
        <v>0</v>
      </c>
      <c r="L5" s="3" t="b">
        <f>'Sensitivity Labels'!F33</f>
        <v>0</v>
      </c>
      <c r="M5" s="33" t="str">
        <f t="shared" ref="M5:M22" si="6">IF(D5="",P$3,IF(OR(I5=TRUE,J5=TRUE),D5,P$4))</f>
        <v>Please fill out Sensitivity Labels Tab</v>
      </c>
      <c r="N5" s="33" t="str">
        <f t="shared" si="3"/>
        <v>Please fill out Sensitivity Labels Tab</v>
      </c>
      <c r="O5" s="33" t="str">
        <f t="shared" si="4"/>
        <v>Please fill out Sensitivity Labels Tab</v>
      </c>
      <c r="R5" s="516"/>
      <c r="S5" s="5"/>
      <c r="V5" s="5"/>
      <c r="X5" s="6" t="s">
        <v>26</v>
      </c>
      <c r="Z5" s="6" t="s">
        <v>40</v>
      </c>
      <c r="AB5" s="5"/>
      <c r="AD5" s="5"/>
      <c r="AF5" s="5"/>
      <c r="AH5" s="5"/>
      <c r="AJ5" s="5" t="s">
        <v>41</v>
      </c>
      <c r="AL5" s="5"/>
      <c r="AN5" s="5" t="s">
        <v>42</v>
      </c>
      <c r="AP5" s="5" t="s">
        <v>43</v>
      </c>
      <c r="AR5" s="5" t="s">
        <v>44</v>
      </c>
      <c r="AT5" s="5" t="s">
        <v>45</v>
      </c>
      <c r="AV5" s="5" t="s">
        <v>321</v>
      </c>
      <c r="AX5" s="5"/>
      <c r="AZ5" s="5" t="s">
        <v>46</v>
      </c>
      <c r="BB5" s="5"/>
    </row>
    <row r="6" spans="1:54" ht="16" x14ac:dyDescent="0.35">
      <c r="A6" s="5" t="s">
        <v>51</v>
      </c>
      <c r="B6" s="95">
        <f t="shared" si="1"/>
        <v>4</v>
      </c>
      <c r="C6" s="5" t="str">
        <f>IF('Sensitivity Labels'!C35="","",'Sensitivity Labels'!C35)</f>
        <v/>
      </c>
      <c r="D6" s="5" t="str">
        <f>IF('Sensitivity Labels'!D35="","",C6&amp;"-"&amp;'Sensitivity Labels'!D35)</f>
        <v/>
      </c>
      <c r="E6" s="5" t="str">
        <f t="shared" si="0"/>
        <v/>
      </c>
      <c r="G6" s="3">
        <f t="shared" si="5"/>
        <v>4</v>
      </c>
      <c r="H6" s="295" t="str">
        <f t="shared" si="2"/>
        <v>false</v>
      </c>
      <c r="I6" s="3" t="b">
        <f>'Sensitivity Labels'!F35</f>
        <v>0</v>
      </c>
      <c r="J6" s="3" t="b">
        <f>'Sensitivity Labels'!F37</f>
        <v>0</v>
      </c>
      <c r="K6" s="3" t="b">
        <f>'Sensitivity Labels'!F39</f>
        <v>0</v>
      </c>
      <c r="L6" s="3" t="b">
        <f>'Sensitivity Labels'!F41</f>
        <v>0</v>
      </c>
      <c r="M6" s="33" t="str">
        <f>IF(D6="",P$3,IF(OR(I6=TRUE,J6=TRUE),D6,P$4))</f>
        <v>Please fill out Sensitivity Labels Tab</v>
      </c>
      <c r="N6" s="33" t="str">
        <f t="shared" si="3"/>
        <v>Please fill out Sensitivity Labels Tab</v>
      </c>
      <c r="O6" s="33" t="str">
        <f t="shared" si="4"/>
        <v>Please fill out Sensitivity Labels Tab</v>
      </c>
      <c r="R6" s="516"/>
      <c r="S6" s="5"/>
      <c r="V6" s="5"/>
      <c r="X6" s="6" t="s">
        <v>48</v>
      </c>
      <c r="Z6" s="6" t="s">
        <v>49</v>
      </c>
      <c r="AB6" s="5"/>
      <c r="AD6" s="5"/>
      <c r="AF6" s="5"/>
      <c r="AH6" s="5"/>
      <c r="AJ6" s="5"/>
      <c r="AN6" s="5"/>
      <c r="AP6" s="5" t="s">
        <v>50</v>
      </c>
      <c r="AR6" s="5"/>
      <c r="AT6" s="5"/>
      <c r="AV6" s="5" t="s">
        <v>30</v>
      </c>
      <c r="AZ6" s="5" t="s">
        <v>14</v>
      </c>
    </row>
    <row r="7" spans="1:54" ht="16" x14ac:dyDescent="0.35">
      <c r="A7" s="5"/>
      <c r="B7" s="95">
        <f t="shared" si="1"/>
        <v>5</v>
      </c>
      <c r="C7" s="5" t="str">
        <f>IF('Sensitivity Labels'!C43="","",'Sensitivity Labels'!C43)</f>
        <v/>
      </c>
      <c r="D7" s="5" t="str">
        <f>IF('Sensitivity Labels'!D43="","",C7&amp;"-"&amp;'Sensitivity Labels'!D43)</f>
        <v/>
      </c>
      <c r="E7" s="5" t="str">
        <f t="shared" si="0"/>
        <v/>
      </c>
      <c r="G7" s="3">
        <f t="shared" si="5"/>
        <v>5</v>
      </c>
      <c r="H7" s="295" t="str">
        <f t="shared" si="2"/>
        <v>false</v>
      </c>
      <c r="I7" s="3" t="b">
        <f>'Sensitivity Labels'!F43</f>
        <v>0</v>
      </c>
      <c r="J7" s="3" t="b">
        <f>'Sensitivity Labels'!F45</f>
        <v>0</v>
      </c>
      <c r="K7" s="3" t="b">
        <f>'Sensitivity Labels'!F47</f>
        <v>0</v>
      </c>
      <c r="L7" s="3" t="b">
        <f>'Sensitivity Labels'!F49</f>
        <v>0</v>
      </c>
      <c r="M7" s="33" t="str">
        <f t="shared" si="6"/>
        <v>Please fill out Sensitivity Labels Tab</v>
      </c>
      <c r="N7" s="33" t="str">
        <f t="shared" si="3"/>
        <v>Please fill out Sensitivity Labels Tab</v>
      </c>
      <c r="O7" s="33" t="str">
        <f t="shared" si="4"/>
        <v>Please fill out Sensitivity Labels Tab</v>
      </c>
      <c r="R7" s="516"/>
      <c r="S7" s="5"/>
      <c r="X7" s="6" t="s">
        <v>52</v>
      </c>
      <c r="Z7" s="5"/>
      <c r="AP7" s="5"/>
      <c r="AV7" s="5"/>
      <c r="AZ7" s="5"/>
    </row>
    <row r="8" spans="1:54" ht="32" x14ac:dyDescent="0.35">
      <c r="B8" s="95">
        <f t="shared" si="1"/>
        <v>6</v>
      </c>
      <c r="C8" s="5" t="str">
        <f>IF('Sensitivity Labels'!C51="","",'Sensitivity Labels'!C51)</f>
        <v/>
      </c>
      <c r="D8" s="5" t="str">
        <f>IF('Sensitivity Labels'!D51="","",C8&amp;"-"&amp;'Sensitivity Labels'!D51)</f>
        <v/>
      </c>
      <c r="E8" s="5" t="str">
        <f t="shared" si="0"/>
        <v/>
      </c>
      <c r="G8" s="3">
        <f t="shared" si="5"/>
        <v>6</v>
      </c>
      <c r="H8" s="295" t="str">
        <f t="shared" si="2"/>
        <v>false</v>
      </c>
      <c r="I8" s="3" t="b">
        <f>'Sensitivity Labels'!F51</f>
        <v>0</v>
      </c>
      <c r="J8" s="3" t="b">
        <f>'Sensitivity Labels'!F53</f>
        <v>0</v>
      </c>
      <c r="K8" s="3" t="b">
        <f>'Sensitivity Labels'!F55</f>
        <v>0</v>
      </c>
      <c r="L8" s="3" t="b">
        <f>'Sensitivity Labels'!F57</f>
        <v>0</v>
      </c>
      <c r="M8" s="33" t="str">
        <f t="shared" si="6"/>
        <v>Please fill out Sensitivity Labels Tab</v>
      </c>
      <c r="N8" s="33" t="str">
        <f t="shared" si="3"/>
        <v>Please fill out Sensitivity Labels Tab</v>
      </c>
      <c r="O8" s="33" t="str">
        <f t="shared" si="4"/>
        <v>Please fill out Sensitivity Labels Tab</v>
      </c>
      <c r="R8" s="516"/>
      <c r="X8" s="6" t="s">
        <v>49</v>
      </c>
      <c r="Z8" s="5"/>
      <c r="AH8" s="6" t="s">
        <v>53</v>
      </c>
    </row>
    <row r="9" spans="1:54" ht="48" x14ac:dyDescent="0.35">
      <c r="B9" s="95">
        <f t="shared" si="1"/>
        <v>7</v>
      </c>
      <c r="C9" s="5" t="str">
        <f>IF('Sensitivity Labels'!C59="","",'Sensitivity Labels'!C59)</f>
        <v/>
      </c>
      <c r="D9" s="5" t="str">
        <f>IF('Sensitivity Labels'!D59="","",C9&amp;"-"&amp;'Sensitivity Labels'!D59)</f>
        <v/>
      </c>
      <c r="E9" s="5" t="str">
        <f t="shared" si="0"/>
        <v/>
      </c>
      <c r="G9" s="3">
        <f t="shared" si="5"/>
        <v>7</v>
      </c>
      <c r="H9" s="295" t="str">
        <f t="shared" si="2"/>
        <v>false</v>
      </c>
      <c r="I9" s="3" t="b">
        <f>'Sensitivity Labels'!F59</f>
        <v>0</v>
      </c>
      <c r="J9" s="3" t="b">
        <f>'Sensitivity Labels'!F61</f>
        <v>0</v>
      </c>
      <c r="K9" s="3" t="b">
        <f>'Sensitivity Labels'!F63</f>
        <v>0</v>
      </c>
      <c r="L9" s="3" t="b">
        <f>'Sensitivity Labels'!F65</f>
        <v>0</v>
      </c>
      <c r="M9" s="33" t="str">
        <f t="shared" si="6"/>
        <v>Please fill out Sensitivity Labels Tab</v>
      </c>
      <c r="N9" s="33" t="str">
        <f t="shared" si="3"/>
        <v>Please fill out Sensitivity Labels Tab</v>
      </c>
      <c r="O9" s="33" t="str">
        <f t="shared" si="4"/>
        <v>Please fill out Sensitivity Labels Tab</v>
      </c>
      <c r="R9" s="516"/>
      <c r="X9" s="5"/>
      <c r="AH9" s="6" t="s">
        <v>54</v>
      </c>
    </row>
    <row r="10" spans="1:54" x14ac:dyDescent="0.35">
      <c r="B10" s="95">
        <f t="shared" si="1"/>
        <v>8</v>
      </c>
      <c r="C10" s="5" t="str">
        <f>IF('Sensitivity Labels'!C67="","",'Sensitivity Labels'!C67)</f>
        <v/>
      </c>
      <c r="D10" s="5" t="str">
        <f>IF('Sensitivity Labels'!D67="","",C10&amp;"-"&amp;'Sensitivity Labels'!D67)</f>
        <v/>
      </c>
      <c r="E10" s="5" t="str">
        <f t="shared" si="0"/>
        <v/>
      </c>
      <c r="G10" s="3">
        <f t="shared" si="5"/>
        <v>8</v>
      </c>
      <c r="H10" s="295" t="str">
        <f t="shared" si="2"/>
        <v>false</v>
      </c>
      <c r="I10" s="3" t="b">
        <f>'Sensitivity Labels'!F67</f>
        <v>0</v>
      </c>
      <c r="J10" s="3" t="b">
        <f>'Sensitivity Labels'!F69</f>
        <v>0</v>
      </c>
      <c r="K10" s="3" t="b">
        <f>'Sensitivity Labels'!F71</f>
        <v>0</v>
      </c>
      <c r="L10" s="3" t="b">
        <f>'Sensitivity Labels'!F73</f>
        <v>0</v>
      </c>
      <c r="M10" s="33" t="str">
        <f t="shared" si="6"/>
        <v>Please fill out Sensitivity Labels Tab</v>
      </c>
      <c r="N10" s="33" t="str">
        <f t="shared" si="3"/>
        <v>Please fill out Sensitivity Labels Tab</v>
      </c>
      <c r="O10" s="33" t="str">
        <f t="shared" si="4"/>
        <v>Please fill out Sensitivity Labels Tab</v>
      </c>
      <c r="R10" s="516"/>
      <c r="X10" s="5"/>
      <c r="AH10" s="5"/>
    </row>
    <row r="11" spans="1:54" x14ac:dyDescent="0.35">
      <c r="B11" s="95">
        <f t="shared" si="1"/>
        <v>9</v>
      </c>
      <c r="C11" s="5" t="str">
        <f>IF('Sensitivity Labels'!C75="","",'Sensitivity Labels'!C75)</f>
        <v/>
      </c>
      <c r="D11" s="5" t="str">
        <f>IF('Sensitivity Labels'!D75="","",C11&amp;"-"&amp;'Sensitivity Labels'!D75)</f>
        <v/>
      </c>
      <c r="E11" s="5" t="str">
        <f t="shared" si="0"/>
        <v/>
      </c>
      <c r="G11" s="3">
        <f t="shared" si="5"/>
        <v>9</v>
      </c>
      <c r="H11" s="295" t="str">
        <f t="shared" si="2"/>
        <v>false</v>
      </c>
      <c r="I11" s="3" t="b">
        <f>'Sensitivity Labels'!F75</f>
        <v>0</v>
      </c>
      <c r="J11" s="3" t="b">
        <f>'Sensitivity Labels'!F77</f>
        <v>0</v>
      </c>
      <c r="K11" s="3" t="b">
        <f>'Sensitivity Labels'!F79</f>
        <v>0</v>
      </c>
      <c r="L11" s="3" t="b">
        <f>'Sensitivity Labels'!F81</f>
        <v>0</v>
      </c>
      <c r="M11" s="33" t="str">
        <f t="shared" si="6"/>
        <v>Please fill out Sensitivity Labels Tab</v>
      </c>
      <c r="N11" s="33" t="str">
        <f t="shared" si="3"/>
        <v>Please fill out Sensitivity Labels Tab</v>
      </c>
      <c r="O11" s="33" t="str">
        <f t="shared" si="4"/>
        <v>Please fill out Sensitivity Labels Tab</v>
      </c>
      <c r="R11" s="516"/>
      <c r="S11" s="4" t="s">
        <v>55</v>
      </c>
      <c r="AH11" s="5"/>
    </row>
    <row r="12" spans="1:54" x14ac:dyDescent="0.35">
      <c r="B12" s="95">
        <f t="shared" si="1"/>
        <v>10</v>
      </c>
      <c r="C12" s="5" t="str">
        <f>IF('Sensitivity Labels'!C83="","",'Sensitivity Labels'!C83)</f>
        <v/>
      </c>
      <c r="D12" s="5" t="str">
        <f>IF('Sensitivity Labels'!D83="","",C12&amp;"-"&amp;'Sensitivity Labels'!D83)</f>
        <v/>
      </c>
      <c r="E12" s="5" t="str">
        <f t="shared" si="0"/>
        <v/>
      </c>
      <c r="G12" s="3">
        <f t="shared" si="5"/>
        <v>10</v>
      </c>
      <c r="H12" s="295" t="str">
        <f t="shared" si="2"/>
        <v>false</v>
      </c>
      <c r="I12" s="3" t="b">
        <f>'Sensitivity Labels'!F83</f>
        <v>0</v>
      </c>
      <c r="J12" s="3" t="b">
        <f>'Sensitivity Labels'!F85</f>
        <v>0</v>
      </c>
      <c r="K12" s="3" t="b">
        <f>'Sensitivity Labels'!F87</f>
        <v>0</v>
      </c>
      <c r="L12" s="3" t="b">
        <f>'Sensitivity Labels'!F89</f>
        <v>0</v>
      </c>
      <c r="M12" s="33" t="str">
        <f t="shared" si="6"/>
        <v>Please fill out Sensitivity Labels Tab</v>
      </c>
      <c r="N12" s="33" t="str">
        <f t="shared" si="3"/>
        <v>Please fill out Sensitivity Labels Tab</v>
      </c>
      <c r="O12" s="33" t="str">
        <f t="shared" si="4"/>
        <v>Please fill out Sensitivity Labels Tab</v>
      </c>
      <c r="R12" s="516"/>
      <c r="S12" s="3" t="s">
        <v>56</v>
      </c>
      <c r="AH12" s="5"/>
    </row>
    <row r="13" spans="1:54" x14ac:dyDescent="0.35">
      <c r="B13" s="95">
        <f t="shared" si="1"/>
        <v>11</v>
      </c>
      <c r="C13" s="5" t="str">
        <f>IF('Sensitivity Labels'!C91="","",'Sensitivity Labels'!C91)</f>
        <v/>
      </c>
      <c r="D13" s="5" t="str">
        <f>IF('Sensitivity Labels'!D91="","",C13&amp;"-"&amp;'Sensitivity Labels'!D91)</f>
        <v/>
      </c>
      <c r="E13" s="5" t="str">
        <f t="shared" si="0"/>
        <v/>
      </c>
      <c r="G13" s="3">
        <f t="shared" si="5"/>
        <v>11</v>
      </c>
      <c r="H13" s="295" t="str">
        <f t="shared" si="2"/>
        <v>false</v>
      </c>
      <c r="I13" s="3" t="b">
        <f>'Sensitivity Labels'!F91</f>
        <v>0</v>
      </c>
      <c r="J13" s="3" t="b">
        <f>'Sensitivity Labels'!F93</f>
        <v>0</v>
      </c>
      <c r="K13" s="3" t="b">
        <f>'Sensitivity Labels'!F95</f>
        <v>0</v>
      </c>
      <c r="L13" s="3" t="b">
        <f>'Sensitivity Labels'!F97</f>
        <v>0</v>
      </c>
      <c r="M13" s="33" t="str">
        <f t="shared" si="6"/>
        <v>Please fill out Sensitivity Labels Tab</v>
      </c>
      <c r="N13" s="33" t="str">
        <f t="shared" si="3"/>
        <v>Please fill out Sensitivity Labels Tab</v>
      </c>
      <c r="O13" s="33" t="str">
        <f t="shared" si="4"/>
        <v>Please fill out Sensitivity Labels Tab</v>
      </c>
      <c r="R13" s="516"/>
      <c r="S13" s="3" t="s">
        <v>57</v>
      </c>
    </row>
    <row r="14" spans="1:54" x14ac:dyDescent="0.35">
      <c r="B14" s="95">
        <f t="shared" si="1"/>
        <v>12</v>
      </c>
      <c r="C14" s="5" t="str">
        <f>IF('Sensitivity Labels'!C99="","",'Sensitivity Labels'!C99)</f>
        <v/>
      </c>
      <c r="D14" s="5" t="str">
        <f>IF('Sensitivity Labels'!D99="","",C14&amp;"-"&amp;'Sensitivity Labels'!D99)</f>
        <v/>
      </c>
      <c r="E14" s="5" t="str">
        <f t="shared" si="0"/>
        <v/>
      </c>
      <c r="G14" s="3">
        <f t="shared" si="5"/>
        <v>12</v>
      </c>
      <c r="H14" s="295" t="str">
        <f t="shared" si="2"/>
        <v>false</v>
      </c>
      <c r="I14" s="3" t="b">
        <f>'Sensitivity Labels'!F99</f>
        <v>0</v>
      </c>
      <c r="J14" s="3" t="b">
        <f>'Sensitivity Labels'!F101</f>
        <v>0</v>
      </c>
      <c r="K14" s="3" t="b">
        <f>'Sensitivity Labels'!F103</f>
        <v>0</v>
      </c>
      <c r="L14" s="3" t="b">
        <f>'Sensitivity Labels'!F105</f>
        <v>0</v>
      </c>
      <c r="M14" s="33" t="str">
        <f t="shared" si="6"/>
        <v>Please fill out Sensitivity Labels Tab</v>
      </c>
      <c r="N14" s="33" t="str">
        <f t="shared" si="3"/>
        <v>Please fill out Sensitivity Labels Tab</v>
      </c>
      <c r="O14" s="33" t="str">
        <f t="shared" si="4"/>
        <v>Please fill out Sensitivity Labels Tab</v>
      </c>
      <c r="R14" s="516"/>
      <c r="S14" s="3" t="s">
        <v>58</v>
      </c>
    </row>
    <row r="15" spans="1:54" x14ac:dyDescent="0.35">
      <c r="B15" s="95">
        <f t="shared" si="1"/>
        <v>13</v>
      </c>
      <c r="C15" s="5" t="str">
        <f>IF('Sensitivity Labels'!C107="","",'Sensitivity Labels'!C107)</f>
        <v/>
      </c>
      <c r="D15" s="5" t="str">
        <f>IF('Sensitivity Labels'!D107="","",C15&amp;"-"&amp;'Sensitivity Labels'!D107)</f>
        <v/>
      </c>
      <c r="E15" s="5" t="str">
        <f t="shared" si="0"/>
        <v/>
      </c>
      <c r="G15" s="3">
        <f t="shared" si="5"/>
        <v>13</v>
      </c>
      <c r="H15" s="295" t="str">
        <f t="shared" si="2"/>
        <v>false</v>
      </c>
      <c r="I15" s="3" t="b">
        <f>'Sensitivity Labels'!F107</f>
        <v>0</v>
      </c>
      <c r="J15" s="3" t="b">
        <f>'Sensitivity Labels'!F109</f>
        <v>0</v>
      </c>
      <c r="K15" s="3" t="b">
        <f>'Sensitivity Labels'!F111</f>
        <v>0</v>
      </c>
      <c r="L15" s="3" t="b">
        <f>'Sensitivity Labels'!F113</f>
        <v>0</v>
      </c>
      <c r="M15" s="33" t="str">
        <f t="shared" si="6"/>
        <v>Please fill out Sensitivity Labels Tab</v>
      </c>
      <c r="N15" s="33" t="str">
        <f t="shared" si="3"/>
        <v>Please fill out Sensitivity Labels Tab</v>
      </c>
      <c r="O15" s="33" t="str">
        <f t="shared" si="4"/>
        <v>Please fill out Sensitivity Labels Tab</v>
      </c>
      <c r="R15" s="516"/>
      <c r="S15" s="3" t="s">
        <v>59</v>
      </c>
    </row>
    <row r="16" spans="1:54" x14ac:dyDescent="0.35">
      <c r="B16" s="95">
        <f t="shared" si="1"/>
        <v>14</v>
      </c>
      <c r="C16" s="5" t="str">
        <f>IF('Sensitivity Labels'!C115="","",'Sensitivity Labels'!C115)</f>
        <v/>
      </c>
      <c r="D16" s="5" t="str">
        <f>IF('Sensitivity Labels'!D115="","",C16&amp;"-"&amp;'Sensitivity Labels'!D115)</f>
        <v/>
      </c>
      <c r="E16" s="5" t="str">
        <f t="shared" si="0"/>
        <v/>
      </c>
      <c r="G16" s="3">
        <f t="shared" si="5"/>
        <v>14</v>
      </c>
      <c r="H16" s="295" t="str">
        <f t="shared" si="2"/>
        <v>false</v>
      </c>
      <c r="I16" s="3" t="b">
        <f>'Sensitivity Labels'!F115</f>
        <v>0</v>
      </c>
      <c r="J16" s="3" t="b">
        <f>'Sensitivity Labels'!F117</f>
        <v>0</v>
      </c>
      <c r="K16" s="3" t="b">
        <f>'Sensitivity Labels'!F119</f>
        <v>0</v>
      </c>
      <c r="L16" s="3" t="b">
        <f>'Sensitivity Labels'!F121</f>
        <v>0</v>
      </c>
      <c r="M16" s="33" t="str">
        <f t="shared" si="6"/>
        <v>Please fill out Sensitivity Labels Tab</v>
      </c>
      <c r="N16" s="33" t="str">
        <f t="shared" si="3"/>
        <v>Please fill out Sensitivity Labels Tab</v>
      </c>
      <c r="O16" s="33" t="str">
        <f t="shared" si="4"/>
        <v>Please fill out Sensitivity Labels Tab</v>
      </c>
      <c r="R16" s="516"/>
      <c r="S16" s="3" t="s">
        <v>60</v>
      </c>
    </row>
    <row r="17" spans="2:19" x14ac:dyDescent="0.35">
      <c r="B17" s="95">
        <f t="shared" si="1"/>
        <v>15</v>
      </c>
      <c r="C17" s="5" t="str">
        <f>IF('Sensitivity Labels'!C123="","",'Sensitivity Labels'!C123)</f>
        <v/>
      </c>
      <c r="D17" s="5" t="str">
        <f>IF('Sensitivity Labels'!D123="","",C17&amp;"-"&amp;'Sensitivity Labels'!D123)</f>
        <v/>
      </c>
      <c r="E17" s="5" t="str">
        <f t="shared" si="0"/>
        <v/>
      </c>
      <c r="G17" s="3">
        <f t="shared" si="5"/>
        <v>15</v>
      </c>
      <c r="H17" s="295" t="str">
        <f t="shared" si="2"/>
        <v>false</v>
      </c>
      <c r="I17" s="3" t="b">
        <f>'Sensitivity Labels'!F123</f>
        <v>0</v>
      </c>
      <c r="J17" s="3" t="b">
        <f>'Sensitivity Labels'!F125</f>
        <v>0</v>
      </c>
      <c r="K17" s="3" t="b">
        <f>'Sensitivity Labels'!F127</f>
        <v>0</v>
      </c>
      <c r="L17" s="3" t="b">
        <f>'Sensitivity Labels'!F129</f>
        <v>0</v>
      </c>
      <c r="M17" s="33" t="str">
        <f t="shared" si="6"/>
        <v>Please fill out Sensitivity Labels Tab</v>
      </c>
      <c r="N17" s="33" t="str">
        <f t="shared" si="3"/>
        <v>Please fill out Sensitivity Labels Tab</v>
      </c>
      <c r="O17" s="33" t="str">
        <f t="shared" si="4"/>
        <v>Please fill out Sensitivity Labels Tab</v>
      </c>
      <c r="R17" s="516"/>
      <c r="S17" s="3" t="s">
        <v>61</v>
      </c>
    </row>
    <row r="18" spans="2:19" x14ac:dyDescent="0.35">
      <c r="B18" s="95">
        <f t="shared" si="1"/>
        <v>16</v>
      </c>
      <c r="C18" s="5" t="str">
        <f>IF('Sensitivity Labels'!C131="","",'Sensitivity Labels'!C131)</f>
        <v/>
      </c>
      <c r="D18" s="5" t="str">
        <f>IF('Sensitivity Labels'!D131="","",C18&amp;"-"&amp;'Sensitivity Labels'!D131)</f>
        <v/>
      </c>
      <c r="E18" s="5" t="str">
        <f t="shared" si="0"/>
        <v/>
      </c>
      <c r="G18" s="3">
        <f t="shared" si="5"/>
        <v>16</v>
      </c>
      <c r="H18" s="295" t="str">
        <f t="shared" si="2"/>
        <v>false</v>
      </c>
      <c r="I18" s="3" t="b">
        <f>'Sensitivity Labels'!F131</f>
        <v>0</v>
      </c>
      <c r="J18" s="3" t="b">
        <f>'Sensitivity Labels'!F133</f>
        <v>0</v>
      </c>
      <c r="K18" s="3" t="b">
        <f>'Sensitivity Labels'!F135</f>
        <v>0</v>
      </c>
      <c r="L18" s="3" t="b">
        <f>'Sensitivity Labels'!F137</f>
        <v>0</v>
      </c>
      <c r="M18" s="33" t="str">
        <f t="shared" si="6"/>
        <v>Please fill out Sensitivity Labels Tab</v>
      </c>
      <c r="N18" s="33" t="str">
        <f t="shared" si="3"/>
        <v>Please fill out Sensitivity Labels Tab</v>
      </c>
      <c r="O18" s="33" t="str">
        <f t="shared" si="4"/>
        <v>Please fill out Sensitivity Labels Tab</v>
      </c>
      <c r="R18" s="516"/>
      <c r="S18" s="3" t="s">
        <v>62</v>
      </c>
    </row>
    <row r="19" spans="2:19" x14ac:dyDescent="0.35">
      <c r="B19" s="95">
        <f t="shared" si="1"/>
        <v>17</v>
      </c>
      <c r="C19" s="5" t="str">
        <f>IF('Sensitivity Labels'!C139="","",'Sensitivity Labels'!C139)</f>
        <v/>
      </c>
      <c r="D19" s="5" t="str">
        <f>IF('Sensitivity Labels'!D139="","",C19&amp;"-"&amp;'Sensitivity Labels'!D139)</f>
        <v/>
      </c>
      <c r="E19" s="5" t="str">
        <f t="shared" si="0"/>
        <v/>
      </c>
      <c r="G19" s="3">
        <f t="shared" si="5"/>
        <v>17</v>
      </c>
      <c r="H19" s="295" t="str">
        <f t="shared" si="2"/>
        <v>false</v>
      </c>
      <c r="I19" s="3" t="b">
        <f>'Sensitivity Labels'!F139</f>
        <v>0</v>
      </c>
      <c r="J19" s="3" t="b">
        <f>'Sensitivity Labels'!F141</f>
        <v>0</v>
      </c>
      <c r="K19" s="3" t="b">
        <f>'Sensitivity Labels'!F143</f>
        <v>0</v>
      </c>
      <c r="L19" s="3" t="b">
        <f>'Sensitivity Labels'!F145</f>
        <v>0</v>
      </c>
      <c r="M19" s="33" t="str">
        <f t="shared" si="6"/>
        <v>Please fill out Sensitivity Labels Tab</v>
      </c>
      <c r="N19" s="33" t="str">
        <f t="shared" si="3"/>
        <v>Please fill out Sensitivity Labels Tab</v>
      </c>
      <c r="O19" s="33" t="str">
        <f t="shared" si="4"/>
        <v>Please fill out Sensitivity Labels Tab</v>
      </c>
      <c r="R19" s="516"/>
      <c r="S19" s="3" t="s">
        <v>63</v>
      </c>
    </row>
    <row r="20" spans="2:19" x14ac:dyDescent="0.35">
      <c r="B20" s="95">
        <f t="shared" si="1"/>
        <v>18</v>
      </c>
      <c r="C20" s="5" t="str">
        <f>IF('Sensitivity Labels'!C147="","",'Sensitivity Labels'!C147)</f>
        <v/>
      </c>
      <c r="D20" s="5" t="str">
        <f>IF('Sensitivity Labels'!D147="","",C20&amp;"-"&amp;'Sensitivity Labels'!D147)</f>
        <v/>
      </c>
      <c r="E20" s="5" t="str">
        <f t="shared" si="0"/>
        <v/>
      </c>
      <c r="G20" s="3">
        <f t="shared" si="5"/>
        <v>18</v>
      </c>
      <c r="H20" s="295" t="str">
        <f t="shared" si="2"/>
        <v>false</v>
      </c>
      <c r="I20" s="3" t="b">
        <f>'Sensitivity Labels'!F147</f>
        <v>0</v>
      </c>
      <c r="J20" s="3" t="b">
        <f>'Sensitivity Labels'!F149</f>
        <v>0</v>
      </c>
      <c r="K20" s="3" t="b">
        <f>'Sensitivity Labels'!F151</f>
        <v>0</v>
      </c>
      <c r="L20" s="3" t="b">
        <f>'Sensitivity Labels'!F153</f>
        <v>0</v>
      </c>
      <c r="M20" s="33" t="str">
        <f t="shared" si="6"/>
        <v>Please fill out Sensitivity Labels Tab</v>
      </c>
      <c r="N20" s="33" t="str">
        <f t="shared" si="3"/>
        <v>Please fill out Sensitivity Labels Tab</v>
      </c>
      <c r="O20" s="33" t="str">
        <f t="shared" si="4"/>
        <v>Please fill out Sensitivity Labels Tab</v>
      </c>
      <c r="R20" s="516"/>
      <c r="S20" s="3" t="s">
        <v>64</v>
      </c>
    </row>
    <row r="21" spans="2:19" x14ac:dyDescent="0.35">
      <c r="B21" s="95">
        <f t="shared" si="1"/>
        <v>19</v>
      </c>
      <c r="C21" s="5" t="str">
        <f>IF('Sensitivity Labels'!C155="","",'Sensitivity Labels'!C155)</f>
        <v/>
      </c>
      <c r="D21" s="5" t="str">
        <f>IF('Sensitivity Labels'!D155="","",C21&amp;"-"&amp;'Sensitivity Labels'!D155)</f>
        <v/>
      </c>
      <c r="E21" s="5" t="str">
        <f t="shared" si="0"/>
        <v/>
      </c>
      <c r="G21" s="3">
        <f t="shared" si="5"/>
        <v>19</v>
      </c>
      <c r="H21" s="295" t="str">
        <f t="shared" si="2"/>
        <v>false</v>
      </c>
      <c r="I21" s="3" t="b">
        <f>'Sensitivity Labels'!F155</f>
        <v>0</v>
      </c>
      <c r="J21" s="3" t="b">
        <f>'Sensitivity Labels'!F157</f>
        <v>0</v>
      </c>
      <c r="K21" s="3" t="b">
        <f>'Sensitivity Labels'!F159</f>
        <v>0</v>
      </c>
      <c r="L21" s="3" t="b">
        <f>'Sensitivity Labels'!F161</f>
        <v>0</v>
      </c>
      <c r="M21" s="33" t="str">
        <f t="shared" si="6"/>
        <v>Please fill out Sensitivity Labels Tab</v>
      </c>
      <c r="N21" s="33" t="str">
        <f t="shared" si="3"/>
        <v>Please fill out Sensitivity Labels Tab</v>
      </c>
      <c r="O21" s="33" t="str">
        <f t="shared" si="4"/>
        <v>Please fill out Sensitivity Labels Tab</v>
      </c>
      <c r="R21" s="516"/>
      <c r="S21" s="3" t="s">
        <v>65</v>
      </c>
    </row>
    <row r="22" spans="2:19" x14ac:dyDescent="0.35">
      <c r="B22" s="95">
        <f t="shared" si="1"/>
        <v>20</v>
      </c>
      <c r="C22" s="5" t="str">
        <f>IF('Sensitivity Labels'!C163="","",'Sensitivity Labels'!C163)</f>
        <v/>
      </c>
      <c r="D22" s="5" t="str">
        <f>IF('Sensitivity Labels'!D163="","",C22&amp;"-"&amp;'Sensitivity Labels'!D163)</f>
        <v/>
      </c>
      <c r="E22" s="5" t="str">
        <f t="shared" si="0"/>
        <v/>
      </c>
      <c r="G22" s="3">
        <f t="shared" si="5"/>
        <v>20</v>
      </c>
      <c r="H22" s="295" t="str">
        <f t="shared" si="2"/>
        <v>false</v>
      </c>
      <c r="I22" s="3" t="b">
        <f>'Sensitivity Labels'!F163</f>
        <v>0</v>
      </c>
      <c r="J22" s="3" t="b">
        <f>'Sensitivity Labels'!F165</f>
        <v>0</v>
      </c>
      <c r="K22" s="3" t="b">
        <f>'Sensitivity Labels'!F167</f>
        <v>0</v>
      </c>
      <c r="L22" s="3" t="b">
        <f>'Sensitivity Labels'!F169</f>
        <v>0</v>
      </c>
      <c r="M22" s="33" t="str">
        <f t="shared" si="6"/>
        <v>Please fill out Sensitivity Labels Tab</v>
      </c>
      <c r="N22" s="33" t="str">
        <f t="shared" si="3"/>
        <v>Please fill out Sensitivity Labels Tab</v>
      </c>
      <c r="O22" s="33" t="str">
        <f t="shared" si="4"/>
        <v>Please fill out Sensitivity Labels Tab</v>
      </c>
      <c r="R22" s="516"/>
    </row>
    <row r="23" spans="2:19" x14ac:dyDescent="0.35">
      <c r="E23" s="191" t="s">
        <v>309</v>
      </c>
      <c r="F23" s="191"/>
      <c r="M23" s="187" t="s">
        <v>314</v>
      </c>
      <c r="N23" s="188" t="s">
        <v>315</v>
      </c>
      <c r="O23" s="189" t="s">
        <v>316</v>
      </c>
      <c r="R23" s="516"/>
    </row>
    <row r="24" spans="2:19" ht="29" x14ac:dyDescent="0.3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35">
      <c r="E25" s="5"/>
      <c r="M25" s="5" t="str">
        <v>Please fill out Sensitivity Labels Tab</v>
      </c>
      <c r="N25" s="5" t="str">
        <v>Please fill out Sensitivity Labels Tab</v>
      </c>
      <c r="O25" s="5" t="str">
        <v>Please fill out Sensitivity Labels Tab</v>
      </c>
      <c r="R25" s="3">
        <v>1</v>
      </c>
    </row>
    <row r="26" spans="2:19" ht="29" x14ac:dyDescent="0.35">
      <c r="E26" s="5"/>
      <c r="M26" s="5" t="str">
        <v>Please fill out Sensitivity Labels Tab</v>
      </c>
      <c r="N26" s="5" t="str">
        <v>Please fill out Sensitivity Labels Tab</v>
      </c>
      <c r="O26" s="5" t="str">
        <v>Please fill out Sensitivity Labels Tab</v>
      </c>
      <c r="R26" s="3">
        <f>R25+1</f>
        <v>2</v>
      </c>
    </row>
    <row r="27" spans="2:19" x14ac:dyDescent="0.35">
      <c r="E27" s="5"/>
      <c r="M27" s="5" t="str">
        <v>Please fill out Sensitivity Labels Tab</v>
      </c>
      <c r="N27" s="5" t="str">
        <v>Please fill out Sensitivity Labels Tab</v>
      </c>
      <c r="O27" s="5" t="str">
        <v>Please fill out Sensitivity Labels Tab</v>
      </c>
      <c r="R27" s="3">
        <f t="shared" ref="R27:R44" si="7">R26+1</f>
        <v>3</v>
      </c>
    </row>
    <row r="28" spans="2:19" x14ac:dyDescent="0.35">
      <c r="C28"/>
      <c r="D28"/>
      <c r="E28" s="10"/>
      <c r="F28"/>
      <c r="M28" s="10" t="str">
        <v>Please fill out Sensitivity Labels Tab</v>
      </c>
      <c r="N28" s="10" t="str">
        <v>Please fill out Sensitivity Labels Tab</v>
      </c>
      <c r="O28" s="10" t="str">
        <v>Please fill out Sensitivity Labels Tab</v>
      </c>
      <c r="R28" s="3">
        <f t="shared" si="7"/>
        <v>4</v>
      </c>
    </row>
    <row r="29" spans="2:19" x14ac:dyDescent="0.35">
      <c r="C29"/>
      <c r="D29"/>
      <c r="E29" s="10"/>
      <c r="F29"/>
      <c r="M29" s="10" t="str">
        <v>Please fill out Sensitivity Labels Tab</v>
      </c>
      <c r="N29" s="10" t="str">
        <v>Please fill out Sensitivity Labels Tab</v>
      </c>
      <c r="O29" s="10" t="str">
        <v>Please fill out Sensitivity Labels Tab</v>
      </c>
      <c r="R29" s="3">
        <f t="shared" si="7"/>
        <v>5</v>
      </c>
    </row>
    <row r="30" spans="2:19" x14ac:dyDescent="0.35">
      <c r="C30"/>
      <c r="D30"/>
      <c r="E30" s="10"/>
      <c r="F30"/>
      <c r="M30" s="10" t="str">
        <v>Please fill out Sensitivity Labels Tab</v>
      </c>
      <c r="N30" s="10" t="str">
        <v>Please fill out Sensitivity Labels Tab</v>
      </c>
      <c r="O30" s="10" t="str">
        <v>Please fill out Sensitivity Labels Tab</v>
      </c>
      <c r="R30" s="3">
        <f t="shared" si="7"/>
        <v>6</v>
      </c>
    </row>
    <row r="31" spans="2:19" x14ac:dyDescent="0.35">
      <c r="C31"/>
      <c r="D31"/>
      <c r="E31" s="10"/>
      <c r="F31"/>
      <c r="M31" s="10" t="str">
        <v>Please fill out Sensitivity Labels Tab</v>
      </c>
      <c r="N31" s="10" t="str">
        <v>Please fill out Sensitivity Labels Tab</v>
      </c>
      <c r="O31" s="10" t="str">
        <v>Please fill out Sensitivity Labels Tab</v>
      </c>
      <c r="R31" s="3">
        <f t="shared" si="7"/>
        <v>7</v>
      </c>
    </row>
    <row r="32" spans="2:19" x14ac:dyDescent="0.35">
      <c r="E32" s="5"/>
      <c r="M32" s="5" t="str">
        <v>Please fill out Sensitivity Labels Tab</v>
      </c>
      <c r="N32" s="5" t="str">
        <v>Please fill out Sensitivity Labels Tab</v>
      </c>
      <c r="O32" s="5" t="str">
        <v>Please fill out Sensitivity Labels Tab</v>
      </c>
      <c r="R32" s="3">
        <f t="shared" si="7"/>
        <v>8</v>
      </c>
    </row>
    <row r="33" spans="3:18" x14ac:dyDescent="0.35">
      <c r="E33" s="5"/>
      <c r="M33" s="5" t="str">
        <v>Please fill out Sensitivity Labels Tab</v>
      </c>
      <c r="N33" s="5" t="str">
        <v>Please fill out Sensitivity Labels Tab</v>
      </c>
      <c r="O33" s="5" t="str">
        <v>Please fill out Sensitivity Labels Tab</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90"/>
      <c r="F44" s="4"/>
      <c r="G44" s="4"/>
      <c r="H44" s="4"/>
      <c r="M44" s="190"/>
      <c r="N44" s="190"/>
      <c r="O44" s="190"/>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17"/>
      <c r="S78" s="517"/>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00" priority="116">
      <formula>Z2=$S$4</formula>
    </cfRule>
  </conditionalFormatting>
  <conditionalFormatting sqref="BB4">
    <cfRule type="expression" dxfId="339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5"/>
  <sheetViews>
    <sheetView showGridLines="0" tabSelected="1" workbookViewId="0">
      <selection activeCell="C1" sqref="C1"/>
    </sheetView>
  </sheetViews>
  <sheetFormatPr defaultRowHeight="14.5" x14ac:dyDescent="0.35"/>
  <cols>
    <col min="1" max="1" width="75.1796875" bestFit="1" customWidth="1"/>
    <col min="2" max="2" width="61.54296875" customWidth="1"/>
    <col min="3" max="3" width="64" customWidth="1"/>
    <col min="4" max="4" width="42.81640625" customWidth="1"/>
    <col min="5" max="10" width="8.7265625" bestFit="1" customWidth="1"/>
  </cols>
  <sheetData>
    <row r="1" spans="1:9" ht="409.5" x14ac:dyDescent="0.35">
      <c r="A1" s="106" t="s">
        <v>347</v>
      </c>
      <c r="B1" s="28" t="s">
        <v>318</v>
      </c>
      <c r="D1" s="28"/>
    </row>
    <row r="2" spans="1:9" x14ac:dyDescent="0.35">
      <c r="A2" s="28"/>
      <c r="B2" s="28"/>
      <c r="C2" s="28"/>
      <c r="D2" s="28"/>
    </row>
    <row r="3" spans="1:9" ht="29" x14ac:dyDescent="0.35">
      <c r="A3" s="377" t="s">
        <v>66</v>
      </c>
      <c r="B3" s="376" t="s">
        <v>67</v>
      </c>
      <c r="C3" s="28"/>
      <c r="D3" s="28"/>
    </row>
    <row r="4" spans="1:9" ht="29" x14ac:dyDescent="0.35">
      <c r="A4" s="377" t="s">
        <v>372</v>
      </c>
      <c r="B4" s="512" t="s">
        <v>370</v>
      </c>
      <c r="C4" s="28"/>
      <c r="D4" s="28"/>
    </row>
    <row r="5" spans="1:9" x14ac:dyDescent="0.35">
      <c r="A5" s="28"/>
      <c r="B5" s="28"/>
      <c r="C5" s="28"/>
      <c r="D5" s="28"/>
    </row>
    <row r="6" spans="1:9" ht="24" thickBot="1" x14ac:dyDescent="0.4">
      <c r="A6" s="11" t="s">
        <v>68</v>
      </c>
      <c r="B6" s="28"/>
      <c r="C6" s="28"/>
      <c r="D6" s="28"/>
    </row>
    <row r="7" spans="1:9" ht="19" thickBot="1" x14ac:dyDescent="0.4">
      <c r="A7" s="108" t="s">
        <v>69</v>
      </c>
      <c r="B7" s="122" t="s">
        <v>325</v>
      </c>
      <c r="C7" s="122" t="s">
        <v>326</v>
      </c>
      <c r="D7" s="122" t="s">
        <v>70</v>
      </c>
    </row>
    <row r="8" spans="1:9" ht="232.5" thickBot="1" x14ac:dyDescent="0.4">
      <c r="A8" s="110" t="s">
        <v>71</v>
      </c>
      <c r="B8" s="140" t="s">
        <v>373</v>
      </c>
      <c r="C8" s="123" t="s">
        <v>72</v>
      </c>
      <c r="D8" s="141" t="s">
        <v>73</v>
      </c>
    </row>
    <row r="9" spans="1:9" ht="15" thickBot="1" x14ac:dyDescent="0.4">
      <c r="A9" s="94"/>
      <c r="B9" s="32"/>
      <c r="C9" s="32"/>
      <c r="D9" s="32"/>
      <c r="G9" s="3"/>
      <c r="H9" s="107"/>
      <c r="I9" s="107"/>
    </row>
    <row r="10" spans="1:9" ht="87" customHeight="1" thickBot="1" x14ac:dyDescent="0.4">
      <c r="A10" s="110" t="s">
        <v>74</v>
      </c>
      <c r="B10" s="140" t="s">
        <v>327</v>
      </c>
      <c r="C10" s="123"/>
      <c r="D10" s="142"/>
    </row>
    <row r="11" spans="1:9" ht="15" thickBot="1" x14ac:dyDescent="0.4">
      <c r="A11" s="94"/>
      <c r="B11" s="32"/>
      <c r="C11" s="32"/>
      <c r="D11" s="32"/>
      <c r="G11" s="3"/>
      <c r="H11" s="107"/>
      <c r="I11" s="107"/>
    </row>
    <row r="12" spans="1:9" ht="87" customHeight="1" thickBot="1" x14ac:dyDescent="0.4">
      <c r="A12" s="110" t="s">
        <v>75</v>
      </c>
      <c r="B12" s="140" t="s">
        <v>328</v>
      </c>
      <c r="C12" s="123"/>
      <c r="D12" s="142"/>
    </row>
    <row r="13" spans="1:9" ht="15" thickBot="1" x14ac:dyDescent="0.4">
      <c r="A13" s="94"/>
      <c r="B13" s="32"/>
      <c r="C13" s="32"/>
      <c r="D13" s="32"/>
      <c r="G13" s="3"/>
      <c r="H13" s="107"/>
      <c r="I13" s="107"/>
    </row>
    <row r="14" spans="1:9" ht="87" customHeight="1" thickBot="1" x14ac:dyDescent="0.4">
      <c r="A14" s="110" t="s">
        <v>76</v>
      </c>
      <c r="B14" s="140" t="s">
        <v>329</v>
      </c>
      <c r="C14" s="374" t="s">
        <v>77</v>
      </c>
      <c r="D14" s="375" t="s">
        <v>78</v>
      </c>
      <c r="E14" s="373"/>
    </row>
    <row r="15" spans="1:9" ht="15" thickBot="1" x14ac:dyDescent="0.4">
      <c r="A15" s="94"/>
      <c r="B15" s="32"/>
      <c r="C15" s="32"/>
      <c r="D15" s="32"/>
      <c r="G15" s="3"/>
      <c r="H15" s="107"/>
      <c r="I15" s="107"/>
    </row>
    <row r="16" spans="1:9" ht="87" customHeight="1" thickBot="1" x14ac:dyDescent="0.4">
      <c r="A16" s="111" t="s">
        <v>359</v>
      </c>
      <c r="B16" s="140" t="s">
        <v>349</v>
      </c>
      <c r="C16" s="123"/>
      <c r="D16" s="141"/>
    </row>
    <row r="17" spans="1:9" ht="15" thickBot="1" x14ac:dyDescent="0.4">
      <c r="A17" s="94"/>
      <c r="B17" s="32"/>
      <c r="C17" s="32"/>
      <c r="D17" s="32"/>
      <c r="G17" s="3"/>
      <c r="H17" s="107"/>
      <c r="I17" s="107"/>
    </row>
    <row r="18" spans="1:9" ht="87.65" customHeight="1" thickBot="1" x14ac:dyDescent="0.4">
      <c r="A18" s="110" t="s">
        <v>79</v>
      </c>
      <c r="B18" s="140" t="s">
        <v>374</v>
      </c>
      <c r="C18" s="123" t="s">
        <v>80</v>
      </c>
      <c r="D18" s="141" t="s">
        <v>73</v>
      </c>
    </row>
    <row r="19" spans="1:9" ht="15" thickBot="1" x14ac:dyDescent="0.4">
      <c r="A19" s="94"/>
      <c r="B19" s="32"/>
      <c r="C19" s="32"/>
      <c r="D19" s="32"/>
      <c r="G19" s="3"/>
      <c r="H19" s="107"/>
      <c r="I19" s="107"/>
    </row>
    <row r="20" spans="1:9" ht="87.65" customHeight="1" thickBot="1" x14ac:dyDescent="0.4">
      <c r="A20" s="110" t="s">
        <v>81</v>
      </c>
      <c r="B20" s="140" t="s">
        <v>375</v>
      </c>
      <c r="C20" s="123" t="s">
        <v>82</v>
      </c>
      <c r="D20" s="141" t="s">
        <v>83</v>
      </c>
    </row>
    <row r="21" spans="1:9" ht="15" thickBot="1" x14ac:dyDescent="0.4">
      <c r="A21" s="94"/>
      <c r="B21" s="32"/>
      <c r="C21" s="32"/>
      <c r="D21" s="32"/>
      <c r="G21" s="3"/>
      <c r="H21" s="107"/>
      <c r="I21" s="107"/>
    </row>
    <row r="22" spans="1:9" ht="87.65" customHeight="1" thickBot="1" x14ac:dyDescent="0.4">
      <c r="A22" s="110" t="s">
        <v>84</v>
      </c>
      <c r="B22" s="140" t="s">
        <v>376</v>
      </c>
      <c r="C22" s="123" t="s">
        <v>85</v>
      </c>
      <c r="D22" s="143" t="s">
        <v>86</v>
      </c>
    </row>
    <row r="23" spans="1:9" ht="15" thickBot="1" x14ac:dyDescent="0.4">
      <c r="A23" s="94"/>
      <c r="B23" s="32"/>
      <c r="C23" s="32"/>
      <c r="D23" s="32"/>
      <c r="G23" s="3"/>
      <c r="H23" s="107"/>
      <c r="I23" s="107"/>
    </row>
    <row r="24" spans="1:9" ht="73" thickBot="1" x14ac:dyDescent="0.4">
      <c r="A24" s="110" t="s">
        <v>348</v>
      </c>
      <c r="B24" s="140" t="s">
        <v>350</v>
      </c>
      <c r="C24" s="123"/>
      <c r="D24" s="143"/>
    </row>
    <row r="25" spans="1:9" x14ac:dyDescent="0.35">
      <c r="A25" s="94"/>
      <c r="B25" s="32"/>
      <c r="C25" s="32"/>
      <c r="D25" s="32"/>
    </row>
  </sheetData>
  <hyperlinks>
    <hyperlink ref="D8" r:id="rId1" display="https://learn.microsoft.com/en-us/purview/sensitivity-labels" xr:uid="{98447F5B-6E97-42F8-8334-3FEC3C034F59}"/>
    <hyperlink ref="D14" r:id="rId2" location="more-information-about-the-dependencies-for-the-unmanaged-devices-option" display="https://learn.microsoft.com/en-us/purview/sensitivity-labels-teams-groups-sites - more-information-about-the-dependencies-for-the-unmanaged-devices-option" xr:uid="{AFCFAF7B-096B-4AD0-AF0C-ABE0D331D224}"/>
    <hyperlink ref="B3" r:id="rId3" xr:uid="{32F3FACB-143B-40E6-9FC9-687861DD3649}"/>
    <hyperlink ref="D22" r:id="rId4" display="https://learn.microsoft.com/en-us/purview/dlp-learn-about-dlp" xr:uid="{24E23547-655D-45E3-92E1-D797E84D6CCB}"/>
    <hyperlink ref="D20" r:id="rId5" display="https://learn.microsoft.com/en-us/purview/apply-sensitivity-label-automatically" xr:uid="{B7E704E0-5DBF-4629-8051-03C97046AC8D}"/>
    <hyperlink ref="D18" r:id="rId6" location="what-label-policies-can-do" display="https://learn.microsoft.com/en-us/purview/sensitivity-labels - what-label-policies-can-do" xr:uid="{0306BF27-9B47-4963-9B8E-FC15AEBE780C}"/>
    <hyperlink ref="B4" r:id="rId7" xr:uid="{FB2F7D8D-66BE-4A94-817A-566F6986B7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9" sqref="D19:D25"/>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3.4531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97" t="s">
        <v>71</v>
      </c>
    </row>
    <row r="2" spans="1:12" ht="3.75" customHeight="1" x14ac:dyDescent="0.45">
      <c r="A2" s="86"/>
      <c r="B2" s="86"/>
    </row>
    <row r="3" spans="1:12" ht="18.5" x14ac:dyDescent="0.35">
      <c r="C3" s="198" t="s">
        <v>87</v>
      </c>
      <c r="D3" s="146" t="s">
        <v>88</v>
      </c>
      <c r="E3" s="146" t="s">
        <v>339</v>
      </c>
      <c r="F3" s="540" t="s">
        <v>89</v>
      </c>
      <c r="G3" s="540"/>
      <c r="H3" s="540"/>
      <c r="I3" s="198" t="s">
        <v>90</v>
      </c>
      <c r="J3" s="198" t="s">
        <v>91</v>
      </c>
      <c r="K3" s="146" t="s">
        <v>92</v>
      </c>
    </row>
    <row r="4" spans="1:12" ht="170" hidden="1" customHeight="1" outlineLevel="1" x14ac:dyDescent="0.35">
      <c r="A4" s="367" t="s">
        <v>322</v>
      </c>
      <c r="B4" s="148"/>
      <c r="C4" s="156" t="s">
        <v>93</v>
      </c>
      <c r="D4" s="156" t="s">
        <v>94</v>
      </c>
      <c r="E4" s="156" t="s">
        <v>95</v>
      </c>
      <c r="F4" s="541" t="s">
        <v>324</v>
      </c>
      <c r="G4" s="542"/>
      <c r="H4" s="543"/>
      <c r="I4" s="156" t="s">
        <v>96</v>
      </c>
      <c r="J4" s="156" t="s">
        <v>97</v>
      </c>
      <c r="K4" s="156" t="s">
        <v>98</v>
      </c>
    </row>
    <row r="5" spans="1:12" ht="15" hidden="1" customHeight="1" outlineLevel="1" x14ac:dyDescent="0.35">
      <c r="A5" s="518" t="s">
        <v>99</v>
      </c>
      <c r="B5" s="206"/>
      <c r="C5" s="173" t="s">
        <v>100</v>
      </c>
      <c r="D5" s="174"/>
      <c r="E5" s="174"/>
      <c r="F5" s="519" t="s">
        <v>101</v>
      </c>
      <c r="G5" s="520"/>
      <c r="H5" s="521"/>
      <c r="I5" s="174"/>
      <c r="J5" s="174"/>
      <c r="K5" s="173" t="s">
        <v>102</v>
      </c>
    </row>
    <row r="6" spans="1:12" ht="15" hidden="1" customHeight="1" outlineLevel="1" x14ac:dyDescent="0.35">
      <c r="A6" s="518"/>
      <c r="B6" s="206"/>
      <c r="C6" s="173" t="s">
        <v>103</v>
      </c>
      <c r="D6" s="174"/>
      <c r="E6" s="174"/>
      <c r="F6" s="522"/>
      <c r="G6" s="523"/>
      <c r="H6" s="524"/>
      <c r="I6" s="174"/>
      <c r="J6" s="174"/>
      <c r="K6" s="174"/>
    </row>
    <row r="7" spans="1:12" ht="15" hidden="1" customHeight="1" outlineLevel="1" x14ac:dyDescent="0.35">
      <c r="A7" s="518"/>
      <c r="B7" s="206"/>
      <c r="C7" s="173" t="s">
        <v>104</v>
      </c>
      <c r="D7" s="174"/>
      <c r="E7" s="174"/>
      <c r="F7" s="522"/>
      <c r="G7" s="523"/>
      <c r="H7" s="524"/>
      <c r="I7" s="174"/>
      <c r="J7" s="174"/>
      <c r="K7" s="174"/>
    </row>
    <row r="8" spans="1:12" ht="15" hidden="1" customHeight="1" outlineLevel="1" x14ac:dyDescent="0.35">
      <c r="A8" s="518"/>
      <c r="B8" s="206"/>
      <c r="C8" s="173" t="s">
        <v>105</v>
      </c>
      <c r="D8" s="174"/>
      <c r="E8" s="174"/>
      <c r="F8" s="522"/>
      <c r="G8" s="523"/>
      <c r="H8" s="524"/>
      <c r="I8" s="174"/>
      <c r="J8" s="174"/>
      <c r="K8" s="174"/>
    </row>
    <row r="9" spans="1:12" ht="15" hidden="1" customHeight="1" outlineLevel="1" x14ac:dyDescent="0.35">
      <c r="A9" s="518"/>
      <c r="B9" s="206"/>
      <c r="C9" s="174"/>
      <c r="D9" s="174"/>
      <c r="E9" s="174"/>
      <c r="F9" s="522"/>
      <c r="G9" s="523"/>
      <c r="H9" s="524"/>
      <c r="I9" s="174"/>
      <c r="J9" s="174"/>
      <c r="K9" s="174"/>
    </row>
    <row r="10" spans="1:12" s="2" customFormat="1" ht="15" collapsed="1" thickBot="1" x14ac:dyDescent="0.4">
      <c r="A10" s="88"/>
      <c r="B10" s="88"/>
      <c r="C10" s="199" t="s">
        <v>106</v>
      </c>
      <c r="D10" s="147" t="s">
        <v>107</v>
      </c>
      <c r="E10" s="147" t="s">
        <v>107</v>
      </c>
      <c r="F10" s="544" t="s">
        <v>108</v>
      </c>
      <c r="G10" s="545"/>
      <c r="H10" s="546"/>
      <c r="I10" s="199" t="s">
        <v>107</v>
      </c>
      <c r="J10" s="199" t="s">
        <v>107</v>
      </c>
      <c r="K10" s="147" t="s">
        <v>109</v>
      </c>
      <c r="L10" s="1"/>
    </row>
    <row r="11" spans="1:12" ht="15.75" customHeight="1" x14ac:dyDescent="0.35">
      <c r="A11" s="528">
        <v>1</v>
      </c>
      <c r="B11" s="202">
        <f>A11+10</f>
        <v>11</v>
      </c>
      <c r="C11" s="531"/>
      <c r="D11" s="534"/>
      <c r="E11" s="534"/>
      <c r="F11" s="99" t="b">
        <v>0</v>
      </c>
      <c r="G11" s="62" t="s">
        <v>110</v>
      </c>
      <c r="H11" s="75" t="s">
        <v>111</v>
      </c>
      <c r="I11" s="537"/>
      <c r="J11" s="537"/>
      <c r="K11" s="525"/>
    </row>
    <row r="12" spans="1:12" ht="3.75" customHeight="1" x14ac:dyDescent="0.35">
      <c r="A12" s="529"/>
      <c r="B12" s="203">
        <f t="shared" ref="B12:B17" si="0">B11+1</f>
        <v>12</v>
      </c>
      <c r="C12" s="532"/>
      <c r="D12" s="535"/>
      <c r="E12" s="535"/>
      <c r="I12" s="538"/>
      <c r="J12" s="538"/>
      <c r="K12" s="526"/>
    </row>
    <row r="13" spans="1:12" x14ac:dyDescent="0.35">
      <c r="A13" s="529"/>
      <c r="B13" s="203">
        <f t="shared" si="0"/>
        <v>13</v>
      </c>
      <c r="C13" s="532"/>
      <c r="D13" s="535"/>
      <c r="E13" s="535"/>
      <c r="F13" s="100" t="b">
        <v>0</v>
      </c>
      <c r="G13" t="s">
        <v>2</v>
      </c>
      <c r="H13" s="3" t="s">
        <v>112</v>
      </c>
      <c r="I13" s="538"/>
      <c r="J13" s="538"/>
      <c r="K13" s="526"/>
    </row>
    <row r="14" spans="1:12" ht="3.75" customHeight="1" x14ac:dyDescent="0.35">
      <c r="A14" s="529"/>
      <c r="B14" s="203">
        <f t="shared" si="0"/>
        <v>14</v>
      </c>
      <c r="C14" s="532"/>
      <c r="D14" s="535"/>
      <c r="E14" s="535"/>
      <c r="I14" s="538"/>
      <c r="J14" s="538"/>
      <c r="K14" s="526"/>
    </row>
    <row r="15" spans="1:12" x14ac:dyDescent="0.35">
      <c r="A15" s="529"/>
      <c r="B15" s="203">
        <f t="shared" si="0"/>
        <v>15</v>
      </c>
      <c r="C15" s="532"/>
      <c r="D15" s="535"/>
      <c r="E15" s="535"/>
      <c r="F15" s="101" t="b">
        <v>0</v>
      </c>
      <c r="G15" s="44" t="s">
        <v>113</v>
      </c>
      <c r="H15" s="9" t="s">
        <v>114</v>
      </c>
      <c r="I15" s="538"/>
      <c r="J15" s="538"/>
      <c r="K15" s="526"/>
    </row>
    <row r="16" spans="1:12" ht="3.75" customHeight="1" x14ac:dyDescent="0.35">
      <c r="A16" s="529"/>
      <c r="B16" s="203">
        <f t="shared" si="0"/>
        <v>16</v>
      </c>
      <c r="C16" s="532"/>
      <c r="D16" s="535"/>
      <c r="E16" s="535"/>
      <c r="I16" s="538"/>
      <c r="J16" s="538"/>
      <c r="K16" s="526"/>
    </row>
    <row r="17" spans="1:11" ht="29.5" thickBot="1" x14ac:dyDescent="0.4">
      <c r="A17" s="530"/>
      <c r="B17" s="203">
        <f t="shared" si="0"/>
        <v>17</v>
      </c>
      <c r="C17" s="533"/>
      <c r="D17" s="536"/>
      <c r="E17" s="536"/>
      <c r="F17" s="102" t="b">
        <v>0</v>
      </c>
      <c r="G17" s="103" t="s">
        <v>76</v>
      </c>
      <c r="H17" s="55" t="s">
        <v>115</v>
      </c>
      <c r="I17" s="539"/>
      <c r="J17" s="539"/>
      <c r="K17" s="527"/>
    </row>
    <row r="18" spans="1:11" ht="4.5" customHeight="1" thickBot="1" x14ac:dyDescent="0.4">
      <c r="C18" s="200"/>
      <c r="D18" s="139"/>
      <c r="E18" s="139"/>
      <c r="F18" s="30"/>
      <c r="G18" s="30"/>
      <c r="H18" s="33"/>
      <c r="I18" s="200"/>
      <c r="J18" s="200"/>
      <c r="K18" s="32"/>
    </row>
    <row r="19" spans="1:11" x14ac:dyDescent="0.35">
      <c r="A19" s="528">
        <v>2</v>
      </c>
      <c r="B19" s="202">
        <f>B11+10</f>
        <v>21</v>
      </c>
      <c r="C19" s="531"/>
      <c r="D19" s="534"/>
      <c r="E19" s="534"/>
      <c r="F19" s="99" t="b">
        <v>0</v>
      </c>
      <c r="G19" s="62" t="s">
        <v>110</v>
      </c>
      <c r="H19" s="75" t="s">
        <v>111</v>
      </c>
      <c r="I19" s="537"/>
      <c r="J19" s="537"/>
      <c r="K19" s="525"/>
    </row>
    <row r="20" spans="1:11" ht="3.75" customHeight="1" x14ac:dyDescent="0.35">
      <c r="A20" s="529"/>
      <c r="B20" s="203">
        <f t="shared" ref="B20:B25" si="1">B19+1</f>
        <v>22</v>
      </c>
      <c r="C20" s="532"/>
      <c r="D20" s="535"/>
      <c r="E20" s="535"/>
      <c r="I20" s="538"/>
      <c r="J20" s="538"/>
      <c r="K20" s="526"/>
    </row>
    <row r="21" spans="1:11" x14ac:dyDescent="0.35">
      <c r="A21" s="529"/>
      <c r="B21" s="203">
        <f t="shared" si="1"/>
        <v>23</v>
      </c>
      <c r="C21" s="532"/>
      <c r="D21" s="535"/>
      <c r="E21" s="535"/>
      <c r="F21" s="100" t="b">
        <v>0</v>
      </c>
      <c r="G21" t="s">
        <v>2</v>
      </c>
      <c r="H21" s="3" t="s">
        <v>112</v>
      </c>
      <c r="I21" s="538"/>
      <c r="J21" s="538"/>
      <c r="K21" s="526"/>
    </row>
    <row r="22" spans="1:11" ht="3.75" customHeight="1" x14ac:dyDescent="0.35">
      <c r="A22" s="529"/>
      <c r="B22" s="203">
        <f t="shared" si="1"/>
        <v>24</v>
      </c>
      <c r="C22" s="532"/>
      <c r="D22" s="535"/>
      <c r="E22" s="535"/>
      <c r="I22" s="538"/>
      <c r="J22" s="538"/>
      <c r="K22" s="526"/>
    </row>
    <row r="23" spans="1:11" x14ac:dyDescent="0.35">
      <c r="A23" s="529"/>
      <c r="B23" s="203">
        <f t="shared" si="1"/>
        <v>25</v>
      </c>
      <c r="C23" s="532"/>
      <c r="D23" s="535"/>
      <c r="E23" s="535"/>
      <c r="F23" s="101" t="b">
        <v>0</v>
      </c>
      <c r="G23" s="44" t="s">
        <v>113</v>
      </c>
      <c r="H23" s="9" t="s">
        <v>114</v>
      </c>
      <c r="I23" s="538"/>
      <c r="J23" s="538"/>
      <c r="K23" s="526"/>
    </row>
    <row r="24" spans="1:11" ht="3.75" customHeight="1" x14ac:dyDescent="0.35">
      <c r="A24" s="529"/>
      <c r="B24" s="203">
        <f t="shared" si="1"/>
        <v>26</v>
      </c>
      <c r="C24" s="532"/>
      <c r="D24" s="535"/>
      <c r="E24" s="535"/>
      <c r="I24" s="538"/>
      <c r="J24" s="538"/>
      <c r="K24" s="526"/>
    </row>
    <row r="25" spans="1:11" ht="29.5" thickBot="1" x14ac:dyDescent="0.4">
      <c r="A25" s="530"/>
      <c r="B25" s="203">
        <f t="shared" si="1"/>
        <v>27</v>
      </c>
      <c r="C25" s="533"/>
      <c r="D25" s="536"/>
      <c r="E25" s="536"/>
      <c r="F25" s="102" t="b">
        <v>0</v>
      </c>
      <c r="G25" s="103" t="s">
        <v>76</v>
      </c>
      <c r="H25" s="55" t="s">
        <v>115</v>
      </c>
      <c r="I25" s="539"/>
      <c r="J25" s="539"/>
      <c r="K25" s="527"/>
    </row>
    <row r="26" spans="1:11" ht="4.5" customHeight="1" thickBot="1" x14ac:dyDescent="0.4">
      <c r="C26" s="200"/>
      <c r="D26" s="139"/>
      <c r="E26" s="139"/>
      <c r="F26" s="30"/>
      <c r="G26" s="30"/>
      <c r="H26" s="33"/>
      <c r="I26" s="200"/>
      <c r="J26" s="200"/>
      <c r="K26" s="32"/>
    </row>
    <row r="27" spans="1:11" ht="15" customHeight="1" x14ac:dyDescent="0.35">
      <c r="A27" s="528">
        <v>3</v>
      </c>
      <c r="B27" s="202">
        <f>B19+10</f>
        <v>31</v>
      </c>
      <c r="C27" s="531"/>
      <c r="D27" s="534"/>
      <c r="E27" s="534"/>
      <c r="F27" s="99" t="b">
        <v>0</v>
      </c>
      <c r="G27" s="62" t="s">
        <v>110</v>
      </c>
      <c r="H27" s="75" t="s">
        <v>111</v>
      </c>
      <c r="I27" s="537"/>
      <c r="J27" s="537"/>
      <c r="K27" s="525"/>
    </row>
    <row r="28" spans="1:11" ht="3.75" customHeight="1" x14ac:dyDescent="0.35">
      <c r="A28" s="529"/>
      <c r="B28" s="203">
        <f t="shared" ref="B28:B33" si="2">B27+1</f>
        <v>32</v>
      </c>
      <c r="C28" s="532"/>
      <c r="D28" s="535"/>
      <c r="E28" s="535"/>
      <c r="I28" s="538"/>
      <c r="J28" s="538"/>
      <c r="K28" s="526"/>
    </row>
    <row r="29" spans="1:11" x14ac:dyDescent="0.35">
      <c r="A29" s="529"/>
      <c r="B29" s="203">
        <f t="shared" si="2"/>
        <v>33</v>
      </c>
      <c r="C29" s="532"/>
      <c r="D29" s="535"/>
      <c r="E29" s="535"/>
      <c r="F29" s="100" t="b">
        <v>0</v>
      </c>
      <c r="G29" t="s">
        <v>2</v>
      </c>
      <c r="H29" s="3" t="s">
        <v>112</v>
      </c>
      <c r="I29" s="538"/>
      <c r="J29" s="538"/>
      <c r="K29" s="526"/>
    </row>
    <row r="30" spans="1:11" ht="3.75" customHeight="1" x14ac:dyDescent="0.35">
      <c r="A30" s="529"/>
      <c r="B30" s="203">
        <f t="shared" si="2"/>
        <v>34</v>
      </c>
      <c r="C30" s="532"/>
      <c r="D30" s="535"/>
      <c r="E30" s="535"/>
      <c r="I30" s="538"/>
      <c r="J30" s="538"/>
      <c r="K30" s="526"/>
    </row>
    <row r="31" spans="1:11" x14ac:dyDescent="0.35">
      <c r="A31" s="529"/>
      <c r="B31" s="203">
        <f t="shared" si="2"/>
        <v>35</v>
      </c>
      <c r="C31" s="532"/>
      <c r="D31" s="535"/>
      <c r="E31" s="535"/>
      <c r="F31" s="101" t="b">
        <v>0</v>
      </c>
      <c r="G31" s="44" t="s">
        <v>113</v>
      </c>
      <c r="H31" s="9" t="s">
        <v>114</v>
      </c>
      <c r="I31" s="538"/>
      <c r="J31" s="538"/>
      <c r="K31" s="526"/>
    </row>
    <row r="32" spans="1:11" ht="3.75" customHeight="1" x14ac:dyDescent="0.35">
      <c r="A32" s="529"/>
      <c r="B32" s="203">
        <f t="shared" si="2"/>
        <v>36</v>
      </c>
      <c r="C32" s="532"/>
      <c r="D32" s="535"/>
      <c r="E32" s="535"/>
      <c r="I32" s="538"/>
      <c r="J32" s="538"/>
      <c r="K32" s="526"/>
    </row>
    <row r="33" spans="1:11" ht="29.5" thickBot="1" x14ac:dyDescent="0.4">
      <c r="A33" s="530"/>
      <c r="B33" s="203">
        <f t="shared" si="2"/>
        <v>37</v>
      </c>
      <c r="C33" s="533"/>
      <c r="D33" s="536"/>
      <c r="E33" s="536"/>
      <c r="F33" s="102" t="b">
        <v>0</v>
      </c>
      <c r="G33" s="103" t="s">
        <v>76</v>
      </c>
      <c r="H33" s="55" t="s">
        <v>115</v>
      </c>
      <c r="I33" s="539"/>
      <c r="J33" s="539"/>
      <c r="K33" s="527"/>
    </row>
    <row r="34" spans="1:11" ht="4.5" customHeight="1" thickBot="1" x14ac:dyDescent="0.4">
      <c r="C34" s="200"/>
      <c r="D34" s="139"/>
      <c r="E34" s="139"/>
      <c r="F34" s="30"/>
      <c r="G34" s="30"/>
      <c r="H34" s="33"/>
      <c r="I34" s="200"/>
      <c r="J34" s="200"/>
      <c r="K34" s="32"/>
    </row>
    <row r="35" spans="1:11" ht="15" customHeight="1" x14ac:dyDescent="0.35">
      <c r="A35" s="528">
        <v>4</v>
      </c>
      <c r="B35" s="202">
        <f>B27+10</f>
        <v>41</v>
      </c>
      <c r="C35" s="531"/>
      <c r="D35" s="534"/>
      <c r="E35" s="534"/>
      <c r="F35" s="99" t="b">
        <v>0</v>
      </c>
      <c r="G35" s="62" t="s">
        <v>110</v>
      </c>
      <c r="H35" s="75" t="s">
        <v>111</v>
      </c>
      <c r="I35" s="537"/>
      <c r="J35" s="537"/>
      <c r="K35" s="525"/>
    </row>
    <row r="36" spans="1:11" ht="3.75" customHeight="1" x14ac:dyDescent="0.35">
      <c r="A36" s="529"/>
      <c r="B36" s="203">
        <f t="shared" ref="B36:B41" si="3">B35+1</f>
        <v>42</v>
      </c>
      <c r="C36" s="532"/>
      <c r="D36" s="535"/>
      <c r="E36" s="535"/>
      <c r="I36" s="538"/>
      <c r="J36" s="538"/>
      <c r="K36" s="526"/>
    </row>
    <row r="37" spans="1:11" x14ac:dyDescent="0.35">
      <c r="A37" s="529"/>
      <c r="B37" s="203">
        <f t="shared" si="3"/>
        <v>43</v>
      </c>
      <c r="C37" s="532"/>
      <c r="D37" s="535"/>
      <c r="E37" s="535"/>
      <c r="F37" s="100" t="b">
        <v>0</v>
      </c>
      <c r="G37" t="s">
        <v>2</v>
      </c>
      <c r="H37" s="3" t="s">
        <v>112</v>
      </c>
      <c r="I37" s="538"/>
      <c r="J37" s="538"/>
      <c r="K37" s="526"/>
    </row>
    <row r="38" spans="1:11" ht="3.75" customHeight="1" x14ac:dyDescent="0.35">
      <c r="A38" s="529"/>
      <c r="B38" s="203">
        <f t="shared" si="3"/>
        <v>44</v>
      </c>
      <c r="C38" s="532"/>
      <c r="D38" s="535"/>
      <c r="E38" s="535"/>
      <c r="I38" s="538"/>
      <c r="J38" s="538"/>
      <c r="K38" s="526"/>
    </row>
    <row r="39" spans="1:11" x14ac:dyDescent="0.35">
      <c r="A39" s="529"/>
      <c r="B39" s="203">
        <f t="shared" si="3"/>
        <v>45</v>
      </c>
      <c r="C39" s="532"/>
      <c r="D39" s="535"/>
      <c r="E39" s="535"/>
      <c r="F39" s="101" t="b">
        <v>0</v>
      </c>
      <c r="G39" s="44" t="s">
        <v>113</v>
      </c>
      <c r="H39" s="9" t="s">
        <v>114</v>
      </c>
      <c r="I39" s="538"/>
      <c r="J39" s="538"/>
      <c r="K39" s="526"/>
    </row>
    <row r="40" spans="1:11" ht="3.75" customHeight="1" x14ac:dyDescent="0.35">
      <c r="A40" s="529"/>
      <c r="B40" s="203">
        <f t="shared" si="3"/>
        <v>46</v>
      </c>
      <c r="C40" s="532"/>
      <c r="D40" s="535"/>
      <c r="E40" s="535"/>
      <c r="I40" s="538"/>
      <c r="J40" s="538"/>
      <c r="K40" s="526"/>
    </row>
    <row r="41" spans="1:11" ht="29.5" thickBot="1" x14ac:dyDescent="0.4">
      <c r="A41" s="530"/>
      <c r="B41" s="203">
        <f t="shared" si="3"/>
        <v>47</v>
      </c>
      <c r="C41" s="533"/>
      <c r="D41" s="536"/>
      <c r="E41" s="536"/>
      <c r="F41" s="102" t="b">
        <v>0</v>
      </c>
      <c r="G41" s="103" t="s">
        <v>76</v>
      </c>
      <c r="H41" s="55" t="s">
        <v>115</v>
      </c>
      <c r="I41" s="539"/>
      <c r="J41" s="539"/>
      <c r="K41" s="527"/>
    </row>
    <row r="42" spans="1:11" ht="4.5" customHeight="1" thickBot="1" x14ac:dyDescent="0.4">
      <c r="C42" s="200"/>
      <c r="D42" s="139"/>
      <c r="E42" s="139"/>
      <c r="F42" s="30"/>
      <c r="G42" s="30"/>
      <c r="H42" s="33"/>
      <c r="I42" s="200"/>
      <c r="J42" s="200"/>
      <c r="K42" s="32"/>
    </row>
    <row r="43" spans="1:11" ht="15" customHeight="1" x14ac:dyDescent="0.35">
      <c r="A43" s="547">
        <v>5</v>
      </c>
      <c r="B43" s="202">
        <f>B35+10</f>
        <v>51</v>
      </c>
      <c r="C43" s="531"/>
      <c r="D43" s="534"/>
      <c r="E43" s="534"/>
      <c r="F43" s="99" t="b">
        <v>0</v>
      </c>
      <c r="G43" s="62" t="s">
        <v>110</v>
      </c>
      <c r="H43" s="75" t="s">
        <v>111</v>
      </c>
      <c r="I43" s="537"/>
      <c r="J43" s="537"/>
      <c r="K43" s="525"/>
    </row>
    <row r="44" spans="1:11" ht="3.75" customHeight="1" x14ac:dyDescent="0.35">
      <c r="A44" s="548"/>
      <c r="B44" s="203">
        <f t="shared" ref="B44:B49" si="4">B43+1</f>
        <v>52</v>
      </c>
      <c r="C44" s="532"/>
      <c r="D44" s="535"/>
      <c r="E44" s="535"/>
      <c r="I44" s="538"/>
      <c r="J44" s="538"/>
      <c r="K44" s="526"/>
    </row>
    <row r="45" spans="1:11" x14ac:dyDescent="0.35">
      <c r="A45" s="548"/>
      <c r="B45" s="203">
        <f t="shared" si="4"/>
        <v>53</v>
      </c>
      <c r="C45" s="532"/>
      <c r="D45" s="535"/>
      <c r="E45" s="535"/>
      <c r="F45" s="100" t="b">
        <v>0</v>
      </c>
      <c r="G45" t="s">
        <v>2</v>
      </c>
      <c r="H45" s="3" t="s">
        <v>112</v>
      </c>
      <c r="I45" s="538"/>
      <c r="J45" s="538"/>
      <c r="K45" s="526"/>
    </row>
    <row r="46" spans="1:11" ht="3.75" customHeight="1" x14ac:dyDescent="0.35">
      <c r="A46" s="548"/>
      <c r="B46" s="203">
        <f t="shared" si="4"/>
        <v>54</v>
      </c>
      <c r="C46" s="532"/>
      <c r="D46" s="535"/>
      <c r="E46" s="535"/>
      <c r="I46" s="538"/>
      <c r="J46" s="538"/>
      <c r="K46" s="526"/>
    </row>
    <row r="47" spans="1:11" x14ac:dyDescent="0.35">
      <c r="A47" s="548"/>
      <c r="B47" s="203">
        <f t="shared" si="4"/>
        <v>55</v>
      </c>
      <c r="C47" s="532"/>
      <c r="D47" s="535"/>
      <c r="E47" s="535"/>
      <c r="F47" s="101" t="b">
        <v>0</v>
      </c>
      <c r="G47" s="44" t="s">
        <v>113</v>
      </c>
      <c r="H47" s="9" t="s">
        <v>114</v>
      </c>
      <c r="I47" s="538"/>
      <c r="J47" s="538"/>
      <c r="K47" s="526"/>
    </row>
    <row r="48" spans="1:11" ht="3.75" customHeight="1" x14ac:dyDescent="0.35">
      <c r="A48" s="548"/>
      <c r="B48" s="203">
        <f t="shared" si="4"/>
        <v>56</v>
      </c>
      <c r="C48" s="532"/>
      <c r="D48" s="535"/>
      <c r="E48" s="535"/>
      <c r="I48" s="538"/>
      <c r="J48" s="538"/>
      <c r="K48" s="526"/>
    </row>
    <row r="49" spans="1:11" ht="29.5" thickBot="1" x14ac:dyDescent="0.4">
      <c r="A49" s="549"/>
      <c r="B49" s="203">
        <f t="shared" si="4"/>
        <v>57</v>
      </c>
      <c r="C49" s="533"/>
      <c r="D49" s="536"/>
      <c r="E49" s="536"/>
      <c r="F49" s="102" t="b">
        <v>0</v>
      </c>
      <c r="G49" s="103" t="s">
        <v>76</v>
      </c>
      <c r="H49" s="55" t="s">
        <v>115</v>
      </c>
      <c r="I49" s="539"/>
      <c r="J49" s="539"/>
      <c r="K49" s="527"/>
    </row>
    <row r="50" spans="1:11" ht="4.5" customHeight="1" thickBot="1" x14ac:dyDescent="0.4">
      <c r="C50" s="200"/>
      <c r="D50" s="139"/>
      <c r="E50" s="139"/>
      <c r="F50" s="30"/>
      <c r="G50" s="30"/>
      <c r="H50" s="33"/>
      <c r="I50" s="200"/>
      <c r="J50" s="200"/>
      <c r="K50" s="32"/>
    </row>
    <row r="51" spans="1:11" ht="15.75" customHeight="1" x14ac:dyDescent="0.35">
      <c r="A51" s="528">
        <v>6</v>
      </c>
      <c r="B51" s="202">
        <f>B43+10</f>
        <v>61</v>
      </c>
      <c r="C51" s="531"/>
      <c r="D51" s="534"/>
      <c r="E51" s="534"/>
      <c r="F51" s="99" t="b">
        <v>0</v>
      </c>
      <c r="G51" s="62" t="s">
        <v>110</v>
      </c>
      <c r="H51" s="75" t="s">
        <v>111</v>
      </c>
      <c r="I51" s="537"/>
      <c r="J51" s="537"/>
      <c r="K51" s="525"/>
    </row>
    <row r="52" spans="1:11" ht="3.75" customHeight="1" x14ac:dyDescent="0.35">
      <c r="A52" s="529"/>
      <c r="B52" s="203">
        <f t="shared" ref="B52:B57" si="5">B51+1</f>
        <v>62</v>
      </c>
      <c r="C52" s="532"/>
      <c r="D52" s="535"/>
      <c r="E52" s="535"/>
      <c r="I52" s="538"/>
      <c r="J52" s="538"/>
      <c r="K52" s="526"/>
    </row>
    <row r="53" spans="1:11" x14ac:dyDescent="0.35">
      <c r="A53" s="529"/>
      <c r="B53" s="203">
        <f t="shared" si="5"/>
        <v>63</v>
      </c>
      <c r="C53" s="532"/>
      <c r="D53" s="535"/>
      <c r="E53" s="535"/>
      <c r="F53" s="100" t="b">
        <v>0</v>
      </c>
      <c r="G53" t="s">
        <v>2</v>
      </c>
      <c r="H53" s="3" t="s">
        <v>112</v>
      </c>
      <c r="I53" s="538"/>
      <c r="J53" s="538"/>
      <c r="K53" s="526"/>
    </row>
    <row r="54" spans="1:11" ht="3.75" customHeight="1" x14ac:dyDescent="0.35">
      <c r="A54" s="529"/>
      <c r="B54" s="203">
        <f t="shared" si="5"/>
        <v>64</v>
      </c>
      <c r="C54" s="532"/>
      <c r="D54" s="535"/>
      <c r="E54" s="535"/>
      <c r="I54" s="538"/>
      <c r="J54" s="538"/>
      <c r="K54" s="526"/>
    </row>
    <row r="55" spans="1:11" x14ac:dyDescent="0.35">
      <c r="A55" s="529"/>
      <c r="B55" s="203">
        <f t="shared" si="5"/>
        <v>65</v>
      </c>
      <c r="C55" s="532"/>
      <c r="D55" s="535"/>
      <c r="E55" s="535"/>
      <c r="F55" s="101" t="b">
        <v>0</v>
      </c>
      <c r="G55" s="44" t="s">
        <v>113</v>
      </c>
      <c r="H55" s="9" t="s">
        <v>114</v>
      </c>
      <c r="I55" s="538"/>
      <c r="J55" s="538"/>
      <c r="K55" s="526"/>
    </row>
    <row r="56" spans="1:11" ht="3.75" customHeight="1" x14ac:dyDescent="0.35">
      <c r="A56" s="529"/>
      <c r="B56" s="203">
        <f t="shared" si="5"/>
        <v>66</v>
      </c>
      <c r="C56" s="532"/>
      <c r="D56" s="535"/>
      <c r="E56" s="535"/>
      <c r="I56" s="538"/>
      <c r="J56" s="538"/>
      <c r="K56" s="526"/>
    </row>
    <row r="57" spans="1:11" ht="29.5" thickBot="1" x14ac:dyDescent="0.4">
      <c r="A57" s="530"/>
      <c r="B57" s="203">
        <f t="shared" si="5"/>
        <v>67</v>
      </c>
      <c r="C57" s="533"/>
      <c r="D57" s="536"/>
      <c r="E57" s="536"/>
      <c r="F57" s="102" t="b">
        <v>0</v>
      </c>
      <c r="G57" s="103" t="s">
        <v>76</v>
      </c>
      <c r="H57" s="55" t="s">
        <v>115</v>
      </c>
      <c r="I57" s="539"/>
      <c r="J57" s="539"/>
      <c r="K57" s="527"/>
    </row>
    <row r="58" spans="1:11" ht="4.5" customHeight="1" thickBot="1" x14ac:dyDescent="0.4">
      <c r="C58" s="200"/>
      <c r="D58" s="139"/>
      <c r="E58" s="139"/>
      <c r="F58" s="30"/>
      <c r="G58" s="30"/>
      <c r="H58" s="33"/>
      <c r="I58" s="200"/>
      <c r="J58" s="200"/>
      <c r="K58" s="32"/>
    </row>
    <row r="59" spans="1:11" ht="15" customHeight="1" x14ac:dyDescent="0.35">
      <c r="A59" s="528">
        <v>7</v>
      </c>
      <c r="B59" s="202">
        <f>B51+10</f>
        <v>71</v>
      </c>
      <c r="C59" s="531"/>
      <c r="D59" s="534"/>
      <c r="E59" s="534"/>
      <c r="F59" s="99" t="b">
        <v>0</v>
      </c>
      <c r="G59" s="62" t="s">
        <v>110</v>
      </c>
      <c r="H59" s="75" t="s">
        <v>111</v>
      </c>
      <c r="I59" s="537"/>
      <c r="J59" s="537"/>
      <c r="K59" s="525"/>
    </row>
    <row r="60" spans="1:11" ht="3.75" customHeight="1" x14ac:dyDescent="0.35">
      <c r="A60" s="529"/>
      <c r="B60" s="203">
        <f t="shared" ref="B60:B65" si="6">B59+1</f>
        <v>72</v>
      </c>
      <c r="C60" s="532"/>
      <c r="D60" s="535"/>
      <c r="E60" s="535"/>
      <c r="I60" s="538"/>
      <c r="J60" s="538"/>
      <c r="K60" s="526"/>
    </row>
    <row r="61" spans="1:11" x14ac:dyDescent="0.35">
      <c r="A61" s="529"/>
      <c r="B61" s="203">
        <f t="shared" si="6"/>
        <v>73</v>
      </c>
      <c r="C61" s="532"/>
      <c r="D61" s="535"/>
      <c r="E61" s="535"/>
      <c r="F61" s="100" t="b">
        <v>0</v>
      </c>
      <c r="G61" t="s">
        <v>2</v>
      </c>
      <c r="H61" s="3" t="s">
        <v>112</v>
      </c>
      <c r="I61" s="538"/>
      <c r="J61" s="538"/>
      <c r="K61" s="526"/>
    </row>
    <row r="62" spans="1:11" ht="3.75" customHeight="1" x14ac:dyDescent="0.35">
      <c r="A62" s="529"/>
      <c r="B62" s="203">
        <f t="shared" si="6"/>
        <v>74</v>
      </c>
      <c r="C62" s="532"/>
      <c r="D62" s="535"/>
      <c r="E62" s="535"/>
      <c r="I62" s="538"/>
      <c r="J62" s="538"/>
      <c r="K62" s="526"/>
    </row>
    <row r="63" spans="1:11" x14ac:dyDescent="0.35">
      <c r="A63" s="529"/>
      <c r="B63" s="203">
        <f t="shared" si="6"/>
        <v>75</v>
      </c>
      <c r="C63" s="532"/>
      <c r="D63" s="535"/>
      <c r="E63" s="535"/>
      <c r="F63" s="101" t="b">
        <v>0</v>
      </c>
      <c r="G63" s="44" t="s">
        <v>113</v>
      </c>
      <c r="H63" s="9" t="s">
        <v>114</v>
      </c>
      <c r="I63" s="538"/>
      <c r="J63" s="538"/>
      <c r="K63" s="526"/>
    </row>
    <row r="64" spans="1:11" ht="3.75" customHeight="1" x14ac:dyDescent="0.35">
      <c r="A64" s="529"/>
      <c r="B64" s="203">
        <f t="shared" si="6"/>
        <v>76</v>
      </c>
      <c r="C64" s="532"/>
      <c r="D64" s="535"/>
      <c r="E64" s="535"/>
      <c r="I64" s="538"/>
      <c r="J64" s="538"/>
      <c r="K64" s="526"/>
    </row>
    <row r="65" spans="1:11" ht="29.5" thickBot="1" x14ac:dyDescent="0.4">
      <c r="A65" s="530"/>
      <c r="B65" s="203">
        <f t="shared" si="6"/>
        <v>77</v>
      </c>
      <c r="C65" s="533"/>
      <c r="D65" s="536"/>
      <c r="E65" s="536"/>
      <c r="F65" s="102" t="b">
        <v>0</v>
      </c>
      <c r="G65" s="103" t="s">
        <v>76</v>
      </c>
      <c r="H65" s="55" t="s">
        <v>115</v>
      </c>
      <c r="I65" s="539"/>
      <c r="J65" s="539"/>
      <c r="K65" s="527"/>
    </row>
    <row r="66" spans="1:11" ht="4.5" customHeight="1" thickBot="1" x14ac:dyDescent="0.4">
      <c r="C66" s="200"/>
      <c r="D66" s="139"/>
      <c r="E66" s="139"/>
      <c r="F66" s="30"/>
      <c r="G66" s="30"/>
      <c r="H66" s="33"/>
      <c r="I66" s="200"/>
      <c r="J66" s="200"/>
      <c r="K66" s="32"/>
    </row>
    <row r="67" spans="1:11" ht="15" customHeight="1" x14ac:dyDescent="0.35">
      <c r="A67" s="528">
        <v>8</v>
      </c>
      <c r="B67" s="202">
        <f>B59+10</f>
        <v>81</v>
      </c>
      <c r="C67" s="531"/>
      <c r="D67" s="534"/>
      <c r="E67" s="534"/>
      <c r="F67" s="99" t="b">
        <v>0</v>
      </c>
      <c r="G67" s="62" t="s">
        <v>110</v>
      </c>
      <c r="H67" s="75" t="s">
        <v>111</v>
      </c>
      <c r="I67" s="537"/>
      <c r="J67" s="537"/>
      <c r="K67" s="525"/>
    </row>
    <row r="68" spans="1:11" ht="3.75" customHeight="1" x14ac:dyDescent="0.35">
      <c r="A68" s="529"/>
      <c r="B68" s="203">
        <f t="shared" ref="B68:B73" si="7">B67+1</f>
        <v>82</v>
      </c>
      <c r="C68" s="532"/>
      <c r="D68" s="535"/>
      <c r="E68" s="535"/>
      <c r="I68" s="538"/>
      <c r="J68" s="538"/>
      <c r="K68" s="526"/>
    </row>
    <row r="69" spans="1:11" x14ac:dyDescent="0.35">
      <c r="A69" s="529"/>
      <c r="B69" s="203">
        <f t="shared" si="7"/>
        <v>83</v>
      </c>
      <c r="C69" s="532"/>
      <c r="D69" s="535"/>
      <c r="E69" s="535"/>
      <c r="F69" s="100" t="b">
        <v>0</v>
      </c>
      <c r="G69" t="s">
        <v>2</v>
      </c>
      <c r="H69" s="3" t="s">
        <v>112</v>
      </c>
      <c r="I69" s="538"/>
      <c r="J69" s="538"/>
      <c r="K69" s="526"/>
    </row>
    <row r="70" spans="1:11" ht="3.75" customHeight="1" x14ac:dyDescent="0.35">
      <c r="A70" s="529"/>
      <c r="B70" s="203">
        <f t="shared" si="7"/>
        <v>84</v>
      </c>
      <c r="C70" s="532"/>
      <c r="D70" s="535"/>
      <c r="E70" s="535"/>
      <c r="I70" s="538"/>
      <c r="J70" s="538"/>
      <c r="K70" s="526"/>
    </row>
    <row r="71" spans="1:11" x14ac:dyDescent="0.35">
      <c r="A71" s="529"/>
      <c r="B71" s="203">
        <f t="shared" si="7"/>
        <v>85</v>
      </c>
      <c r="C71" s="532"/>
      <c r="D71" s="535"/>
      <c r="E71" s="535"/>
      <c r="F71" s="101" t="b">
        <v>0</v>
      </c>
      <c r="G71" s="44" t="s">
        <v>113</v>
      </c>
      <c r="H71" s="9" t="s">
        <v>114</v>
      </c>
      <c r="I71" s="538"/>
      <c r="J71" s="538"/>
      <c r="K71" s="526"/>
    </row>
    <row r="72" spans="1:11" ht="3.75" customHeight="1" x14ac:dyDescent="0.35">
      <c r="A72" s="529"/>
      <c r="B72" s="203">
        <f t="shared" si="7"/>
        <v>86</v>
      </c>
      <c r="C72" s="532"/>
      <c r="D72" s="535"/>
      <c r="E72" s="535"/>
      <c r="I72" s="538"/>
      <c r="J72" s="538"/>
      <c r="K72" s="526"/>
    </row>
    <row r="73" spans="1:11" ht="29.5" thickBot="1" x14ac:dyDescent="0.4">
      <c r="A73" s="530"/>
      <c r="B73" s="203">
        <f t="shared" si="7"/>
        <v>87</v>
      </c>
      <c r="C73" s="533"/>
      <c r="D73" s="536"/>
      <c r="E73" s="536"/>
      <c r="F73" s="102" t="b">
        <v>0</v>
      </c>
      <c r="G73" s="103" t="s">
        <v>76</v>
      </c>
      <c r="H73" s="55" t="s">
        <v>115</v>
      </c>
      <c r="I73" s="539"/>
      <c r="J73" s="539"/>
      <c r="K73" s="527"/>
    </row>
    <row r="74" spans="1:11" ht="4.5" customHeight="1" thickBot="1" x14ac:dyDescent="0.4">
      <c r="C74" s="200"/>
      <c r="D74" s="139"/>
      <c r="E74" s="139"/>
      <c r="F74" s="30"/>
      <c r="G74" s="30"/>
      <c r="H74" s="33"/>
      <c r="I74" s="200"/>
      <c r="J74" s="200"/>
      <c r="K74" s="32"/>
    </row>
    <row r="75" spans="1:11" ht="15" customHeight="1" x14ac:dyDescent="0.35">
      <c r="A75" s="528">
        <f>A67+1</f>
        <v>9</v>
      </c>
      <c r="B75" s="202">
        <f>B67+10</f>
        <v>91</v>
      </c>
      <c r="C75" s="531"/>
      <c r="D75" s="534"/>
      <c r="E75" s="534"/>
      <c r="F75" s="99" t="b">
        <v>0</v>
      </c>
      <c r="G75" s="62" t="s">
        <v>110</v>
      </c>
      <c r="H75" s="75" t="s">
        <v>111</v>
      </c>
      <c r="I75" s="537"/>
      <c r="J75" s="537"/>
      <c r="K75" s="525"/>
    </row>
    <row r="76" spans="1:11" ht="3.75" customHeight="1" x14ac:dyDescent="0.35">
      <c r="A76" s="529"/>
      <c r="B76" s="203">
        <f t="shared" ref="B76:B81" si="8">B75+1</f>
        <v>92</v>
      </c>
      <c r="C76" s="532"/>
      <c r="D76" s="535"/>
      <c r="E76" s="535"/>
      <c r="I76" s="538"/>
      <c r="J76" s="538"/>
      <c r="K76" s="526"/>
    </row>
    <row r="77" spans="1:11" x14ac:dyDescent="0.35">
      <c r="A77" s="529"/>
      <c r="B77" s="203">
        <f t="shared" si="8"/>
        <v>93</v>
      </c>
      <c r="C77" s="532"/>
      <c r="D77" s="535"/>
      <c r="E77" s="535"/>
      <c r="F77" s="100" t="b">
        <v>0</v>
      </c>
      <c r="G77" t="s">
        <v>2</v>
      </c>
      <c r="H77" s="3" t="s">
        <v>112</v>
      </c>
      <c r="I77" s="538"/>
      <c r="J77" s="538"/>
      <c r="K77" s="526"/>
    </row>
    <row r="78" spans="1:11" ht="3.75" customHeight="1" x14ac:dyDescent="0.35">
      <c r="A78" s="529"/>
      <c r="B78" s="203">
        <f t="shared" si="8"/>
        <v>94</v>
      </c>
      <c r="C78" s="532"/>
      <c r="D78" s="535"/>
      <c r="E78" s="535"/>
      <c r="I78" s="538"/>
      <c r="J78" s="538"/>
      <c r="K78" s="526"/>
    </row>
    <row r="79" spans="1:11" x14ac:dyDescent="0.35">
      <c r="A79" s="529"/>
      <c r="B79" s="203">
        <f t="shared" si="8"/>
        <v>95</v>
      </c>
      <c r="C79" s="532"/>
      <c r="D79" s="535"/>
      <c r="E79" s="535"/>
      <c r="F79" s="101" t="b">
        <v>0</v>
      </c>
      <c r="G79" s="44" t="s">
        <v>113</v>
      </c>
      <c r="H79" s="9" t="s">
        <v>114</v>
      </c>
      <c r="I79" s="538"/>
      <c r="J79" s="538"/>
      <c r="K79" s="526"/>
    </row>
    <row r="80" spans="1:11" ht="3.75" customHeight="1" x14ac:dyDescent="0.35">
      <c r="A80" s="529"/>
      <c r="B80" s="203">
        <f t="shared" si="8"/>
        <v>96</v>
      </c>
      <c r="C80" s="532"/>
      <c r="D80" s="535"/>
      <c r="E80" s="535"/>
      <c r="I80" s="538"/>
      <c r="J80" s="538"/>
      <c r="K80" s="526"/>
    </row>
    <row r="81" spans="1:11" ht="29.5" thickBot="1" x14ac:dyDescent="0.4">
      <c r="A81" s="530"/>
      <c r="B81" s="203">
        <f t="shared" si="8"/>
        <v>97</v>
      </c>
      <c r="C81" s="533"/>
      <c r="D81" s="536"/>
      <c r="E81" s="536"/>
      <c r="F81" s="102" t="b">
        <v>0</v>
      </c>
      <c r="G81" s="103" t="s">
        <v>76</v>
      </c>
      <c r="H81" s="55" t="s">
        <v>115</v>
      </c>
      <c r="I81" s="539"/>
      <c r="J81" s="539"/>
      <c r="K81" s="527"/>
    </row>
    <row r="82" spans="1:11" ht="4.5" customHeight="1" thickBot="1" x14ac:dyDescent="0.4">
      <c r="C82" s="200"/>
      <c r="D82" s="139"/>
      <c r="E82" s="139"/>
      <c r="F82" s="30"/>
      <c r="G82" s="30"/>
      <c r="H82" s="33"/>
      <c r="I82" s="200"/>
      <c r="J82" s="200"/>
      <c r="K82" s="32"/>
    </row>
    <row r="83" spans="1:11" ht="15" customHeight="1" x14ac:dyDescent="0.35">
      <c r="A83" s="528">
        <f>A75+1</f>
        <v>10</v>
      </c>
      <c r="B83" s="202">
        <f>B75+10</f>
        <v>101</v>
      </c>
      <c r="C83" s="531"/>
      <c r="D83" s="534"/>
      <c r="E83" s="534"/>
      <c r="F83" s="99" t="b">
        <v>0</v>
      </c>
      <c r="G83" s="62" t="s">
        <v>110</v>
      </c>
      <c r="H83" s="75" t="s">
        <v>111</v>
      </c>
      <c r="I83" s="537"/>
      <c r="J83" s="537"/>
      <c r="K83" s="525"/>
    </row>
    <row r="84" spans="1:11" ht="3.75" customHeight="1" x14ac:dyDescent="0.35">
      <c r="A84" s="529"/>
      <c r="B84" s="203">
        <f t="shared" ref="B84:B89" si="9">B83+1</f>
        <v>102</v>
      </c>
      <c r="C84" s="532"/>
      <c r="D84" s="535"/>
      <c r="E84" s="535"/>
      <c r="I84" s="538"/>
      <c r="J84" s="538"/>
      <c r="K84" s="526"/>
    </row>
    <row r="85" spans="1:11" x14ac:dyDescent="0.35">
      <c r="A85" s="529"/>
      <c r="B85" s="203">
        <f t="shared" si="9"/>
        <v>103</v>
      </c>
      <c r="C85" s="532"/>
      <c r="D85" s="535"/>
      <c r="E85" s="535"/>
      <c r="F85" s="100" t="b">
        <v>0</v>
      </c>
      <c r="G85" t="s">
        <v>2</v>
      </c>
      <c r="H85" s="3" t="s">
        <v>112</v>
      </c>
      <c r="I85" s="538"/>
      <c r="J85" s="538"/>
      <c r="K85" s="526"/>
    </row>
    <row r="86" spans="1:11" ht="3.75" customHeight="1" x14ac:dyDescent="0.35">
      <c r="A86" s="529"/>
      <c r="B86" s="203">
        <f t="shared" si="9"/>
        <v>104</v>
      </c>
      <c r="C86" s="532"/>
      <c r="D86" s="535"/>
      <c r="E86" s="535"/>
      <c r="I86" s="538"/>
      <c r="J86" s="538"/>
      <c r="K86" s="526"/>
    </row>
    <row r="87" spans="1:11" x14ac:dyDescent="0.35">
      <c r="A87" s="529"/>
      <c r="B87" s="203">
        <f t="shared" si="9"/>
        <v>105</v>
      </c>
      <c r="C87" s="532"/>
      <c r="D87" s="535"/>
      <c r="E87" s="535"/>
      <c r="F87" s="101" t="b">
        <v>0</v>
      </c>
      <c r="G87" s="44" t="s">
        <v>113</v>
      </c>
      <c r="H87" s="9" t="s">
        <v>114</v>
      </c>
      <c r="I87" s="538"/>
      <c r="J87" s="538"/>
      <c r="K87" s="526"/>
    </row>
    <row r="88" spans="1:11" ht="3.75" customHeight="1" x14ac:dyDescent="0.35">
      <c r="A88" s="529"/>
      <c r="B88" s="203">
        <f t="shared" si="9"/>
        <v>106</v>
      </c>
      <c r="C88" s="532"/>
      <c r="D88" s="535"/>
      <c r="E88" s="535"/>
      <c r="I88" s="538"/>
      <c r="J88" s="538"/>
      <c r="K88" s="526"/>
    </row>
    <row r="89" spans="1:11" ht="29.5" thickBot="1" x14ac:dyDescent="0.4">
      <c r="A89" s="530"/>
      <c r="B89" s="203">
        <f t="shared" si="9"/>
        <v>107</v>
      </c>
      <c r="C89" s="533"/>
      <c r="D89" s="536"/>
      <c r="E89" s="536"/>
      <c r="F89" s="102" t="b">
        <v>0</v>
      </c>
      <c r="G89" s="103" t="s">
        <v>76</v>
      </c>
      <c r="H89" s="55" t="s">
        <v>115</v>
      </c>
      <c r="I89" s="539"/>
      <c r="J89" s="539"/>
      <c r="K89" s="527"/>
    </row>
    <row r="90" spans="1:11" ht="4.5" customHeight="1" thickBot="1" x14ac:dyDescent="0.4">
      <c r="C90" s="200"/>
      <c r="D90" s="139"/>
      <c r="E90" s="139"/>
      <c r="F90" s="30"/>
      <c r="G90" s="30"/>
      <c r="H90" s="33"/>
      <c r="I90" s="200"/>
      <c r="J90" s="200"/>
      <c r="K90" s="32"/>
    </row>
    <row r="91" spans="1:11" ht="15" customHeight="1" x14ac:dyDescent="0.35">
      <c r="A91" s="528">
        <f>A83+1</f>
        <v>11</v>
      </c>
      <c r="B91" s="202">
        <f>B83+10</f>
        <v>111</v>
      </c>
      <c r="C91" s="531"/>
      <c r="D91" s="534"/>
      <c r="E91" s="534"/>
      <c r="F91" s="99" t="b">
        <v>0</v>
      </c>
      <c r="G91" s="62" t="s">
        <v>110</v>
      </c>
      <c r="H91" s="75" t="s">
        <v>111</v>
      </c>
      <c r="I91" s="537"/>
      <c r="J91" s="537"/>
      <c r="K91" s="525"/>
    </row>
    <row r="92" spans="1:11" ht="3.75" customHeight="1" x14ac:dyDescent="0.35">
      <c r="A92" s="529"/>
      <c r="B92" s="203">
        <f t="shared" ref="B92:B97" si="10">B91+1</f>
        <v>112</v>
      </c>
      <c r="C92" s="532"/>
      <c r="D92" s="535"/>
      <c r="E92" s="535"/>
      <c r="I92" s="538"/>
      <c r="J92" s="538"/>
      <c r="K92" s="526"/>
    </row>
    <row r="93" spans="1:11" x14ac:dyDescent="0.35">
      <c r="A93" s="529"/>
      <c r="B93" s="203">
        <f t="shared" si="10"/>
        <v>113</v>
      </c>
      <c r="C93" s="532"/>
      <c r="D93" s="535"/>
      <c r="E93" s="535"/>
      <c r="F93" s="100" t="b">
        <v>0</v>
      </c>
      <c r="G93" t="s">
        <v>2</v>
      </c>
      <c r="H93" s="3" t="s">
        <v>112</v>
      </c>
      <c r="I93" s="538"/>
      <c r="J93" s="538"/>
      <c r="K93" s="526"/>
    </row>
    <row r="94" spans="1:11" ht="3.75" customHeight="1" x14ac:dyDescent="0.35">
      <c r="A94" s="529"/>
      <c r="B94" s="203">
        <f t="shared" si="10"/>
        <v>114</v>
      </c>
      <c r="C94" s="532"/>
      <c r="D94" s="535"/>
      <c r="E94" s="535"/>
      <c r="I94" s="538"/>
      <c r="J94" s="538"/>
      <c r="K94" s="526"/>
    </row>
    <row r="95" spans="1:11" x14ac:dyDescent="0.35">
      <c r="A95" s="529"/>
      <c r="B95" s="203">
        <f t="shared" si="10"/>
        <v>115</v>
      </c>
      <c r="C95" s="532"/>
      <c r="D95" s="535"/>
      <c r="E95" s="535"/>
      <c r="F95" s="101" t="b">
        <v>0</v>
      </c>
      <c r="G95" s="44" t="s">
        <v>113</v>
      </c>
      <c r="H95" s="9" t="s">
        <v>114</v>
      </c>
      <c r="I95" s="538"/>
      <c r="J95" s="538"/>
      <c r="K95" s="526"/>
    </row>
    <row r="96" spans="1:11" ht="3.75" customHeight="1" x14ac:dyDescent="0.35">
      <c r="A96" s="529"/>
      <c r="B96" s="203">
        <f t="shared" si="10"/>
        <v>116</v>
      </c>
      <c r="C96" s="532"/>
      <c r="D96" s="535"/>
      <c r="E96" s="535"/>
      <c r="I96" s="538"/>
      <c r="J96" s="538"/>
      <c r="K96" s="526"/>
    </row>
    <row r="97" spans="1:11" ht="29.5" thickBot="1" x14ac:dyDescent="0.4">
      <c r="A97" s="530"/>
      <c r="B97" s="203">
        <f t="shared" si="10"/>
        <v>117</v>
      </c>
      <c r="C97" s="533"/>
      <c r="D97" s="536"/>
      <c r="E97" s="536"/>
      <c r="F97" s="102" t="b">
        <v>0</v>
      </c>
      <c r="G97" s="103" t="s">
        <v>76</v>
      </c>
      <c r="H97" s="55" t="s">
        <v>115</v>
      </c>
      <c r="I97" s="539"/>
      <c r="J97" s="539"/>
      <c r="K97" s="527"/>
    </row>
    <row r="98" spans="1:11" ht="4.5" customHeight="1" thickBot="1" x14ac:dyDescent="0.4">
      <c r="C98" s="200"/>
      <c r="D98" s="139"/>
      <c r="E98" s="139"/>
      <c r="F98" s="30"/>
      <c r="G98" s="30"/>
      <c r="H98" s="33"/>
      <c r="I98" s="200"/>
      <c r="J98" s="200"/>
      <c r="K98" s="32"/>
    </row>
    <row r="99" spans="1:11" ht="15" customHeight="1" x14ac:dyDescent="0.35">
      <c r="A99" s="528">
        <f>A91+1</f>
        <v>12</v>
      </c>
      <c r="B99" s="202">
        <f>B91+10</f>
        <v>121</v>
      </c>
      <c r="C99" s="531"/>
      <c r="D99" s="534"/>
      <c r="E99" s="534"/>
      <c r="F99" s="99" t="b">
        <v>0</v>
      </c>
      <c r="G99" s="62" t="s">
        <v>110</v>
      </c>
      <c r="H99" s="75" t="s">
        <v>111</v>
      </c>
      <c r="I99" s="537"/>
      <c r="J99" s="537"/>
      <c r="K99" s="525"/>
    </row>
    <row r="100" spans="1:11" ht="3.75" customHeight="1" x14ac:dyDescent="0.35">
      <c r="A100" s="529"/>
      <c r="B100" s="203">
        <f t="shared" ref="B100:B105" si="11">B99+1</f>
        <v>122</v>
      </c>
      <c r="C100" s="532"/>
      <c r="D100" s="535"/>
      <c r="E100" s="535"/>
      <c r="I100" s="538"/>
      <c r="J100" s="538"/>
      <c r="K100" s="526"/>
    </row>
    <row r="101" spans="1:11" x14ac:dyDescent="0.35">
      <c r="A101" s="529"/>
      <c r="B101" s="203">
        <f t="shared" si="11"/>
        <v>123</v>
      </c>
      <c r="C101" s="532"/>
      <c r="D101" s="535"/>
      <c r="E101" s="535"/>
      <c r="F101" s="100" t="b">
        <v>0</v>
      </c>
      <c r="G101" t="s">
        <v>2</v>
      </c>
      <c r="H101" s="3" t="s">
        <v>112</v>
      </c>
      <c r="I101" s="538"/>
      <c r="J101" s="538"/>
      <c r="K101" s="526"/>
    </row>
    <row r="102" spans="1:11" ht="3.75" customHeight="1" x14ac:dyDescent="0.35">
      <c r="A102" s="529"/>
      <c r="B102" s="203">
        <f t="shared" si="11"/>
        <v>124</v>
      </c>
      <c r="C102" s="532"/>
      <c r="D102" s="535"/>
      <c r="E102" s="535"/>
      <c r="I102" s="538"/>
      <c r="J102" s="538"/>
      <c r="K102" s="526"/>
    </row>
    <row r="103" spans="1:11" x14ac:dyDescent="0.35">
      <c r="A103" s="529"/>
      <c r="B103" s="203">
        <f t="shared" si="11"/>
        <v>125</v>
      </c>
      <c r="C103" s="532"/>
      <c r="D103" s="535"/>
      <c r="E103" s="535"/>
      <c r="F103" s="101" t="b">
        <v>0</v>
      </c>
      <c r="G103" s="44" t="s">
        <v>113</v>
      </c>
      <c r="H103" s="9" t="s">
        <v>114</v>
      </c>
      <c r="I103" s="538"/>
      <c r="J103" s="538"/>
      <c r="K103" s="526"/>
    </row>
    <row r="104" spans="1:11" ht="3.75" customHeight="1" x14ac:dyDescent="0.35">
      <c r="A104" s="529"/>
      <c r="B104" s="203">
        <f t="shared" si="11"/>
        <v>126</v>
      </c>
      <c r="C104" s="532"/>
      <c r="D104" s="535"/>
      <c r="E104" s="535"/>
      <c r="I104" s="538"/>
      <c r="J104" s="538"/>
      <c r="K104" s="526"/>
    </row>
    <row r="105" spans="1:11" ht="29.5" thickBot="1" x14ac:dyDescent="0.4">
      <c r="A105" s="530"/>
      <c r="B105" s="203">
        <f t="shared" si="11"/>
        <v>127</v>
      </c>
      <c r="C105" s="533"/>
      <c r="D105" s="536"/>
      <c r="E105" s="536"/>
      <c r="F105" s="102" t="b">
        <v>0</v>
      </c>
      <c r="G105" s="103" t="s">
        <v>76</v>
      </c>
      <c r="H105" s="55" t="s">
        <v>115</v>
      </c>
      <c r="I105" s="539"/>
      <c r="J105" s="539"/>
      <c r="K105" s="527"/>
    </row>
    <row r="106" spans="1:11" ht="4.5" customHeight="1" thickBot="1" x14ac:dyDescent="0.4">
      <c r="C106" s="200"/>
      <c r="D106" s="139"/>
      <c r="E106" s="139"/>
      <c r="F106" s="30"/>
      <c r="G106" s="30"/>
      <c r="H106" s="33"/>
      <c r="I106" s="200"/>
      <c r="J106" s="200"/>
      <c r="K106" s="32"/>
    </row>
    <row r="107" spans="1:11" ht="15" customHeight="1" x14ac:dyDescent="0.35">
      <c r="A107" s="528">
        <f>A99+1</f>
        <v>13</v>
      </c>
      <c r="B107" s="202">
        <f>B99+10</f>
        <v>131</v>
      </c>
      <c r="C107" s="531"/>
      <c r="D107" s="534"/>
      <c r="E107" s="534"/>
      <c r="F107" s="99" t="b">
        <v>0</v>
      </c>
      <c r="G107" s="62" t="s">
        <v>110</v>
      </c>
      <c r="H107" s="75" t="s">
        <v>111</v>
      </c>
      <c r="I107" s="537"/>
      <c r="J107" s="537"/>
      <c r="K107" s="525"/>
    </row>
    <row r="108" spans="1:11" ht="3.75" customHeight="1" x14ac:dyDescent="0.35">
      <c r="A108" s="529"/>
      <c r="B108" s="203">
        <f t="shared" ref="B108:B113" si="12">B107+1</f>
        <v>132</v>
      </c>
      <c r="C108" s="532"/>
      <c r="D108" s="535"/>
      <c r="E108" s="535"/>
      <c r="I108" s="538"/>
      <c r="J108" s="538"/>
      <c r="K108" s="526"/>
    </row>
    <row r="109" spans="1:11" x14ac:dyDescent="0.35">
      <c r="A109" s="529"/>
      <c r="B109" s="203">
        <f t="shared" si="12"/>
        <v>133</v>
      </c>
      <c r="C109" s="532"/>
      <c r="D109" s="535"/>
      <c r="E109" s="535"/>
      <c r="F109" s="100" t="b">
        <v>0</v>
      </c>
      <c r="G109" t="s">
        <v>2</v>
      </c>
      <c r="H109" s="3" t="s">
        <v>112</v>
      </c>
      <c r="I109" s="538"/>
      <c r="J109" s="538"/>
      <c r="K109" s="526"/>
    </row>
    <row r="110" spans="1:11" ht="3.75" customHeight="1" x14ac:dyDescent="0.35">
      <c r="A110" s="529"/>
      <c r="B110" s="203">
        <f t="shared" si="12"/>
        <v>134</v>
      </c>
      <c r="C110" s="532"/>
      <c r="D110" s="535"/>
      <c r="E110" s="535"/>
      <c r="I110" s="538"/>
      <c r="J110" s="538"/>
      <c r="K110" s="526"/>
    </row>
    <row r="111" spans="1:11" x14ac:dyDescent="0.35">
      <c r="A111" s="529"/>
      <c r="B111" s="203">
        <f t="shared" si="12"/>
        <v>135</v>
      </c>
      <c r="C111" s="532"/>
      <c r="D111" s="535"/>
      <c r="E111" s="535"/>
      <c r="F111" s="101" t="b">
        <v>0</v>
      </c>
      <c r="G111" s="44" t="s">
        <v>113</v>
      </c>
      <c r="H111" s="9" t="s">
        <v>114</v>
      </c>
      <c r="I111" s="538"/>
      <c r="J111" s="538"/>
      <c r="K111" s="526"/>
    </row>
    <row r="112" spans="1:11" ht="3.75" customHeight="1" x14ac:dyDescent="0.35">
      <c r="A112" s="529"/>
      <c r="B112" s="203">
        <f t="shared" si="12"/>
        <v>136</v>
      </c>
      <c r="C112" s="532"/>
      <c r="D112" s="535"/>
      <c r="E112" s="535"/>
      <c r="I112" s="538"/>
      <c r="J112" s="538"/>
      <c r="K112" s="526"/>
    </row>
    <row r="113" spans="1:11" ht="29.5" thickBot="1" x14ac:dyDescent="0.4">
      <c r="A113" s="530"/>
      <c r="B113" s="203">
        <f t="shared" si="12"/>
        <v>137</v>
      </c>
      <c r="C113" s="533"/>
      <c r="D113" s="536"/>
      <c r="E113" s="536"/>
      <c r="F113" s="102" t="b">
        <v>0</v>
      </c>
      <c r="G113" s="103" t="s">
        <v>76</v>
      </c>
      <c r="H113" s="55" t="s">
        <v>115</v>
      </c>
      <c r="I113" s="539"/>
      <c r="J113" s="539"/>
      <c r="K113" s="527"/>
    </row>
    <row r="114" spans="1:11" ht="4.5" customHeight="1" thickBot="1" x14ac:dyDescent="0.4">
      <c r="C114" s="200"/>
      <c r="D114" s="139"/>
      <c r="E114" s="139"/>
      <c r="F114" s="30"/>
      <c r="G114" s="30"/>
      <c r="H114" s="33"/>
      <c r="I114" s="200"/>
      <c r="J114" s="200"/>
      <c r="K114" s="32"/>
    </row>
    <row r="115" spans="1:11" ht="15" customHeight="1" x14ac:dyDescent="0.35">
      <c r="A115" s="528">
        <f>A107+1</f>
        <v>14</v>
      </c>
      <c r="B115" s="202">
        <f>B107+10</f>
        <v>141</v>
      </c>
      <c r="C115" s="531"/>
      <c r="D115" s="534"/>
      <c r="E115" s="534"/>
      <c r="F115" s="99" t="b">
        <v>0</v>
      </c>
      <c r="G115" s="62" t="s">
        <v>110</v>
      </c>
      <c r="H115" s="75" t="s">
        <v>111</v>
      </c>
      <c r="I115" s="537"/>
      <c r="J115" s="537"/>
      <c r="K115" s="525"/>
    </row>
    <row r="116" spans="1:11" ht="3.75" customHeight="1" x14ac:dyDescent="0.35">
      <c r="A116" s="529"/>
      <c r="B116" s="203">
        <f t="shared" ref="B116:B121" si="13">B115+1</f>
        <v>142</v>
      </c>
      <c r="C116" s="532"/>
      <c r="D116" s="535"/>
      <c r="E116" s="535"/>
      <c r="I116" s="538"/>
      <c r="J116" s="538"/>
      <c r="K116" s="526"/>
    </row>
    <row r="117" spans="1:11" x14ac:dyDescent="0.35">
      <c r="A117" s="529"/>
      <c r="B117" s="203">
        <f t="shared" si="13"/>
        <v>143</v>
      </c>
      <c r="C117" s="532"/>
      <c r="D117" s="535"/>
      <c r="E117" s="535"/>
      <c r="F117" s="100" t="b">
        <v>0</v>
      </c>
      <c r="G117" t="s">
        <v>2</v>
      </c>
      <c r="H117" s="3" t="s">
        <v>112</v>
      </c>
      <c r="I117" s="538"/>
      <c r="J117" s="538"/>
      <c r="K117" s="526"/>
    </row>
    <row r="118" spans="1:11" ht="3.75" customHeight="1" x14ac:dyDescent="0.35">
      <c r="A118" s="529"/>
      <c r="B118" s="203">
        <f t="shared" si="13"/>
        <v>144</v>
      </c>
      <c r="C118" s="532"/>
      <c r="D118" s="535"/>
      <c r="E118" s="535"/>
      <c r="I118" s="538"/>
      <c r="J118" s="538"/>
      <c r="K118" s="526"/>
    </row>
    <row r="119" spans="1:11" x14ac:dyDescent="0.35">
      <c r="A119" s="529"/>
      <c r="B119" s="203">
        <f t="shared" si="13"/>
        <v>145</v>
      </c>
      <c r="C119" s="532"/>
      <c r="D119" s="535"/>
      <c r="E119" s="535"/>
      <c r="F119" s="101" t="b">
        <v>0</v>
      </c>
      <c r="G119" s="44" t="s">
        <v>113</v>
      </c>
      <c r="H119" s="9" t="s">
        <v>114</v>
      </c>
      <c r="I119" s="538"/>
      <c r="J119" s="538"/>
      <c r="K119" s="526"/>
    </row>
    <row r="120" spans="1:11" ht="3.75" customHeight="1" x14ac:dyDescent="0.35">
      <c r="A120" s="529"/>
      <c r="B120" s="203">
        <f t="shared" si="13"/>
        <v>146</v>
      </c>
      <c r="C120" s="532"/>
      <c r="D120" s="535"/>
      <c r="E120" s="535"/>
      <c r="I120" s="538"/>
      <c r="J120" s="538"/>
      <c r="K120" s="526"/>
    </row>
    <row r="121" spans="1:11" ht="29.5" thickBot="1" x14ac:dyDescent="0.4">
      <c r="A121" s="530"/>
      <c r="B121" s="203">
        <f t="shared" si="13"/>
        <v>147</v>
      </c>
      <c r="C121" s="533"/>
      <c r="D121" s="536"/>
      <c r="E121" s="536"/>
      <c r="F121" s="102" t="b">
        <v>0</v>
      </c>
      <c r="G121" s="103" t="s">
        <v>76</v>
      </c>
      <c r="H121" s="55" t="s">
        <v>115</v>
      </c>
      <c r="I121" s="539"/>
      <c r="J121" s="539"/>
      <c r="K121" s="527"/>
    </row>
    <row r="122" spans="1:11" ht="4.5" customHeight="1" thickBot="1" x14ac:dyDescent="0.4">
      <c r="C122" s="200"/>
      <c r="D122" s="139"/>
      <c r="E122" s="139"/>
      <c r="F122" s="30"/>
      <c r="G122" s="30"/>
      <c r="H122" s="33"/>
      <c r="I122" s="200"/>
      <c r="J122" s="200"/>
      <c r="K122" s="32"/>
    </row>
    <row r="123" spans="1:11" ht="15" customHeight="1" x14ac:dyDescent="0.35">
      <c r="A123" s="528">
        <f>A115+1</f>
        <v>15</v>
      </c>
      <c r="B123" s="202">
        <f>B115+10</f>
        <v>151</v>
      </c>
      <c r="C123" s="531"/>
      <c r="D123" s="534"/>
      <c r="E123" s="534"/>
      <c r="F123" s="99" t="b">
        <v>0</v>
      </c>
      <c r="G123" s="62" t="s">
        <v>110</v>
      </c>
      <c r="H123" s="75" t="s">
        <v>111</v>
      </c>
      <c r="I123" s="537"/>
      <c r="J123" s="537"/>
      <c r="K123" s="525"/>
    </row>
    <row r="124" spans="1:11" ht="3.75" customHeight="1" x14ac:dyDescent="0.35">
      <c r="A124" s="529"/>
      <c r="B124" s="203">
        <f t="shared" ref="B124:B129" si="14">B123+1</f>
        <v>152</v>
      </c>
      <c r="C124" s="532"/>
      <c r="D124" s="535"/>
      <c r="E124" s="535"/>
      <c r="I124" s="538"/>
      <c r="J124" s="538"/>
      <c r="K124" s="526"/>
    </row>
    <row r="125" spans="1:11" x14ac:dyDescent="0.35">
      <c r="A125" s="529"/>
      <c r="B125" s="203">
        <f t="shared" si="14"/>
        <v>153</v>
      </c>
      <c r="C125" s="532"/>
      <c r="D125" s="535"/>
      <c r="E125" s="535"/>
      <c r="F125" s="100" t="b">
        <v>0</v>
      </c>
      <c r="G125" t="s">
        <v>2</v>
      </c>
      <c r="H125" s="3" t="s">
        <v>112</v>
      </c>
      <c r="I125" s="538"/>
      <c r="J125" s="538"/>
      <c r="K125" s="526"/>
    </row>
    <row r="126" spans="1:11" ht="3.75" customHeight="1" x14ac:dyDescent="0.35">
      <c r="A126" s="529"/>
      <c r="B126" s="203">
        <f t="shared" si="14"/>
        <v>154</v>
      </c>
      <c r="C126" s="532"/>
      <c r="D126" s="535"/>
      <c r="E126" s="535"/>
      <c r="I126" s="538"/>
      <c r="J126" s="538"/>
      <c r="K126" s="526"/>
    </row>
    <row r="127" spans="1:11" x14ac:dyDescent="0.35">
      <c r="A127" s="529"/>
      <c r="B127" s="203">
        <f t="shared" si="14"/>
        <v>155</v>
      </c>
      <c r="C127" s="532"/>
      <c r="D127" s="535"/>
      <c r="E127" s="535"/>
      <c r="F127" s="101" t="b">
        <v>0</v>
      </c>
      <c r="G127" s="44" t="s">
        <v>113</v>
      </c>
      <c r="H127" s="9" t="s">
        <v>114</v>
      </c>
      <c r="I127" s="538"/>
      <c r="J127" s="538"/>
      <c r="K127" s="526"/>
    </row>
    <row r="128" spans="1:11" ht="3.75" customHeight="1" x14ac:dyDescent="0.35">
      <c r="A128" s="529"/>
      <c r="B128" s="203">
        <f t="shared" si="14"/>
        <v>156</v>
      </c>
      <c r="C128" s="532"/>
      <c r="D128" s="535"/>
      <c r="E128" s="535"/>
      <c r="I128" s="538"/>
      <c r="J128" s="538"/>
      <c r="K128" s="526"/>
    </row>
    <row r="129" spans="1:11" ht="29.5" thickBot="1" x14ac:dyDescent="0.4">
      <c r="A129" s="530"/>
      <c r="B129" s="203">
        <f t="shared" si="14"/>
        <v>157</v>
      </c>
      <c r="C129" s="533"/>
      <c r="D129" s="536"/>
      <c r="E129" s="536"/>
      <c r="F129" s="102" t="b">
        <v>0</v>
      </c>
      <c r="G129" s="103" t="s">
        <v>76</v>
      </c>
      <c r="H129" s="55" t="s">
        <v>115</v>
      </c>
      <c r="I129" s="539"/>
      <c r="J129" s="539"/>
      <c r="K129" s="527"/>
    </row>
    <row r="130" spans="1:11" ht="4.5" customHeight="1" thickBot="1" x14ac:dyDescent="0.4">
      <c r="C130" s="200"/>
      <c r="D130" s="139"/>
      <c r="E130" s="139"/>
      <c r="F130" s="30"/>
      <c r="G130" s="30"/>
      <c r="H130" s="33"/>
      <c r="I130" s="200"/>
      <c r="J130" s="200"/>
      <c r="K130" s="32"/>
    </row>
    <row r="131" spans="1:11" ht="15" customHeight="1" x14ac:dyDescent="0.35">
      <c r="A131" s="528">
        <f>A123+1</f>
        <v>16</v>
      </c>
      <c r="B131" s="202">
        <f>B123+10</f>
        <v>161</v>
      </c>
      <c r="C131" s="531"/>
      <c r="D131" s="534"/>
      <c r="E131" s="534"/>
      <c r="F131" s="99" t="b">
        <v>0</v>
      </c>
      <c r="G131" s="62" t="s">
        <v>110</v>
      </c>
      <c r="H131" s="75" t="s">
        <v>111</v>
      </c>
      <c r="I131" s="537"/>
      <c r="J131" s="537"/>
      <c r="K131" s="525"/>
    </row>
    <row r="132" spans="1:11" ht="3.75" customHeight="1" x14ac:dyDescent="0.35">
      <c r="A132" s="529"/>
      <c r="B132" s="203">
        <f t="shared" ref="B132:B137" si="15">B131+1</f>
        <v>162</v>
      </c>
      <c r="C132" s="532"/>
      <c r="D132" s="535"/>
      <c r="E132" s="535"/>
      <c r="I132" s="538"/>
      <c r="J132" s="538"/>
      <c r="K132" s="526"/>
    </row>
    <row r="133" spans="1:11" x14ac:dyDescent="0.35">
      <c r="A133" s="529"/>
      <c r="B133" s="203">
        <f t="shared" si="15"/>
        <v>163</v>
      </c>
      <c r="C133" s="532"/>
      <c r="D133" s="535"/>
      <c r="E133" s="535"/>
      <c r="F133" s="100" t="b">
        <v>0</v>
      </c>
      <c r="G133" t="s">
        <v>2</v>
      </c>
      <c r="H133" s="3" t="s">
        <v>112</v>
      </c>
      <c r="I133" s="538"/>
      <c r="J133" s="538"/>
      <c r="K133" s="526"/>
    </row>
    <row r="134" spans="1:11" ht="3.75" customHeight="1" x14ac:dyDescent="0.35">
      <c r="A134" s="529"/>
      <c r="B134" s="203">
        <f t="shared" si="15"/>
        <v>164</v>
      </c>
      <c r="C134" s="532"/>
      <c r="D134" s="535"/>
      <c r="E134" s="535"/>
      <c r="I134" s="538"/>
      <c r="J134" s="538"/>
      <c r="K134" s="526"/>
    </row>
    <row r="135" spans="1:11" x14ac:dyDescent="0.35">
      <c r="A135" s="529"/>
      <c r="B135" s="203">
        <f t="shared" si="15"/>
        <v>165</v>
      </c>
      <c r="C135" s="532"/>
      <c r="D135" s="535"/>
      <c r="E135" s="535"/>
      <c r="F135" s="101" t="b">
        <v>0</v>
      </c>
      <c r="G135" s="44" t="s">
        <v>113</v>
      </c>
      <c r="H135" s="9" t="s">
        <v>114</v>
      </c>
      <c r="I135" s="538"/>
      <c r="J135" s="538"/>
      <c r="K135" s="526"/>
    </row>
    <row r="136" spans="1:11" ht="3.75" customHeight="1" x14ac:dyDescent="0.35">
      <c r="A136" s="529"/>
      <c r="B136" s="203">
        <f t="shared" si="15"/>
        <v>166</v>
      </c>
      <c r="C136" s="532"/>
      <c r="D136" s="535"/>
      <c r="E136" s="535"/>
      <c r="I136" s="538"/>
      <c r="J136" s="538"/>
      <c r="K136" s="526"/>
    </row>
    <row r="137" spans="1:11" ht="29.5" thickBot="1" x14ac:dyDescent="0.4">
      <c r="A137" s="530"/>
      <c r="B137" s="203">
        <f t="shared" si="15"/>
        <v>167</v>
      </c>
      <c r="C137" s="533"/>
      <c r="D137" s="536"/>
      <c r="E137" s="536"/>
      <c r="F137" s="102" t="b">
        <v>0</v>
      </c>
      <c r="G137" s="103" t="s">
        <v>76</v>
      </c>
      <c r="H137" s="55" t="s">
        <v>115</v>
      </c>
      <c r="I137" s="539"/>
      <c r="J137" s="539"/>
      <c r="K137" s="527"/>
    </row>
    <row r="138" spans="1:11" ht="4.5" customHeight="1" thickBot="1" x14ac:dyDescent="0.4">
      <c r="C138" s="200"/>
      <c r="D138" s="139"/>
      <c r="E138" s="139"/>
      <c r="F138" s="30"/>
      <c r="G138" s="30"/>
      <c r="H138" s="33"/>
      <c r="I138" s="200"/>
      <c r="J138" s="200"/>
      <c r="K138" s="32"/>
    </row>
    <row r="139" spans="1:11" ht="15" customHeight="1" x14ac:dyDescent="0.35">
      <c r="A139" s="528">
        <f>A131+1</f>
        <v>17</v>
      </c>
      <c r="B139" s="202">
        <f>B131+10</f>
        <v>171</v>
      </c>
      <c r="C139" s="531"/>
      <c r="D139" s="534"/>
      <c r="E139" s="534"/>
      <c r="F139" s="99" t="b">
        <v>0</v>
      </c>
      <c r="G139" s="62" t="s">
        <v>110</v>
      </c>
      <c r="H139" s="75" t="s">
        <v>111</v>
      </c>
      <c r="I139" s="537"/>
      <c r="J139" s="537"/>
      <c r="K139" s="525"/>
    </row>
    <row r="140" spans="1:11" ht="3.75" customHeight="1" x14ac:dyDescent="0.35">
      <c r="A140" s="529"/>
      <c r="B140" s="203">
        <f t="shared" ref="B140:B145" si="16">B139+1</f>
        <v>172</v>
      </c>
      <c r="C140" s="532"/>
      <c r="D140" s="535"/>
      <c r="E140" s="535"/>
      <c r="I140" s="538"/>
      <c r="J140" s="538"/>
      <c r="K140" s="526"/>
    </row>
    <row r="141" spans="1:11" x14ac:dyDescent="0.35">
      <c r="A141" s="529"/>
      <c r="B141" s="203">
        <f t="shared" si="16"/>
        <v>173</v>
      </c>
      <c r="C141" s="532"/>
      <c r="D141" s="535"/>
      <c r="E141" s="535"/>
      <c r="F141" s="100" t="b">
        <v>0</v>
      </c>
      <c r="G141" t="s">
        <v>2</v>
      </c>
      <c r="H141" s="3" t="s">
        <v>112</v>
      </c>
      <c r="I141" s="538"/>
      <c r="J141" s="538"/>
      <c r="K141" s="526"/>
    </row>
    <row r="142" spans="1:11" ht="3.75" customHeight="1" x14ac:dyDescent="0.35">
      <c r="A142" s="529"/>
      <c r="B142" s="203">
        <f t="shared" si="16"/>
        <v>174</v>
      </c>
      <c r="C142" s="532"/>
      <c r="D142" s="535"/>
      <c r="E142" s="535"/>
      <c r="I142" s="538"/>
      <c r="J142" s="538"/>
      <c r="K142" s="526"/>
    </row>
    <row r="143" spans="1:11" x14ac:dyDescent="0.35">
      <c r="A143" s="529"/>
      <c r="B143" s="203">
        <f t="shared" si="16"/>
        <v>175</v>
      </c>
      <c r="C143" s="532"/>
      <c r="D143" s="535"/>
      <c r="E143" s="535"/>
      <c r="F143" s="101" t="b">
        <v>0</v>
      </c>
      <c r="G143" s="44" t="s">
        <v>113</v>
      </c>
      <c r="H143" s="9" t="s">
        <v>114</v>
      </c>
      <c r="I143" s="538"/>
      <c r="J143" s="538"/>
      <c r="K143" s="526"/>
    </row>
    <row r="144" spans="1:11" ht="3.75" customHeight="1" x14ac:dyDescent="0.35">
      <c r="A144" s="529"/>
      <c r="B144" s="203">
        <f t="shared" si="16"/>
        <v>176</v>
      </c>
      <c r="C144" s="532"/>
      <c r="D144" s="535"/>
      <c r="E144" s="535"/>
      <c r="I144" s="538"/>
      <c r="J144" s="538"/>
      <c r="K144" s="526"/>
    </row>
    <row r="145" spans="1:11" ht="29.5" thickBot="1" x14ac:dyDescent="0.4">
      <c r="A145" s="530"/>
      <c r="B145" s="203">
        <f t="shared" si="16"/>
        <v>177</v>
      </c>
      <c r="C145" s="533"/>
      <c r="D145" s="536"/>
      <c r="E145" s="536"/>
      <c r="F145" s="102" t="b">
        <v>0</v>
      </c>
      <c r="G145" s="103" t="s">
        <v>76</v>
      </c>
      <c r="H145" s="55" t="s">
        <v>115</v>
      </c>
      <c r="I145" s="539"/>
      <c r="J145" s="539"/>
      <c r="K145" s="527"/>
    </row>
    <row r="146" spans="1:11" ht="4.5" customHeight="1" thickBot="1" x14ac:dyDescent="0.4">
      <c r="C146" s="200"/>
      <c r="D146" s="139"/>
      <c r="E146" s="139"/>
      <c r="F146" s="30"/>
      <c r="G146" s="30"/>
      <c r="H146" s="33"/>
      <c r="I146" s="200"/>
      <c r="J146" s="200"/>
      <c r="K146" s="32"/>
    </row>
    <row r="147" spans="1:11" ht="15" customHeight="1" x14ac:dyDescent="0.35">
      <c r="A147" s="528">
        <f>A139+1</f>
        <v>18</v>
      </c>
      <c r="B147" s="202">
        <f>B139+10</f>
        <v>181</v>
      </c>
      <c r="C147" s="531"/>
      <c r="D147" s="534"/>
      <c r="E147" s="534"/>
      <c r="F147" s="99" t="b">
        <v>0</v>
      </c>
      <c r="G147" s="62" t="s">
        <v>110</v>
      </c>
      <c r="H147" s="75" t="s">
        <v>111</v>
      </c>
      <c r="I147" s="537"/>
      <c r="J147" s="537"/>
      <c r="K147" s="525"/>
    </row>
    <row r="148" spans="1:11" ht="3.75" customHeight="1" x14ac:dyDescent="0.35">
      <c r="A148" s="529"/>
      <c r="B148" s="203">
        <f t="shared" ref="B148:B153" si="17">B147+1</f>
        <v>182</v>
      </c>
      <c r="C148" s="532"/>
      <c r="D148" s="535"/>
      <c r="E148" s="535"/>
      <c r="I148" s="538"/>
      <c r="J148" s="538"/>
      <c r="K148" s="526"/>
    </row>
    <row r="149" spans="1:11" x14ac:dyDescent="0.35">
      <c r="A149" s="529"/>
      <c r="B149" s="203">
        <f t="shared" si="17"/>
        <v>183</v>
      </c>
      <c r="C149" s="532"/>
      <c r="D149" s="535"/>
      <c r="E149" s="535"/>
      <c r="F149" s="100" t="b">
        <v>0</v>
      </c>
      <c r="G149" t="s">
        <v>2</v>
      </c>
      <c r="H149" s="3" t="s">
        <v>112</v>
      </c>
      <c r="I149" s="538"/>
      <c r="J149" s="538"/>
      <c r="K149" s="526"/>
    </row>
    <row r="150" spans="1:11" ht="3.75" customHeight="1" x14ac:dyDescent="0.35">
      <c r="A150" s="529"/>
      <c r="B150" s="203">
        <f t="shared" si="17"/>
        <v>184</v>
      </c>
      <c r="C150" s="532"/>
      <c r="D150" s="535"/>
      <c r="E150" s="535"/>
      <c r="I150" s="538"/>
      <c r="J150" s="538"/>
      <c r="K150" s="526"/>
    </row>
    <row r="151" spans="1:11" x14ac:dyDescent="0.35">
      <c r="A151" s="529"/>
      <c r="B151" s="203">
        <f t="shared" si="17"/>
        <v>185</v>
      </c>
      <c r="C151" s="532"/>
      <c r="D151" s="535"/>
      <c r="E151" s="535"/>
      <c r="F151" s="101" t="b">
        <v>0</v>
      </c>
      <c r="G151" s="44" t="s">
        <v>113</v>
      </c>
      <c r="H151" s="9" t="s">
        <v>114</v>
      </c>
      <c r="I151" s="538"/>
      <c r="J151" s="538"/>
      <c r="K151" s="526"/>
    </row>
    <row r="152" spans="1:11" ht="3.75" customHeight="1" x14ac:dyDescent="0.35">
      <c r="A152" s="529"/>
      <c r="B152" s="203">
        <f t="shared" si="17"/>
        <v>186</v>
      </c>
      <c r="C152" s="532"/>
      <c r="D152" s="535"/>
      <c r="E152" s="535"/>
      <c r="I152" s="538"/>
      <c r="J152" s="538"/>
      <c r="K152" s="526"/>
    </row>
    <row r="153" spans="1:11" ht="29.5" thickBot="1" x14ac:dyDescent="0.4">
      <c r="A153" s="530"/>
      <c r="B153" s="203">
        <f t="shared" si="17"/>
        <v>187</v>
      </c>
      <c r="C153" s="533"/>
      <c r="D153" s="536"/>
      <c r="E153" s="536"/>
      <c r="F153" s="102" t="b">
        <v>0</v>
      </c>
      <c r="G153" s="103" t="s">
        <v>76</v>
      </c>
      <c r="H153" s="55" t="s">
        <v>115</v>
      </c>
      <c r="I153" s="539"/>
      <c r="J153" s="539"/>
      <c r="K153" s="527"/>
    </row>
    <row r="154" spans="1:11" ht="4.5" customHeight="1" thickBot="1" x14ac:dyDescent="0.4">
      <c r="C154" s="200"/>
      <c r="D154" s="139"/>
      <c r="E154" s="139"/>
      <c r="F154" s="30"/>
      <c r="G154" s="30"/>
      <c r="H154" s="33"/>
      <c r="I154" s="200"/>
      <c r="J154" s="200"/>
      <c r="K154" s="32"/>
    </row>
    <row r="155" spans="1:11" ht="15" customHeight="1" x14ac:dyDescent="0.35">
      <c r="A155" s="528">
        <f>A147+1</f>
        <v>19</v>
      </c>
      <c r="B155" s="202">
        <f>B147+10</f>
        <v>191</v>
      </c>
      <c r="C155" s="531"/>
      <c r="D155" s="534"/>
      <c r="E155" s="534"/>
      <c r="F155" s="99" t="b">
        <v>0</v>
      </c>
      <c r="G155" s="62" t="s">
        <v>110</v>
      </c>
      <c r="H155" s="75" t="s">
        <v>111</v>
      </c>
      <c r="I155" s="537"/>
      <c r="J155" s="537"/>
      <c r="K155" s="525"/>
    </row>
    <row r="156" spans="1:11" ht="3.75" customHeight="1" x14ac:dyDescent="0.35">
      <c r="A156" s="529"/>
      <c r="B156" s="203">
        <f t="shared" ref="B156:B161" si="18">B155+1</f>
        <v>192</v>
      </c>
      <c r="C156" s="532"/>
      <c r="D156" s="535"/>
      <c r="E156" s="535"/>
      <c r="I156" s="538"/>
      <c r="J156" s="538"/>
      <c r="K156" s="526"/>
    </row>
    <row r="157" spans="1:11" x14ac:dyDescent="0.35">
      <c r="A157" s="529"/>
      <c r="B157" s="203">
        <f t="shared" si="18"/>
        <v>193</v>
      </c>
      <c r="C157" s="532"/>
      <c r="D157" s="535"/>
      <c r="E157" s="535"/>
      <c r="F157" s="100" t="b">
        <v>0</v>
      </c>
      <c r="G157" t="s">
        <v>2</v>
      </c>
      <c r="H157" s="3" t="s">
        <v>112</v>
      </c>
      <c r="I157" s="538"/>
      <c r="J157" s="538"/>
      <c r="K157" s="526"/>
    </row>
    <row r="158" spans="1:11" ht="3.75" customHeight="1" x14ac:dyDescent="0.35">
      <c r="A158" s="529"/>
      <c r="B158" s="203">
        <f t="shared" si="18"/>
        <v>194</v>
      </c>
      <c r="C158" s="532"/>
      <c r="D158" s="535"/>
      <c r="E158" s="535"/>
      <c r="I158" s="538"/>
      <c r="J158" s="538"/>
      <c r="K158" s="526"/>
    </row>
    <row r="159" spans="1:11" x14ac:dyDescent="0.35">
      <c r="A159" s="529"/>
      <c r="B159" s="203">
        <f t="shared" si="18"/>
        <v>195</v>
      </c>
      <c r="C159" s="532"/>
      <c r="D159" s="535"/>
      <c r="E159" s="535"/>
      <c r="F159" s="101" t="b">
        <v>0</v>
      </c>
      <c r="G159" s="44" t="s">
        <v>113</v>
      </c>
      <c r="H159" s="9" t="s">
        <v>114</v>
      </c>
      <c r="I159" s="538"/>
      <c r="J159" s="538"/>
      <c r="K159" s="526"/>
    </row>
    <row r="160" spans="1:11" ht="3.75" customHeight="1" x14ac:dyDescent="0.35">
      <c r="A160" s="529"/>
      <c r="B160" s="203">
        <f t="shared" si="18"/>
        <v>196</v>
      </c>
      <c r="C160" s="532"/>
      <c r="D160" s="535"/>
      <c r="E160" s="535"/>
      <c r="I160" s="538"/>
      <c r="J160" s="538"/>
      <c r="K160" s="526"/>
    </row>
    <row r="161" spans="1:11" ht="29.5" thickBot="1" x14ac:dyDescent="0.4">
      <c r="A161" s="530"/>
      <c r="B161" s="203">
        <f t="shared" si="18"/>
        <v>197</v>
      </c>
      <c r="C161" s="533"/>
      <c r="D161" s="536"/>
      <c r="E161" s="536"/>
      <c r="F161" s="102" t="b">
        <v>0</v>
      </c>
      <c r="G161" s="103" t="s">
        <v>76</v>
      </c>
      <c r="H161" s="55" t="s">
        <v>115</v>
      </c>
      <c r="I161" s="539"/>
      <c r="J161" s="539"/>
      <c r="K161" s="527"/>
    </row>
    <row r="162" spans="1:11" ht="4.5" customHeight="1" thickBot="1" x14ac:dyDescent="0.4">
      <c r="C162" s="200"/>
      <c r="D162" s="139"/>
      <c r="E162" s="139"/>
      <c r="F162" s="30"/>
      <c r="G162" s="30"/>
      <c r="H162" s="33"/>
      <c r="I162" s="200"/>
      <c r="J162" s="200"/>
      <c r="K162" s="32"/>
    </row>
    <row r="163" spans="1:11" ht="15" customHeight="1" x14ac:dyDescent="0.35">
      <c r="A163" s="528">
        <f>A155+1</f>
        <v>20</v>
      </c>
      <c r="B163" s="202">
        <f>B155+10</f>
        <v>201</v>
      </c>
      <c r="C163" s="531"/>
      <c r="D163" s="534"/>
      <c r="E163" s="534"/>
      <c r="F163" s="99" t="b">
        <v>0</v>
      </c>
      <c r="G163" s="62" t="s">
        <v>110</v>
      </c>
      <c r="H163" s="75" t="s">
        <v>111</v>
      </c>
      <c r="I163" s="537"/>
      <c r="J163" s="537"/>
      <c r="K163" s="525"/>
    </row>
    <row r="164" spans="1:11" ht="3.75" customHeight="1" x14ac:dyDescent="0.35">
      <c r="A164" s="529"/>
      <c r="B164" s="203">
        <f t="shared" ref="B164:B169" si="19">B163+1</f>
        <v>202</v>
      </c>
      <c r="C164" s="532"/>
      <c r="D164" s="535"/>
      <c r="E164" s="535"/>
      <c r="I164" s="538"/>
      <c r="J164" s="538"/>
      <c r="K164" s="526"/>
    </row>
    <row r="165" spans="1:11" x14ac:dyDescent="0.35">
      <c r="A165" s="529"/>
      <c r="B165" s="203">
        <f t="shared" si="19"/>
        <v>203</v>
      </c>
      <c r="C165" s="532"/>
      <c r="D165" s="535"/>
      <c r="E165" s="535"/>
      <c r="F165" s="100" t="b">
        <v>0</v>
      </c>
      <c r="G165" t="s">
        <v>2</v>
      </c>
      <c r="H165" s="3" t="s">
        <v>112</v>
      </c>
      <c r="I165" s="538"/>
      <c r="J165" s="538"/>
      <c r="K165" s="526"/>
    </row>
    <row r="166" spans="1:11" ht="3.75" customHeight="1" x14ac:dyDescent="0.35">
      <c r="A166" s="529"/>
      <c r="B166" s="203">
        <f t="shared" si="19"/>
        <v>204</v>
      </c>
      <c r="C166" s="532"/>
      <c r="D166" s="535"/>
      <c r="E166" s="535"/>
      <c r="I166" s="538"/>
      <c r="J166" s="538"/>
      <c r="K166" s="526"/>
    </row>
    <row r="167" spans="1:11" x14ac:dyDescent="0.35">
      <c r="A167" s="529"/>
      <c r="B167" s="203">
        <f t="shared" si="19"/>
        <v>205</v>
      </c>
      <c r="C167" s="532"/>
      <c r="D167" s="535"/>
      <c r="E167" s="535"/>
      <c r="F167" s="101" t="b">
        <v>0</v>
      </c>
      <c r="G167" s="44" t="s">
        <v>113</v>
      </c>
      <c r="H167" s="9" t="s">
        <v>114</v>
      </c>
      <c r="I167" s="538"/>
      <c r="J167" s="538"/>
      <c r="K167" s="526"/>
    </row>
    <row r="168" spans="1:11" ht="3.75" customHeight="1" x14ac:dyDescent="0.35">
      <c r="A168" s="529"/>
      <c r="B168" s="203">
        <f t="shared" si="19"/>
        <v>206</v>
      </c>
      <c r="C168" s="532"/>
      <c r="D168" s="535"/>
      <c r="E168" s="535"/>
      <c r="I168" s="538"/>
      <c r="J168" s="538"/>
      <c r="K168" s="526"/>
    </row>
    <row r="169" spans="1:11" ht="29.5" thickBot="1" x14ac:dyDescent="0.4">
      <c r="A169" s="530"/>
      <c r="B169" s="203">
        <f t="shared" si="19"/>
        <v>207</v>
      </c>
      <c r="C169" s="533"/>
      <c r="D169" s="536"/>
      <c r="E169" s="536"/>
      <c r="F169" s="102" t="b">
        <v>0</v>
      </c>
      <c r="G169" s="103" t="s">
        <v>76</v>
      </c>
      <c r="H169" s="55" t="s">
        <v>115</v>
      </c>
      <c r="I169" s="539"/>
      <c r="J169" s="539"/>
      <c r="K169" s="527"/>
    </row>
    <row r="170" spans="1:11" x14ac:dyDescent="0.35">
      <c r="C170" s="201"/>
      <c r="D170" s="32"/>
      <c r="E170" s="32"/>
      <c r="F170" s="30"/>
      <c r="G170" s="30"/>
      <c r="H170" s="33"/>
      <c r="I170" s="201"/>
      <c r="J170" s="201"/>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398" priority="285">
      <formula>AND($F13=TRUE,F11=TRUE)</formula>
    </cfRule>
  </conditionalFormatting>
  <conditionalFormatting sqref="F23">
    <cfRule type="expression" dxfId="3397" priority="379">
      <formula>AND($F21=TRUE,F19=TRUE)</formula>
    </cfRule>
  </conditionalFormatting>
  <conditionalFormatting sqref="F31">
    <cfRule type="expression" dxfId="3396" priority="270">
      <formula>AND($F29=TRUE,F27=TRUE)</formula>
    </cfRule>
  </conditionalFormatting>
  <conditionalFormatting sqref="F39">
    <cfRule type="expression" dxfId="3395" priority="255">
      <formula>AND($F37=TRUE,F35=TRUE)</formula>
    </cfRule>
  </conditionalFormatting>
  <conditionalFormatting sqref="F47">
    <cfRule type="expression" dxfId="3394" priority="240">
      <formula>AND($F45=TRUE,F43=TRUE)</formula>
    </cfRule>
  </conditionalFormatting>
  <conditionalFormatting sqref="F55">
    <cfRule type="expression" dxfId="3393" priority="225">
      <formula>AND($F53=TRUE,F51=TRUE)</formula>
    </cfRule>
  </conditionalFormatting>
  <conditionalFormatting sqref="F63">
    <cfRule type="expression" dxfId="3392" priority="210">
      <formula>AND($F61=TRUE,F59=TRUE)</formula>
    </cfRule>
  </conditionalFormatting>
  <conditionalFormatting sqref="F71">
    <cfRule type="expression" dxfId="3391" priority="195">
      <formula>AND($F69=TRUE,F67=TRUE)</formula>
    </cfRule>
  </conditionalFormatting>
  <conditionalFormatting sqref="F79">
    <cfRule type="expression" dxfId="3390" priority="180">
      <formula>AND($F77=TRUE,F75=TRUE)</formula>
    </cfRule>
  </conditionalFormatting>
  <conditionalFormatting sqref="F87">
    <cfRule type="expression" dxfId="3389" priority="165">
      <formula>AND($F85=TRUE,F83=TRUE)</formula>
    </cfRule>
  </conditionalFormatting>
  <conditionalFormatting sqref="F95">
    <cfRule type="expression" dxfId="3388" priority="150">
      <formula>AND($F93=TRUE,F91=TRUE)</formula>
    </cfRule>
  </conditionalFormatting>
  <conditionalFormatting sqref="F103">
    <cfRule type="expression" dxfId="3387" priority="135">
      <formula>AND($F101=TRUE,F99=TRUE)</formula>
    </cfRule>
  </conditionalFormatting>
  <conditionalFormatting sqref="F111">
    <cfRule type="expression" dxfId="3386" priority="120">
      <formula>AND($F109=TRUE,F107=TRUE)</formula>
    </cfRule>
  </conditionalFormatting>
  <conditionalFormatting sqref="F119">
    <cfRule type="expression" dxfId="3385" priority="105">
      <formula>AND($F117=TRUE,F115=TRUE)</formula>
    </cfRule>
  </conditionalFormatting>
  <conditionalFormatting sqref="F127">
    <cfRule type="expression" dxfId="3384" priority="90">
      <formula>AND($F125=TRUE,F123=TRUE)</formula>
    </cfRule>
  </conditionalFormatting>
  <conditionalFormatting sqref="F135">
    <cfRule type="expression" dxfId="3383" priority="75">
      <formula>AND($F133=TRUE,F131=TRUE)</formula>
    </cfRule>
  </conditionalFormatting>
  <conditionalFormatting sqref="F143">
    <cfRule type="expression" dxfId="3382" priority="60">
      <formula>AND($F141=TRUE,F139=TRUE)</formula>
    </cfRule>
  </conditionalFormatting>
  <conditionalFormatting sqref="F151">
    <cfRule type="expression" dxfId="3381" priority="45">
      <formula>AND($F149=TRUE,F147=TRUE)</formula>
    </cfRule>
  </conditionalFormatting>
  <conditionalFormatting sqref="F159">
    <cfRule type="expression" dxfId="3380" priority="30">
      <formula>AND($F157=TRUE,F155=TRUE)</formula>
    </cfRule>
  </conditionalFormatting>
  <conditionalFormatting sqref="F167">
    <cfRule type="expression" dxfId="3379" priority="15">
      <formula>AND($F165=TRUE,F163=TRUE)</formula>
    </cfRule>
  </conditionalFormatting>
  <conditionalFormatting sqref="G15">
    <cfRule type="expression" dxfId="3298" priority="284">
      <formula>AND($F13=TRUE,F11=TRUE)</formula>
    </cfRule>
  </conditionalFormatting>
  <conditionalFormatting sqref="G23">
    <cfRule type="expression" dxfId="3297" priority="378">
      <formula>AND($F21=TRUE,F19=TRUE)</formula>
    </cfRule>
  </conditionalFormatting>
  <conditionalFormatting sqref="G31">
    <cfRule type="expression" dxfId="3296" priority="269">
      <formula>AND($F29=TRUE,F27=TRUE)</formula>
    </cfRule>
  </conditionalFormatting>
  <conditionalFormatting sqref="G39">
    <cfRule type="expression" dxfId="3295" priority="254">
      <formula>AND($F37=TRUE,F35=TRUE)</formula>
    </cfRule>
  </conditionalFormatting>
  <conditionalFormatting sqref="G47">
    <cfRule type="expression" dxfId="3294" priority="239">
      <formula>AND($F45=TRUE,F43=TRUE)</formula>
    </cfRule>
  </conditionalFormatting>
  <conditionalFormatting sqref="G55">
    <cfRule type="expression" dxfId="3293" priority="224">
      <formula>AND($F53=TRUE,F51=TRUE)</formula>
    </cfRule>
  </conditionalFormatting>
  <conditionalFormatting sqref="G63">
    <cfRule type="expression" dxfId="3292" priority="209">
      <formula>AND($F61=TRUE,F59=TRUE)</formula>
    </cfRule>
  </conditionalFormatting>
  <conditionalFormatting sqref="G71">
    <cfRule type="expression" dxfId="3291" priority="194">
      <formula>AND($F69=TRUE,F67=TRUE)</formula>
    </cfRule>
  </conditionalFormatting>
  <conditionalFormatting sqref="G79">
    <cfRule type="expression" dxfId="3290" priority="179">
      <formula>AND($F77=TRUE,F75=TRUE)</formula>
    </cfRule>
  </conditionalFormatting>
  <conditionalFormatting sqref="G87">
    <cfRule type="expression" dxfId="3289" priority="164">
      <formula>AND($F85=TRUE,F83=TRUE)</formula>
    </cfRule>
  </conditionalFormatting>
  <conditionalFormatting sqref="G95">
    <cfRule type="expression" dxfId="3288" priority="149">
      <formula>AND($F93=TRUE,F91=TRUE)</formula>
    </cfRule>
  </conditionalFormatting>
  <conditionalFormatting sqref="G103">
    <cfRule type="expression" dxfId="3287" priority="134">
      <formula>AND($F101=TRUE,F99=TRUE)</formula>
    </cfRule>
  </conditionalFormatting>
  <conditionalFormatting sqref="G111">
    <cfRule type="expression" dxfId="3286" priority="119">
      <formula>AND($F109=TRUE,F107=TRUE)</formula>
    </cfRule>
  </conditionalFormatting>
  <conditionalFormatting sqref="G119">
    <cfRule type="expression" dxfId="3285" priority="104">
      <formula>AND($F117=TRUE,F115=TRUE)</formula>
    </cfRule>
  </conditionalFormatting>
  <conditionalFormatting sqref="G127">
    <cfRule type="expression" dxfId="3284" priority="89">
      <formula>AND($F125=TRUE,F123=TRUE)</formula>
    </cfRule>
  </conditionalFormatting>
  <conditionalFormatting sqref="G135">
    <cfRule type="expression" dxfId="3283" priority="74">
      <formula>AND($F133=TRUE,F131=TRUE)</formula>
    </cfRule>
  </conditionalFormatting>
  <conditionalFormatting sqref="G143">
    <cfRule type="expression" dxfId="3282" priority="59">
      <formula>AND($F141=TRUE,F139=TRUE)</formula>
    </cfRule>
  </conditionalFormatting>
  <conditionalFormatting sqref="G151">
    <cfRule type="expression" dxfId="3281" priority="44">
      <formula>AND($F149=TRUE,F147=TRUE)</formula>
    </cfRule>
  </conditionalFormatting>
  <conditionalFormatting sqref="G159">
    <cfRule type="expression" dxfId="3280" priority="29">
      <formula>AND($F157=TRUE,F155=TRUE)</formula>
    </cfRule>
  </conditionalFormatting>
  <conditionalFormatting sqref="G167">
    <cfRule type="expression" dxfId="3279" priority="14">
      <formula>AND($F165=TRUE,F163=TRUE)</formula>
    </cfRule>
  </conditionalFormatting>
  <conditionalFormatting sqref="H15">
    <cfRule type="expression" dxfId="3276" priority="283">
      <formula>AND($F13=TRUE,F11=TRUE)</formula>
    </cfRule>
  </conditionalFormatting>
  <conditionalFormatting sqref="H23">
    <cfRule type="expression" dxfId="3272" priority="377">
      <formula>AND($F21=TRUE,F19=TRUE)</formula>
    </cfRule>
  </conditionalFormatting>
  <conditionalFormatting sqref="H31">
    <cfRule type="expression" dxfId="3269" priority="268">
      <formula>AND($F29=TRUE,F27=TRUE)</formula>
    </cfRule>
  </conditionalFormatting>
  <conditionalFormatting sqref="H39">
    <cfRule type="expression" dxfId="3264" priority="253">
      <formula>AND($F37=TRUE,F35=TRUE)</formula>
    </cfRule>
  </conditionalFormatting>
  <conditionalFormatting sqref="H47">
    <cfRule type="expression" dxfId="3260" priority="238">
      <formula>AND($F45=TRUE,F43=TRUE)</formula>
    </cfRule>
  </conditionalFormatting>
  <conditionalFormatting sqref="H55">
    <cfRule type="expression" dxfId="3256" priority="223">
      <formula>AND($F53=TRUE,F51=TRUE)</formula>
    </cfRule>
  </conditionalFormatting>
  <conditionalFormatting sqref="H63">
    <cfRule type="expression" dxfId="3253" priority="208">
      <formula>AND($F61=TRUE,F59=TRUE)</formula>
    </cfRule>
  </conditionalFormatting>
  <conditionalFormatting sqref="H71">
    <cfRule type="expression" dxfId="3249" priority="193">
      <formula>AND($F69=TRUE,F67=TRUE)</formula>
    </cfRule>
  </conditionalFormatting>
  <conditionalFormatting sqref="H79">
    <cfRule type="expression" dxfId="3245" priority="178">
      <formula>AND($F77=TRUE,F75=TRUE)</formula>
    </cfRule>
  </conditionalFormatting>
  <conditionalFormatting sqref="H87">
    <cfRule type="expression" dxfId="3241" priority="163">
      <formula>AND($F85=TRUE,F83=TRUE)</formula>
    </cfRule>
  </conditionalFormatting>
  <conditionalFormatting sqref="H95">
    <cfRule type="expression" dxfId="3236" priority="148">
      <formula>AND($F93=TRUE,F91=TRUE)</formula>
    </cfRule>
  </conditionalFormatting>
  <conditionalFormatting sqref="H103">
    <cfRule type="expression" dxfId="3233" priority="133">
      <formula>AND($F101=TRUE,F99=TRUE)</formula>
    </cfRule>
  </conditionalFormatting>
  <conditionalFormatting sqref="H111">
    <cfRule type="expression" dxfId="3228" priority="118">
      <formula>AND($F109=TRUE,F107=TRUE)</formula>
    </cfRule>
  </conditionalFormatting>
  <conditionalFormatting sqref="H119">
    <cfRule type="expression" dxfId="3225" priority="103">
      <formula>AND($F117=TRUE,F115=TRUE)</formula>
    </cfRule>
  </conditionalFormatting>
  <conditionalFormatting sqref="H127">
    <cfRule type="expression" dxfId="3221" priority="88">
      <formula>AND($F125=TRUE,F123=TRUE)</formula>
    </cfRule>
  </conditionalFormatting>
  <conditionalFormatting sqref="H135">
    <cfRule type="expression" dxfId="3216" priority="73">
      <formula>AND($F133=TRUE,F131=TRUE)</formula>
    </cfRule>
  </conditionalFormatting>
  <conditionalFormatting sqref="H143">
    <cfRule type="expression" dxfId="3213" priority="58">
      <formula>AND($F141=TRUE,F139=TRUE)</formula>
    </cfRule>
  </conditionalFormatting>
  <conditionalFormatting sqref="H151">
    <cfRule type="expression" dxfId="3209" priority="43">
      <formula>AND($F149=TRUE,F147=TRUE)</formula>
    </cfRule>
  </conditionalFormatting>
  <conditionalFormatting sqref="H159">
    <cfRule type="expression" dxfId="3205" priority="28">
      <formula>AND($F157=TRUE,F155=TRUE)</formula>
    </cfRule>
  </conditionalFormatting>
  <conditionalFormatting sqref="H167">
    <cfRule type="expression" dxfId="3201" priority="13">
      <formula>AND($F165=TRUE,F163=TRUE)</formula>
    </cfRule>
  </conditionalFormatting>
  <conditionalFormatting sqref="K11:K17">
    <cfRule type="cellIs" dxfId="3198" priority="616" operator="equal">
      <formula>"Black"</formula>
    </cfRule>
    <cfRule type="cellIs" dxfId="3197" priority="615" operator="equal">
      <formula>"Gray"</formula>
    </cfRule>
    <cfRule type="cellIs" dxfId="3196" priority="614" operator="equal">
      <formula>"Magenta"</formula>
    </cfRule>
    <cfRule type="cellIs" dxfId="3195" priority="613" operator="equal">
      <formula>"Dark Gray"</formula>
    </cfRule>
    <cfRule type="cellIs" dxfId="3194" priority="612" operator="equal">
      <formula>"Purple"</formula>
    </cfRule>
    <cfRule type="cellIs" dxfId="3193" priority="611" operator="equal">
      <formula>"Blue"</formula>
    </cfRule>
    <cfRule type="cellIs" dxfId="3192" priority="610" operator="equal">
      <formula>"Green"</formula>
    </cfRule>
    <cfRule type="cellIs" dxfId="3191" priority="609" operator="equal">
      <formula>"orange"</formula>
    </cfRule>
    <cfRule type="cellIs" dxfId="3190" priority="608" operator="equal">
      <formula>"Amber"</formula>
    </cfRule>
    <cfRule type="cellIs" dxfId="3189" priority="607" operator="equal">
      <formula>"Brown"</formula>
    </cfRule>
  </conditionalFormatting>
  <conditionalFormatting sqref="K19:K25">
    <cfRule type="cellIs" dxfId="3188" priority="575" operator="equal">
      <formula>"Gray"</formula>
    </cfRule>
    <cfRule type="cellIs" dxfId="3187" priority="576" operator="equal">
      <formula>"Black"</formula>
    </cfRule>
    <cfRule type="cellIs" dxfId="3186" priority="567" operator="equal">
      <formula>"Brown"</formula>
    </cfRule>
    <cfRule type="cellIs" dxfId="3185" priority="568" operator="equal">
      <formula>"Amber"</formula>
    </cfRule>
    <cfRule type="cellIs" dxfId="3184" priority="569" operator="equal">
      <formula>"orange"</formula>
    </cfRule>
    <cfRule type="cellIs" dxfId="3183" priority="570" operator="equal">
      <formula>"Green"</formula>
    </cfRule>
    <cfRule type="cellIs" dxfId="3182" priority="571" operator="equal">
      <formula>"Blue"</formula>
    </cfRule>
    <cfRule type="cellIs" dxfId="3181" priority="572" operator="equal">
      <formula>"Purple"</formula>
    </cfRule>
    <cfRule type="cellIs" dxfId="3180" priority="573" operator="equal">
      <formula>"Dark Gray"</formula>
    </cfRule>
    <cfRule type="cellIs" dxfId="3179" priority="574" operator="equal">
      <formula>"Magenta"</formula>
    </cfRule>
  </conditionalFormatting>
  <conditionalFormatting sqref="K27:K33">
    <cfRule type="cellIs" dxfId="3178" priority="557" operator="equal">
      <formula>"Brown"</formula>
    </cfRule>
    <cfRule type="cellIs" dxfId="3177" priority="558" operator="equal">
      <formula>"Amber"</formula>
    </cfRule>
    <cfRule type="cellIs" dxfId="3176" priority="559" operator="equal">
      <formula>"orange"</formula>
    </cfRule>
    <cfRule type="cellIs" dxfId="3175" priority="560" operator="equal">
      <formula>"Green"</formula>
    </cfRule>
    <cfRule type="cellIs" dxfId="3174" priority="561" operator="equal">
      <formula>"Blue"</formula>
    </cfRule>
    <cfRule type="cellIs" dxfId="3173" priority="562" operator="equal">
      <formula>"Purple"</formula>
    </cfRule>
    <cfRule type="cellIs" dxfId="3172" priority="563" operator="equal">
      <formula>"Dark Gray"</formula>
    </cfRule>
    <cfRule type="cellIs" dxfId="3171" priority="564" operator="equal">
      <formula>"Magenta"</formula>
    </cfRule>
    <cfRule type="cellIs" dxfId="3170" priority="565" operator="equal">
      <formula>"Gray"</formula>
    </cfRule>
    <cfRule type="cellIs" dxfId="3169" priority="566" operator="equal">
      <formula>"Black"</formula>
    </cfRule>
  </conditionalFormatting>
  <conditionalFormatting sqref="K35:K41">
    <cfRule type="cellIs" dxfId="3168" priority="548" operator="equal">
      <formula>"Amber"</formula>
    </cfRule>
    <cfRule type="cellIs" dxfId="3167" priority="549" operator="equal">
      <formula>"orange"</formula>
    </cfRule>
    <cfRule type="cellIs" dxfId="3166" priority="550" operator="equal">
      <formula>"Green"</formula>
    </cfRule>
    <cfRule type="cellIs" dxfId="3165" priority="551" operator="equal">
      <formula>"Blue"</formula>
    </cfRule>
    <cfRule type="cellIs" dxfId="3164" priority="552" operator="equal">
      <formula>"Purple"</formula>
    </cfRule>
    <cfRule type="cellIs" dxfId="3163" priority="553" operator="equal">
      <formula>"Dark Gray"</formula>
    </cfRule>
    <cfRule type="cellIs" dxfId="3162" priority="555" operator="equal">
      <formula>"Gray"</formula>
    </cfRule>
    <cfRule type="cellIs" dxfId="3161" priority="556" operator="equal">
      <formula>"Black"</formula>
    </cfRule>
    <cfRule type="cellIs" dxfId="3160" priority="547" operator="equal">
      <formula>"Brown"</formula>
    </cfRule>
    <cfRule type="cellIs" dxfId="3159" priority="554" operator="equal">
      <formula>"Magenta"</formula>
    </cfRule>
  </conditionalFormatting>
  <conditionalFormatting sqref="K43:K49">
    <cfRule type="cellIs" dxfId="3158" priority="537" operator="equal">
      <formula>"Brown"</formula>
    </cfRule>
    <cfRule type="cellIs" dxfId="3157" priority="546" operator="equal">
      <formula>"Black"</formula>
    </cfRule>
    <cfRule type="cellIs" dxfId="3156" priority="538" operator="equal">
      <formula>"Amber"</formula>
    </cfRule>
    <cfRule type="cellIs" dxfId="3155" priority="545" operator="equal">
      <formula>"Gray"</formula>
    </cfRule>
    <cfRule type="cellIs" dxfId="3154" priority="544" operator="equal">
      <formula>"Magenta"</formula>
    </cfRule>
    <cfRule type="cellIs" dxfId="3153" priority="543" operator="equal">
      <formula>"Dark Gray"</formula>
    </cfRule>
    <cfRule type="cellIs" dxfId="3152" priority="542" operator="equal">
      <formula>"Purple"</formula>
    </cfRule>
    <cfRule type="cellIs" dxfId="3151" priority="541" operator="equal">
      <formula>"Blue"</formula>
    </cfRule>
    <cfRule type="cellIs" dxfId="3150" priority="540" operator="equal">
      <formula>"Green"</formula>
    </cfRule>
    <cfRule type="cellIs" dxfId="3149" priority="539" operator="equal">
      <formula>"orange"</formula>
    </cfRule>
  </conditionalFormatting>
  <conditionalFormatting sqref="K51:K57">
    <cfRule type="cellIs" dxfId="3148" priority="535" operator="equal">
      <formula>"Gray"</formula>
    </cfRule>
    <cfRule type="cellIs" dxfId="3147" priority="536" operator="equal">
      <formula>"Black"</formula>
    </cfRule>
    <cfRule type="cellIs" dxfId="3146" priority="527" operator="equal">
      <formula>"Brown"</formula>
    </cfRule>
    <cfRule type="cellIs" dxfId="3145" priority="528" operator="equal">
      <formula>"Amber"</formula>
    </cfRule>
    <cfRule type="cellIs" dxfId="3144" priority="529" operator="equal">
      <formula>"orange"</formula>
    </cfRule>
    <cfRule type="cellIs" dxfId="3143" priority="530" operator="equal">
      <formula>"Green"</formula>
    </cfRule>
    <cfRule type="cellIs" dxfId="3142" priority="531" operator="equal">
      <formula>"Blue"</formula>
    </cfRule>
    <cfRule type="cellIs" dxfId="3141" priority="532" operator="equal">
      <formula>"Purple"</formula>
    </cfRule>
    <cfRule type="cellIs" dxfId="3140" priority="533" operator="equal">
      <formula>"Dark Gray"</formula>
    </cfRule>
    <cfRule type="cellIs" dxfId="3139" priority="534" operator="equal">
      <formula>"Magenta"</formula>
    </cfRule>
  </conditionalFormatting>
  <conditionalFormatting sqref="K59:K65">
    <cfRule type="cellIs" dxfId="3138" priority="522" operator="equal">
      <formula>"Purple"</formula>
    </cfRule>
    <cfRule type="cellIs" dxfId="3137" priority="519" operator="equal">
      <formula>"orange"</formula>
    </cfRule>
    <cfRule type="cellIs" dxfId="3136" priority="526" operator="equal">
      <formula>"Black"</formula>
    </cfRule>
    <cfRule type="cellIs" dxfId="3135" priority="525" operator="equal">
      <formula>"Gray"</formula>
    </cfRule>
    <cfRule type="cellIs" dxfId="3134" priority="524" operator="equal">
      <formula>"Magenta"</formula>
    </cfRule>
    <cfRule type="cellIs" dxfId="3133" priority="523" operator="equal">
      <formula>"Dark Gray"</formula>
    </cfRule>
    <cfRule type="cellIs" dxfId="3132" priority="521" operator="equal">
      <formula>"Blue"</formula>
    </cfRule>
    <cfRule type="cellIs" dxfId="3131" priority="520" operator="equal">
      <formula>"Green"</formula>
    </cfRule>
    <cfRule type="cellIs" dxfId="3130" priority="517" operator="equal">
      <formula>"Brown"</formula>
    </cfRule>
    <cfRule type="cellIs" dxfId="3129" priority="518" operator="equal">
      <formula>"Amber"</formula>
    </cfRule>
  </conditionalFormatting>
  <conditionalFormatting sqref="K67:K73">
    <cfRule type="cellIs" dxfId="3128" priority="507" operator="equal">
      <formula>"Brown"</formula>
    </cfRule>
    <cfRule type="cellIs" dxfId="3127" priority="512" operator="equal">
      <formula>"Purple"</formula>
    </cfRule>
    <cfRule type="cellIs" dxfId="3126" priority="508" operator="equal">
      <formula>"Amber"</formula>
    </cfRule>
    <cfRule type="cellIs" dxfId="3125" priority="509" operator="equal">
      <formula>"orange"</formula>
    </cfRule>
    <cfRule type="cellIs" dxfId="3124" priority="510" operator="equal">
      <formula>"Green"</formula>
    </cfRule>
    <cfRule type="cellIs" dxfId="3123" priority="511" operator="equal">
      <formula>"Blue"</formula>
    </cfRule>
    <cfRule type="cellIs" dxfId="3122" priority="513" operator="equal">
      <formula>"Dark Gray"</formula>
    </cfRule>
    <cfRule type="cellIs" dxfId="3121" priority="514" operator="equal">
      <formula>"Magenta"</formula>
    </cfRule>
    <cfRule type="cellIs" dxfId="3120" priority="515" operator="equal">
      <formula>"Gray"</formula>
    </cfRule>
    <cfRule type="cellIs" dxfId="3119" priority="516" operator="equal">
      <formula>"Black"</formula>
    </cfRule>
  </conditionalFormatting>
  <conditionalFormatting sqref="K75:K81">
    <cfRule type="cellIs" dxfId="3118" priority="506" operator="equal">
      <formula>"Black"</formula>
    </cfRule>
    <cfRule type="cellIs" dxfId="3117" priority="499" operator="equal">
      <formula>"orange"</formula>
    </cfRule>
    <cfRule type="cellIs" dxfId="3116" priority="500" operator="equal">
      <formula>"Green"</formula>
    </cfRule>
    <cfRule type="cellIs" dxfId="3115" priority="497" operator="equal">
      <formula>"Brown"</formula>
    </cfRule>
    <cfRule type="cellIs" dxfId="3114" priority="498" operator="equal">
      <formula>"Amber"</formula>
    </cfRule>
    <cfRule type="cellIs" dxfId="3113" priority="501" operator="equal">
      <formula>"Blue"</formula>
    </cfRule>
    <cfRule type="cellIs" dxfId="3112" priority="502" operator="equal">
      <formula>"Purple"</formula>
    </cfRule>
    <cfRule type="cellIs" dxfId="3111" priority="503" operator="equal">
      <formula>"Dark Gray"</formula>
    </cfRule>
    <cfRule type="cellIs" dxfId="3110" priority="504" operator="equal">
      <formula>"Magenta"</formula>
    </cfRule>
    <cfRule type="cellIs" dxfId="3109" priority="505" operator="equal">
      <formula>"Gray"</formula>
    </cfRule>
  </conditionalFormatting>
  <conditionalFormatting sqref="K83:K89">
    <cfRule type="cellIs" dxfId="3108" priority="487" operator="equal">
      <formula>"Brown"</formula>
    </cfRule>
    <cfRule type="cellIs" dxfId="3107" priority="488" operator="equal">
      <formula>"Amber"</formula>
    </cfRule>
    <cfRule type="cellIs" dxfId="3106" priority="489" operator="equal">
      <formula>"orange"</formula>
    </cfRule>
    <cfRule type="cellIs" dxfId="3105" priority="490" operator="equal">
      <formula>"Green"</formula>
    </cfRule>
    <cfRule type="cellIs" dxfId="3104" priority="491" operator="equal">
      <formula>"Blue"</formula>
    </cfRule>
    <cfRule type="cellIs" dxfId="3103" priority="493" operator="equal">
      <formula>"Dark Gray"</formula>
    </cfRule>
    <cfRule type="cellIs" dxfId="3102" priority="494" operator="equal">
      <formula>"Magenta"</formula>
    </cfRule>
    <cfRule type="cellIs" dxfId="3101" priority="495" operator="equal">
      <formula>"Gray"</formula>
    </cfRule>
    <cfRule type="cellIs" dxfId="3100" priority="496" operator="equal">
      <formula>"Black"</formula>
    </cfRule>
    <cfRule type="cellIs" dxfId="3099" priority="492" operator="equal">
      <formula>"Purple"</formula>
    </cfRule>
  </conditionalFormatting>
  <conditionalFormatting sqref="K91:K97">
    <cfRule type="cellIs" dxfId="3098" priority="486" operator="equal">
      <formula>"Black"</formula>
    </cfRule>
    <cfRule type="cellIs" dxfId="3097" priority="481" operator="equal">
      <formula>"Blue"</formula>
    </cfRule>
    <cfRule type="cellIs" dxfId="3096" priority="477" operator="equal">
      <formula>"Brown"</formula>
    </cfRule>
    <cfRule type="cellIs" dxfId="3095" priority="478" operator="equal">
      <formula>"Amber"</formula>
    </cfRule>
    <cfRule type="cellIs" dxfId="3094" priority="479" operator="equal">
      <formula>"orange"</formula>
    </cfRule>
    <cfRule type="cellIs" dxfId="3093" priority="480" operator="equal">
      <formula>"Green"</formula>
    </cfRule>
    <cfRule type="cellIs" dxfId="3092" priority="484" operator="equal">
      <formula>"Magenta"</formula>
    </cfRule>
    <cfRule type="cellIs" dxfId="3091" priority="482" operator="equal">
      <formula>"Purple"</formula>
    </cfRule>
    <cfRule type="cellIs" dxfId="3090" priority="483" operator="equal">
      <formula>"Dark Gray"</formula>
    </cfRule>
    <cfRule type="cellIs" dxfId="3089" priority="485" operator="equal">
      <formula>"Gray"</formula>
    </cfRule>
  </conditionalFormatting>
  <conditionalFormatting sqref="K99:K105">
    <cfRule type="cellIs" dxfId="3088" priority="467" operator="equal">
      <formula>"Brown"</formula>
    </cfRule>
    <cfRule type="cellIs" dxfId="3087" priority="468" operator="equal">
      <formula>"Amber"</formula>
    </cfRule>
    <cfRule type="cellIs" dxfId="3086" priority="469" operator="equal">
      <formula>"orange"</formula>
    </cfRule>
    <cfRule type="cellIs" dxfId="3085" priority="471" operator="equal">
      <formula>"Blue"</formula>
    </cfRule>
    <cfRule type="cellIs" dxfId="3084" priority="472" operator="equal">
      <formula>"Purple"</formula>
    </cfRule>
    <cfRule type="cellIs" dxfId="3083" priority="473" operator="equal">
      <formula>"Dark Gray"</formula>
    </cfRule>
    <cfRule type="cellIs" dxfId="3082" priority="475" operator="equal">
      <formula>"Gray"</formula>
    </cfRule>
    <cfRule type="cellIs" dxfId="3081" priority="474" operator="equal">
      <formula>"Magenta"</formula>
    </cfRule>
    <cfRule type="cellIs" dxfId="3080" priority="476" operator="equal">
      <formula>"Black"</formula>
    </cfRule>
    <cfRule type="cellIs" dxfId="3079" priority="470" operator="equal">
      <formula>"Green"</formula>
    </cfRule>
  </conditionalFormatting>
  <conditionalFormatting sqref="K107:K113">
    <cfRule type="cellIs" dxfId="3078" priority="464" operator="equal">
      <formula>"Magenta"</formula>
    </cfRule>
    <cfRule type="cellIs" dxfId="3077" priority="457" operator="equal">
      <formula>"Brown"</formula>
    </cfRule>
    <cfRule type="cellIs" dxfId="3076" priority="458" operator="equal">
      <formula>"Amber"</formula>
    </cfRule>
    <cfRule type="cellIs" dxfId="3075" priority="459" operator="equal">
      <formula>"orange"</formula>
    </cfRule>
    <cfRule type="cellIs" dxfId="3074" priority="460" operator="equal">
      <formula>"Green"</formula>
    </cfRule>
    <cfRule type="cellIs" dxfId="3073" priority="461" operator="equal">
      <formula>"Blue"</formula>
    </cfRule>
    <cfRule type="cellIs" dxfId="3072" priority="462" operator="equal">
      <formula>"Purple"</formula>
    </cfRule>
    <cfRule type="cellIs" dxfId="3071" priority="463" operator="equal">
      <formula>"Dark Gray"</formula>
    </cfRule>
    <cfRule type="cellIs" dxfId="3070" priority="465" operator="equal">
      <formula>"Gray"</formula>
    </cfRule>
    <cfRule type="cellIs" dxfId="3069" priority="466" operator="equal">
      <formula>"Black"</formula>
    </cfRule>
  </conditionalFormatting>
  <conditionalFormatting sqref="K115:K121">
    <cfRule type="cellIs" dxfId="3068" priority="448" operator="equal">
      <formula>"Amber"</formula>
    </cfRule>
    <cfRule type="cellIs" dxfId="3067" priority="447" operator="equal">
      <formula>"Brown"</formula>
    </cfRule>
    <cfRule type="cellIs" dxfId="3066" priority="456" operator="equal">
      <formula>"Black"</formula>
    </cfRule>
    <cfRule type="cellIs" dxfId="3065" priority="455" operator="equal">
      <formula>"Gray"</formula>
    </cfRule>
    <cfRule type="cellIs" dxfId="3064" priority="454" operator="equal">
      <formula>"Magenta"</formula>
    </cfRule>
    <cfRule type="cellIs" dxfId="3063" priority="453" operator="equal">
      <formula>"Dark Gray"</formula>
    </cfRule>
    <cfRule type="cellIs" dxfId="3062" priority="452" operator="equal">
      <formula>"Purple"</formula>
    </cfRule>
    <cfRule type="cellIs" dxfId="3061" priority="451" operator="equal">
      <formula>"Blue"</formula>
    </cfRule>
    <cfRule type="cellIs" dxfId="3060" priority="450" operator="equal">
      <formula>"Green"</formula>
    </cfRule>
    <cfRule type="cellIs" dxfId="3059" priority="449" operator="equal">
      <formula>"orange"</formula>
    </cfRule>
  </conditionalFormatting>
  <conditionalFormatting sqref="K123:K129">
    <cfRule type="cellIs" dxfId="3058" priority="442" operator="equal">
      <formula>"Purple"</formula>
    </cfRule>
    <cfRule type="cellIs" dxfId="3057" priority="441" operator="equal">
      <formula>"Blue"</formula>
    </cfRule>
    <cfRule type="cellIs" dxfId="3056" priority="440" operator="equal">
      <formula>"Green"</formula>
    </cfRule>
    <cfRule type="cellIs" dxfId="3055" priority="438" operator="equal">
      <formula>"Amber"</formula>
    </cfRule>
    <cfRule type="cellIs" dxfId="3054" priority="439" operator="equal">
      <formula>"orange"</formula>
    </cfRule>
    <cfRule type="cellIs" dxfId="3053" priority="446" operator="equal">
      <formula>"Black"</formula>
    </cfRule>
    <cfRule type="cellIs" dxfId="3052" priority="445" operator="equal">
      <formula>"Gray"</formula>
    </cfRule>
    <cfRule type="cellIs" dxfId="3051" priority="444" operator="equal">
      <formula>"Magenta"</formula>
    </cfRule>
    <cfRule type="cellIs" dxfId="3050" priority="443" operator="equal">
      <formula>"Dark Gray"</formula>
    </cfRule>
    <cfRule type="cellIs" dxfId="3049" priority="437" operator="equal">
      <formula>"Brown"</formula>
    </cfRule>
  </conditionalFormatting>
  <conditionalFormatting sqref="K131:K137">
    <cfRule type="cellIs" dxfId="3048" priority="432" operator="equal">
      <formula>"Purple"</formula>
    </cfRule>
    <cfRule type="cellIs" dxfId="3047" priority="433" operator="equal">
      <formula>"Dark Gray"</formula>
    </cfRule>
    <cfRule type="cellIs" dxfId="3046" priority="434" operator="equal">
      <formula>"Magenta"</formula>
    </cfRule>
    <cfRule type="cellIs" dxfId="3045" priority="435" operator="equal">
      <formula>"Gray"</formula>
    </cfRule>
    <cfRule type="cellIs" dxfId="3044" priority="436" operator="equal">
      <formula>"Black"</formula>
    </cfRule>
    <cfRule type="cellIs" dxfId="3043" priority="431" operator="equal">
      <formula>"Blue"</formula>
    </cfRule>
    <cfRule type="cellIs" dxfId="3042" priority="427" operator="equal">
      <formula>"Brown"</formula>
    </cfRule>
    <cfRule type="cellIs" dxfId="3041" priority="428" operator="equal">
      <formula>"Amber"</formula>
    </cfRule>
    <cfRule type="cellIs" dxfId="3040" priority="429" operator="equal">
      <formula>"orange"</formula>
    </cfRule>
    <cfRule type="cellIs" dxfId="3039" priority="430" operator="equal">
      <formula>"Green"</formula>
    </cfRule>
  </conditionalFormatting>
  <conditionalFormatting sqref="K139:K145">
    <cfRule type="cellIs" dxfId="3038" priority="422" operator="equal">
      <formula>"Purple"</formula>
    </cfRule>
    <cfRule type="cellIs" dxfId="3037" priority="420" operator="equal">
      <formula>"Green"</formula>
    </cfRule>
    <cfRule type="cellIs" dxfId="3036" priority="419" operator="equal">
      <formula>"orange"</formula>
    </cfRule>
    <cfRule type="cellIs" dxfId="3035" priority="418" operator="equal">
      <formula>"Amber"</formula>
    </cfRule>
    <cfRule type="cellIs" dxfId="3034" priority="417" operator="equal">
      <formula>"Brown"</formula>
    </cfRule>
    <cfRule type="cellIs" dxfId="3033" priority="423" operator="equal">
      <formula>"Dark Gray"</formula>
    </cfRule>
    <cfRule type="cellIs" dxfId="3032" priority="424" operator="equal">
      <formula>"Magenta"</formula>
    </cfRule>
    <cfRule type="cellIs" dxfId="3031" priority="425" operator="equal">
      <formula>"Gray"</formula>
    </cfRule>
    <cfRule type="cellIs" dxfId="3030" priority="426" operator="equal">
      <formula>"Black"</formula>
    </cfRule>
    <cfRule type="cellIs" dxfId="3029" priority="421" operator="equal">
      <formula>"Blue"</formula>
    </cfRule>
  </conditionalFormatting>
  <conditionalFormatting sqref="K147:K153">
    <cfRule type="cellIs" dxfId="3028" priority="415" operator="equal">
      <formula>"Gray"</formula>
    </cfRule>
    <cfRule type="cellIs" dxfId="3027" priority="413" operator="equal">
      <formula>"Dark Gray"</formula>
    </cfRule>
    <cfRule type="cellIs" dxfId="3026" priority="416" operator="equal">
      <formula>"Black"</formula>
    </cfRule>
    <cfRule type="cellIs" dxfId="3025" priority="412" operator="equal">
      <formula>"Purple"</formula>
    </cfRule>
    <cfRule type="cellIs" dxfId="3024" priority="411" operator="equal">
      <formula>"Blue"</formula>
    </cfRule>
    <cfRule type="cellIs" dxfId="3023" priority="410" operator="equal">
      <formula>"Green"</formula>
    </cfRule>
    <cfRule type="cellIs" dxfId="3022" priority="409" operator="equal">
      <formula>"orange"</formula>
    </cfRule>
    <cfRule type="cellIs" dxfId="3021" priority="408" operator="equal">
      <formula>"Amber"</formula>
    </cfRule>
    <cfRule type="cellIs" dxfId="3020" priority="407" operator="equal">
      <formula>"Brown"</formula>
    </cfRule>
    <cfRule type="cellIs" dxfId="3019" priority="414" operator="equal">
      <formula>"Magenta"</formula>
    </cfRule>
  </conditionalFormatting>
  <conditionalFormatting sqref="K155:K161">
    <cfRule type="cellIs" dxfId="3018" priority="398" operator="equal">
      <formula>"Amber"</formula>
    </cfRule>
    <cfRule type="cellIs" dxfId="3017" priority="402" operator="equal">
      <formula>"Purple"</formula>
    </cfRule>
    <cfRule type="cellIs" dxfId="3016" priority="397" operator="equal">
      <formula>"Brown"</formula>
    </cfRule>
    <cfRule type="cellIs" dxfId="3015" priority="401" operator="equal">
      <formula>"Blue"</formula>
    </cfRule>
    <cfRule type="cellIs" dxfId="3014" priority="400" operator="equal">
      <formula>"Green"</formula>
    </cfRule>
    <cfRule type="cellIs" dxfId="3013" priority="399" operator="equal">
      <formula>"orange"</formula>
    </cfRule>
    <cfRule type="cellIs" dxfId="3012" priority="405" operator="equal">
      <formula>"Gray"</formula>
    </cfRule>
    <cfRule type="cellIs" dxfId="3011" priority="406" operator="equal">
      <formula>"Black"</formula>
    </cfRule>
    <cfRule type="cellIs" dxfId="3010" priority="404" operator="equal">
      <formula>"Magenta"</formula>
    </cfRule>
    <cfRule type="cellIs" dxfId="3009" priority="403" operator="equal">
      <formula>"Dark Gray"</formula>
    </cfRule>
  </conditionalFormatting>
  <conditionalFormatting sqref="K163:K169">
    <cfRule type="cellIs" dxfId="3008" priority="389" operator="equal">
      <formula>"orange"</formula>
    </cfRule>
    <cfRule type="cellIs" dxfId="3007" priority="390" operator="equal">
      <formula>"Green"</formula>
    </cfRule>
    <cfRule type="cellIs" dxfId="3006" priority="391" operator="equal">
      <formula>"Blue"</formula>
    </cfRule>
    <cfRule type="cellIs" dxfId="3005" priority="392" operator="equal">
      <formula>"Purple"</formula>
    </cfRule>
    <cfRule type="cellIs" dxfId="3004" priority="393" operator="equal">
      <formula>"Dark Gray"</formula>
    </cfRule>
    <cfRule type="cellIs" dxfId="3003" priority="394" operator="equal">
      <formula>"Magenta"</formula>
    </cfRule>
    <cfRule type="cellIs" dxfId="3002" priority="395" operator="equal">
      <formula>"Gray"</formula>
    </cfRule>
    <cfRule type="cellIs" dxfId="3001" priority="396" operator="equal">
      <formula>"Black"</formula>
    </cfRule>
    <cfRule type="cellIs" dxfId="3000" priority="387" operator="equal">
      <formula>"Brown"</formula>
    </cfRule>
    <cfRule type="cellIs" dxfId="299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35:C41 C43:C49 C107:C113 C51:C57 C67:C73 C59:C65 C115:C121 C75:C81 C83:C89 C91:C97 C99:C105 C123:C129 C131:C137 C139:C145 C155:C161 C163:C169 C147:C153 C27:C33"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F18" sqref="F18"/>
    </sheetView>
  </sheetViews>
  <sheetFormatPr defaultColWidth="9.1796875" defaultRowHeight="14.5" outlineLevelRow="1" x14ac:dyDescent="0.35"/>
  <cols>
    <col min="1" max="1" width="5.81640625" style="89" customWidth="1"/>
    <col min="2" max="2" width="11.08984375" style="295" hidden="1" customWidth="1"/>
    <col min="3" max="3" width="29.1796875" style="192" bestFit="1" customWidth="1"/>
    <col min="4" max="4" width="0.81640625" style="3" customWidth="1"/>
    <col min="5" max="5" width="4.089843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36328125" style="3" customWidth="1"/>
    <col min="21" max="21" width="4.1796875" style="28" customWidth="1"/>
    <col min="22" max="22" width="41.81640625" style="3" customWidth="1"/>
    <col min="23" max="23" width="0.81640625" style="3" customWidth="1"/>
    <col min="24" max="24" width="4.26953125" style="399" customWidth="1"/>
    <col min="25" max="25" width="14.81640625" style="3" customWidth="1"/>
    <col min="26" max="26" width="26.7265625" style="192" customWidth="1"/>
    <col min="27" max="27" width="0.7265625" style="3" customWidth="1"/>
    <col min="28" max="28" width="3.90625" style="3" customWidth="1"/>
    <col min="29" max="29" width="35.26953125" style="3" bestFit="1" customWidth="1"/>
    <col min="30" max="30" width="2.54296875" style="3" customWidth="1"/>
    <col min="31" max="31" width="32.7265625" style="3" customWidth="1"/>
    <col min="32" max="32" width="1.26953125" style="3" customWidth="1"/>
    <col min="33" max="33" width="9.1796875" style="3"/>
  </cols>
  <sheetData>
    <row r="1" spans="1:33" s="3" customFormat="1" ht="26.25" customHeight="1" thickBot="1" x14ac:dyDescent="0.4">
      <c r="A1" s="89"/>
      <c r="B1" s="295"/>
      <c r="C1" s="579" t="s">
        <v>74</v>
      </c>
      <c r="D1" s="579"/>
      <c r="E1" s="579"/>
      <c r="F1" s="579"/>
      <c r="G1" s="579"/>
      <c r="H1" s="579"/>
      <c r="I1" s="579"/>
      <c r="J1" s="11"/>
      <c r="K1" s="11"/>
      <c r="L1" s="11"/>
      <c r="M1" s="11"/>
      <c r="N1" s="11"/>
      <c r="R1" s="11"/>
      <c r="U1" s="28"/>
      <c r="X1" s="399"/>
      <c r="Z1" s="192"/>
    </row>
    <row r="2" spans="1:33" s="3" customFormat="1" ht="18.75" customHeight="1" thickBot="1" x14ac:dyDescent="0.5">
      <c r="A2" s="89"/>
      <c r="B2" s="295"/>
      <c r="C2" s="192"/>
      <c r="H2" s="582" t="s">
        <v>116</v>
      </c>
      <c r="I2" s="583"/>
      <c r="J2" s="583"/>
      <c r="K2" s="583"/>
      <c r="L2" s="583"/>
      <c r="M2" s="583"/>
      <c r="N2" s="583"/>
      <c r="O2" s="583"/>
      <c r="P2" s="583"/>
      <c r="Q2" s="583"/>
      <c r="R2" s="583"/>
      <c r="S2" s="584"/>
      <c r="T2" s="583"/>
      <c r="U2" s="584"/>
      <c r="V2" s="585"/>
      <c r="W2" s="19"/>
      <c r="X2" s="399"/>
      <c r="Z2" s="192"/>
    </row>
    <row r="3" spans="1:33" s="13" customFormat="1" ht="37.5" customHeight="1" thickBot="1" x14ac:dyDescent="0.5">
      <c r="A3" s="90"/>
      <c r="B3" s="295"/>
      <c r="C3" s="97" t="s">
        <v>117</v>
      </c>
      <c r="D3" s="14"/>
      <c r="E3" s="588" t="s">
        <v>118</v>
      </c>
      <c r="F3" s="589"/>
      <c r="G3" s="14"/>
      <c r="H3" s="612" t="s">
        <v>119</v>
      </c>
      <c r="I3" s="613"/>
      <c r="J3" s="586" t="s">
        <v>120</v>
      </c>
      <c r="K3" s="587"/>
      <c r="L3" s="586" t="s">
        <v>365</v>
      </c>
      <c r="M3" s="607"/>
      <c r="N3" s="587"/>
      <c r="O3" s="586" t="s">
        <v>121</v>
      </c>
      <c r="P3" s="607"/>
      <c r="Q3" s="607"/>
      <c r="R3" s="586" t="s">
        <v>122</v>
      </c>
      <c r="S3" s="607"/>
      <c r="T3" s="587"/>
      <c r="U3" s="586" t="s">
        <v>123</v>
      </c>
      <c r="V3" s="608"/>
      <c r="W3" s="21"/>
      <c r="X3" s="586" t="s">
        <v>124</v>
      </c>
      <c r="Y3" s="607"/>
      <c r="Z3" s="587"/>
      <c r="AB3" s="556" t="s">
        <v>125</v>
      </c>
      <c r="AC3" s="557"/>
      <c r="AD3" s="557"/>
      <c r="AE3" s="557"/>
      <c r="AF3" s="558"/>
    </row>
    <row r="4" spans="1:33" ht="284.5" hidden="1" customHeight="1" outlineLevel="1" x14ac:dyDescent="0.35">
      <c r="A4" s="367" t="s">
        <v>322</v>
      </c>
      <c r="B4" s="241"/>
      <c r="C4" s="193" t="s">
        <v>126</v>
      </c>
      <c r="D4" s="157"/>
      <c r="E4" s="590" t="s">
        <v>127</v>
      </c>
      <c r="F4" s="591"/>
      <c r="G4" s="157"/>
      <c r="H4" s="598" t="s">
        <v>128</v>
      </c>
      <c r="I4" s="599"/>
      <c r="J4" s="592" t="s">
        <v>129</v>
      </c>
      <c r="K4" s="593"/>
      <c r="L4" s="594" t="s">
        <v>130</v>
      </c>
      <c r="M4" s="595"/>
      <c r="N4" s="596"/>
      <c r="O4" s="597" t="s">
        <v>131</v>
      </c>
      <c r="P4" s="597"/>
      <c r="Q4" s="597"/>
      <c r="R4" s="614" t="s">
        <v>132</v>
      </c>
      <c r="S4" s="615"/>
      <c r="T4" s="180"/>
      <c r="U4" s="594" t="s">
        <v>133</v>
      </c>
      <c r="V4" s="596"/>
      <c r="W4" s="161"/>
      <c r="X4" s="597" t="s">
        <v>134</v>
      </c>
      <c r="Y4" s="597"/>
      <c r="Z4" s="597"/>
      <c r="AA4" s="184"/>
      <c r="AB4" s="559" t="s">
        <v>363</v>
      </c>
      <c r="AC4" s="560"/>
      <c r="AD4" s="560"/>
      <c r="AE4" s="560"/>
      <c r="AF4" s="561"/>
      <c r="AG4"/>
    </row>
    <row r="5" spans="1:33" ht="40.5" hidden="1" customHeight="1" outlineLevel="1" x14ac:dyDescent="0.35">
      <c r="A5" s="601" t="s">
        <v>99</v>
      </c>
      <c r="B5" s="241"/>
      <c r="C5" s="194"/>
      <c r="D5" s="169"/>
      <c r="E5" s="563" t="s">
        <v>135</v>
      </c>
      <c r="F5" s="563"/>
      <c r="G5" s="169"/>
      <c r="H5" s="606" t="s">
        <v>136</v>
      </c>
      <c r="I5" s="606"/>
      <c r="J5" s="611" t="s">
        <v>137</v>
      </c>
      <c r="K5" s="611"/>
      <c r="L5" s="563" t="s">
        <v>138</v>
      </c>
      <c r="M5" s="563"/>
      <c r="N5" s="563"/>
      <c r="O5" s="563" t="s">
        <v>138</v>
      </c>
      <c r="P5" s="563"/>
      <c r="Q5" s="519"/>
      <c r="R5" s="616" t="s">
        <v>139</v>
      </c>
      <c r="S5" s="617"/>
      <c r="T5" s="131"/>
      <c r="U5" s="563" t="s">
        <v>140</v>
      </c>
      <c r="V5" s="563"/>
      <c r="W5" s="131"/>
      <c r="X5" s="563" t="s">
        <v>141</v>
      </c>
      <c r="Y5" s="563"/>
      <c r="Z5" s="563"/>
      <c r="AA5" s="131"/>
      <c r="AB5" s="562" t="s">
        <v>142</v>
      </c>
      <c r="AC5" s="563"/>
      <c r="AD5" s="563"/>
      <c r="AE5" s="563"/>
      <c r="AF5" s="564"/>
      <c r="AG5"/>
    </row>
    <row r="6" spans="1:33" ht="60.5" hidden="1" customHeight="1" outlineLevel="1" x14ac:dyDescent="0.35">
      <c r="A6" s="601"/>
      <c r="B6" s="241"/>
      <c r="C6" s="194"/>
      <c r="D6" s="169"/>
      <c r="E6" s="600"/>
      <c r="F6" s="600"/>
      <c r="G6" s="169"/>
      <c r="H6" s="563" t="s">
        <v>143</v>
      </c>
      <c r="I6" s="563"/>
      <c r="J6" s="563" t="s">
        <v>144</v>
      </c>
      <c r="K6" s="563"/>
      <c r="L6" s="565"/>
      <c r="M6" s="565"/>
      <c r="N6" s="565"/>
      <c r="O6" s="563" t="s">
        <v>145</v>
      </c>
      <c r="P6" s="563"/>
      <c r="Q6" s="519"/>
      <c r="R6" s="565"/>
      <c r="S6" s="565"/>
      <c r="T6" s="131"/>
      <c r="U6" s="565"/>
      <c r="V6" s="565"/>
      <c r="W6" s="131"/>
      <c r="X6" s="565"/>
      <c r="Y6" s="565"/>
      <c r="Z6" s="565"/>
      <c r="AA6" s="131"/>
      <c r="AB6" s="562" t="s">
        <v>146</v>
      </c>
      <c r="AC6" s="563"/>
      <c r="AD6" s="563"/>
      <c r="AE6" s="563"/>
      <c r="AF6" s="564"/>
      <c r="AG6"/>
    </row>
    <row r="7" spans="1:33" ht="44.5" hidden="1" customHeight="1" outlineLevel="1" x14ac:dyDescent="0.35">
      <c r="A7" s="601"/>
      <c r="B7" s="241"/>
      <c r="C7" s="194"/>
      <c r="D7" s="169"/>
      <c r="E7" s="600"/>
      <c r="F7" s="600"/>
      <c r="G7" s="169"/>
      <c r="H7" s="600"/>
      <c r="I7" s="600"/>
      <c r="J7" s="600"/>
      <c r="K7" s="600"/>
      <c r="L7" s="565"/>
      <c r="M7" s="565"/>
      <c r="N7" s="565"/>
      <c r="O7" s="565"/>
      <c r="P7" s="565"/>
      <c r="Q7" s="572"/>
      <c r="R7" s="565"/>
      <c r="S7" s="565"/>
      <c r="T7" s="131"/>
      <c r="U7" s="565"/>
      <c r="V7" s="565"/>
      <c r="W7" s="131"/>
      <c r="X7" s="565"/>
      <c r="Y7" s="565"/>
      <c r="Z7" s="565"/>
      <c r="AA7" s="131"/>
      <c r="AB7" s="562" t="s">
        <v>364</v>
      </c>
      <c r="AC7" s="565"/>
      <c r="AD7" s="565"/>
      <c r="AE7" s="565"/>
      <c r="AF7" s="566"/>
      <c r="AG7"/>
    </row>
    <row r="8" spans="1:33" ht="19" hidden="1" customHeight="1" outlineLevel="1" x14ac:dyDescent="0.35">
      <c r="A8" s="601"/>
      <c r="B8" s="241"/>
      <c r="C8" s="195"/>
      <c r="D8" s="172"/>
      <c r="E8" s="603"/>
      <c r="F8" s="604"/>
      <c r="G8" s="172"/>
      <c r="H8" s="600"/>
      <c r="I8" s="600"/>
      <c r="J8" s="600"/>
      <c r="K8" s="600"/>
      <c r="L8" s="565"/>
      <c r="M8" s="565"/>
      <c r="N8" s="565"/>
      <c r="O8" s="565"/>
      <c r="P8" s="565"/>
      <c r="Q8" s="572"/>
      <c r="R8" s="565"/>
      <c r="S8" s="565"/>
      <c r="T8" s="388"/>
      <c r="U8" s="565"/>
      <c r="V8" s="565"/>
      <c r="W8" s="155"/>
      <c r="X8" s="609"/>
      <c r="Y8" s="569"/>
      <c r="Z8" s="571"/>
      <c r="AA8" s="207"/>
      <c r="AB8" s="567"/>
      <c r="AC8" s="565"/>
      <c r="AD8" s="565"/>
      <c r="AE8" s="565"/>
      <c r="AF8" s="566"/>
      <c r="AG8"/>
    </row>
    <row r="9" spans="1:33" ht="19" hidden="1" customHeight="1" outlineLevel="1" thickBot="1" x14ac:dyDescent="0.4">
      <c r="A9" s="602"/>
      <c r="B9" s="241"/>
      <c r="C9" s="223"/>
      <c r="D9" s="172"/>
      <c r="E9" s="605"/>
      <c r="F9" s="605"/>
      <c r="G9" s="172"/>
      <c r="H9" s="610"/>
      <c r="I9" s="610"/>
      <c r="J9" s="610"/>
      <c r="K9" s="610"/>
      <c r="L9" s="569"/>
      <c r="M9" s="569"/>
      <c r="N9" s="569"/>
      <c r="O9" s="569"/>
      <c r="P9" s="569"/>
      <c r="Q9" s="571"/>
      <c r="R9" s="569"/>
      <c r="S9" s="569"/>
      <c r="T9" s="388"/>
      <c r="U9" s="569"/>
      <c r="V9" s="569"/>
      <c r="W9" s="155"/>
      <c r="X9" s="569"/>
      <c r="Y9" s="569"/>
      <c r="Z9" s="569"/>
      <c r="AA9" s="207"/>
      <c r="AB9" s="568"/>
      <c r="AC9" s="569"/>
      <c r="AD9" s="569"/>
      <c r="AE9" s="569"/>
      <c r="AF9" s="570"/>
      <c r="AG9"/>
    </row>
    <row r="10" spans="1:33" s="13" customFormat="1" ht="29" collapsed="1" x14ac:dyDescent="0.35">
      <c r="A10" s="553">
        <v>1</v>
      </c>
      <c r="B10" s="295">
        <f>A10+10</f>
        <v>11</v>
      </c>
      <c r="C10" s="622" t="str">
        <f>VLOOKUP(A10,INputs!$G$3:$O$22,7,FALSE)</f>
        <v>Please fill out Sensitivity Labels Tab</v>
      </c>
      <c r="D10" s="47"/>
      <c r="E10" s="47"/>
      <c r="F10" s="48" t="s">
        <v>108</v>
      </c>
      <c r="G10" s="208"/>
      <c r="H10" s="573" t="s">
        <v>108</v>
      </c>
      <c r="I10" s="573"/>
      <c r="J10" s="575" t="s">
        <v>360</v>
      </c>
      <c r="K10" s="575"/>
      <c r="L10" s="575" t="s">
        <v>108</v>
      </c>
      <c r="M10" s="575"/>
      <c r="N10" s="575"/>
      <c r="O10" s="575" t="s">
        <v>108</v>
      </c>
      <c r="P10" s="575"/>
      <c r="Q10" s="575"/>
      <c r="R10" s="577" t="s">
        <v>147</v>
      </c>
      <c r="S10" s="577"/>
      <c r="T10" s="407" t="s">
        <v>107</v>
      </c>
      <c r="U10" s="551" t="s">
        <v>148</v>
      </c>
      <c r="V10" s="551"/>
      <c r="W10" s="50"/>
      <c r="X10" s="401"/>
      <c r="Y10" s="574" t="s">
        <v>108</v>
      </c>
      <c r="Z10" s="574"/>
      <c r="AA10" s="51"/>
      <c r="AB10" s="573"/>
      <c r="AC10" s="573"/>
      <c r="AD10" s="48"/>
      <c r="AE10" s="49" t="s">
        <v>361</v>
      </c>
      <c r="AF10" s="52"/>
      <c r="AG10" s="20"/>
    </row>
    <row r="11" spans="1:33" s="13" customFormat="1" ht="12" customHeight="1" x14ac:dyDescent="0.35">
      <c r="A11" s="554"/>
      <c r="B11" s="295">
        <f>B10+1</f>
        <v>12</v>
      </c>
      <c r="C11" s="620"/>
      <c r="D11" s="8"/>
      <c r="E11" s="8"/>
      <c r="F11" s="217"/>
      <c r="G11" s="218"/>
      <c r="H11" s="217"/>
      <c r="I11" s="217"/>
      <c r="J11" s="386"/>
      <c r="K11" s="386"/>
      <c r="L11" s="386"/>
      <c r="M11" s="386"/>
      <c r="N11" s="386"/>
      <c r="O11" s="386"/>
      <c r="P11" s="386"/>
      <c r="Q11" s="386"/>
      <c r="R11" s="550"/>
      <c r="S11" s="550"/>
      <c r="T11" s="550"/>
      <c r="U11" s="406"/>
      <c r="V11" s="400"/>
      <c r="W11" s="225"/>
      <c r="X11" s="403"/>
      <c r="Y11" s="405"/>
      <c r="Z11" s="405"/>
      <c r="AA11" s="20"/>
      <c r="AB11" s="217"/>
      <c r="AC11" s="217" t="s">
        <v>108</v>
      </c>
      <c r="AD11" s="217"/>
      <c r="AE11" s="386"/>
      <c r="AF11" s="54"/>
      <c r="AG11" s="20"/>
    </row>
    <row r="12" spans="1:33" s="3" customFormat="1" ht="30.5" x14ac:dyDescent="0.35">
      <c r="A12" s="554"/>
      <c r="B12" s="295">
        <f t="shared" ref="B12:B18" si="0">B11+1</f>
        <v>13</v>
      </c>
      <c r="C12" s="620"/>
      <c r="E12" s="209" t="b">
        <v>0</v>
      </c>
      <c r="F12" s="3" t="s">
        <v>333</v>
      </c>
      <c r="H12" s="209" t="b">
        <v>0</v>
      </c>
      <c r="I12" s="219" t="s">
        <v>150</v>
      </c>
      <c r="J12" s="210" t="b">
        <v>0</v>
      </c>
      <c r="K12" s="211" t="s">
        <v>151</v>
      </c>
      <c r="L12" s="212" t="b">
        <v>0</v>
      </c>
      <c r="M12" s="9" t="s">
        <v>152</v>
      </c>
      <c r="N12" s="222"/>
      <c r="O12" s="212" t="b">
        <v>0</v>
      </c>
      <c r="P12" s="9" t="s">
        <v>153</v>
      </c>
      <c r="Q12" s="9"/>
      <c r="R12" s="550"/>
      <c r="S12" s="550"/>
      <c r="T12" s="550"/>
      <c r="U12" s="550"/>
      <c r="V12" s="550"/>
      <c r="W12" s="225"/>
      <c r="X12" s="213" t="b">
        <v>0</v>
      </c>
      <c r="Y12" s="214" t="s">
        <v>154</v>
      </c>
      <c r="Z12" s="381"/>
      <c r="AA12" s="15"/>
      <c r="AB12" s="215" t="b">
        <v>0</v>
      </c>
      <c r="AC12" s="15" t="s">
        <v>155</v>
      </c>
      <c r="AD12" s="15"/>
      <c r="AE12" s="15"/>
      <c r="AF12" s="53"/>
      <c r="AG12" s="15"/>
    </row>
    <row r="13" spans="1:33" s="3" customFormat="1" ht="32" customHeight="1" x14ac:dyDescent="0.35">
      <c r="A13" s="554"/>
      <c r="B13" s="295">
        <f t="shared" si="0"/>
        <v>14</v>
      </c>
      <c r="C13" s="620"/>
      <c r="E13" s="209" t="b">
        <v>0</v>
      </c>
      <c r="F13" s="205" t="s">
        <v>332</v>
      </c>
      <c r="H13" s="15"/>
      <c r="I13" s="219"/>
      <c r="J13" s="213" t="b">
        <v>0</v>
      </c>
      <c r="K13" s="576" t="s">
        <v>157</v>
      </c>
      <c r="L13" s="213" t="b">
        <v>0</v>
      </c>
      <c r="M13" s="214" t="s">
        <v>158</v>
      </c>
      <c r="N13" s="397">
        <v>44197</v>
      </c>
      <c r="O13" s="213" t="b">
        <v>0</v>
      </c>
      <c r="P13" s="214" t="s">
        <v>152</v>
      </c>
      <c r="Q13" s="214"/>
      <c r="R13" s="212" t="b">
        <v>0</v>
      </c>
      <c r="S13" s="9" t="s">
        <v>366</v>
      </c>
      <c r="T13" s="9" t="s">
        <v>107</v>
      </c>
      <c r="U13" s="213" t="b">
        <v>0</v>
      </c>
      <c r="V13" s="400" t="s">
        <v>164</v>
      </c>
      <c r="W13" s="224"/>
      <c r="X13" s="213" t="b">
        <v>0</v>
      </c>
      <c r="Y13" s="398" t="s">
        <v>159</v>
      </c>
      <c r="Z13" s="381"/>
      <c r="AA13" s="15"/>
      <c r="AB13" s="226"/>
      <c r="AC13" s="217" t="s">
        <v>109</v>
      </c>
      <c r="AD13" s="218"/>
      <c r="AE13" s="386" t="s">
        <v>362</v>
      </c>
      <c r="AF13" s="54"/>
      <c r="AG13" s="15"/>
    </row>
    <row r="14" spans="1:33" s="3" customFormat="1" ht="15.5" customHeight="1" x14ac:dyDescent="0.35">
      <c r="A14" s="554"/>
      <c r="B14" s="295">
        <f t="shared" si="0"/>
        <v>15</v>
      </c>
      <c r="C14" s="620"/>
      <c r="E14" s="209" t="b">
        <v>0</v>
      </c>
      <c r="F14" s="578" t="s">
        <v>160</v>
      </c>
      <c r="H14" s="209" t="b">
        <v>0</v>
      </c>
      <c r="I14" s="219" t="s">
        <v>161</v>
      </c>
      <c r="J14" s="214"/>
      <c r="K14" s="576"/>
      <c r="L14" s="212" t="b">
        <v>0</v>
      </c>
      <c r="M14" s="44" t="s">
        <v>162</v>
      </c>
      <c r="N14" s="220">
        <v>78</v>
      </c>
      <c r="O14" s="212" t="b">
        <v>0</v>
      </c>
      <c r="P14" s="9" t="s">
        <v>162</v>
      </c>
      <c r="Q14" s="220">
        <v>76</v>
      </c>
      <c r="R14" s="550"/>
      <c r="S14" s="550"/>
      <c r="T14" s="550"/>
      <c r="U14" s="552" t="s">
        <v>108</v>
      </c>
      <c r="V14" s="552"/>
      <c r="W14" s="552"/>
      <c r="X14" s="213" t="b">
        <v>0</v>
      </c>
      <c r="Y14" s="9" t="s">
        <v>331</v>
      </c>
      <c r="Z14" s="624"/>
      <c r="AA14" s="15"/>
      <c r="AB14" s="226"/>
      <c r="AC14" s="22"/>
      <c r="AD14" s="15"/>
      <c r="AE14" s="623"/>
      <c r="AF14" s="53"/>
      <c r="AG14" s="15"/>
    </row>
    <row r="15" spans="1:33" s="3" customFormat="1" ht="29" customHeight="1" x14ac:dyDescent="0.35">
      <c r="A15" s="554"/>
      <c r="B15" s="295">
        <f t="shared" si="0"/>
        <v>16</v>
      </c>
      <c r="C15" s="620"/>
      <c r="F15" s="578"/>
      <c r="H15" s="15"/>
      <c r="I15" s="15"/>
      <c r="J15" s="214"/>
      <c r="K15" s="9"/>
      <c r="L15" s="15"/>
      <c r="M15" s="15"/>
      <c r="N15" s="227"/>
      <c r="O15" s="9"/>
      <c r="P15" s="9"/>
      <c r="Q15" s="9"/>
      <c r="R15" s="550"/>
      <c r="S15" s="550"/>
      <c r="T15" s="550"/>
      <c r="U15" s="213" t="b">
        <v>0</v>
      </c>
      <c r="V15" s="214" t="s">
        <v>165</v>
      </c>
      <c r="W15" s="225"/>
      <c r="X15" s="399"/>
      <c r="Y15" s="15"/>
      <c r="Z15" s="624"/>
      <c r="AA15" s="15"/>
      <c r="AB15" s="15"/>
      <c r="AC15" s="15"/>
      <c r="AD15" s="15"/>
      <c r="AE15" s="623"/>
      <c r="AF15" s="53"/>
      <c r="AG15" s="15"/>
    </row>
    <row r="16" spans="1:33" s="3" customFormat="1" ht="30" customHeight="1" x14ac:dyDescent="0.35">
      <c r="A16" s="554"/>
      <c r="B16" s="295">
        <f t="shared" si="0"/>
        <v>17</v>
      </c>
      <c r="C16" s="620"/>
      <c r="E16"/>
      <c r="H16" s="15"/>
      <c r="I16" s="15"/>
      <c r="J16" s="383"/>
      <c r="K16" s="222"/>
      <c r="L16" s="222"/>
      <c r="M16" s="222"/>
      <c r="N16" s="222"/>
      <c r="O16" s="9"/>
      <c r="P16" s="9"/>
      <c r="Q16" s="9"/>
      <c r="R16" s="212" t="b">
        <v>0</v>
      </c>
      <c r="S16" s="9" t="s">
        <v>367</v>
      </c>
      <c r="T16" s="9" t="s">
        <v>107</v>
      </c>
      <c r="U16" s="550"/>
      <c r="V16" s="550"/>
      <c r="X16" s="399"/>
      <c r="Y16" s="15"/>
      <c r="Z16" s="378"/>
      <c r="AA16" s="15"/>
      <c r="AB16" s="15"/>
      <c r="AC16" s="15"/>
      <c r="AD16" s="15"/>
      <c r="AE16" s="15"/>
      <c r="AF16" s="53"/>
      <c r="AG16" s="15"/>
    </row>
    <row r="17" spans="1:33" s="3" customFormat="1" x14ac:dyDescent="0.35">
      <c r="A17" s="554"/>
      <c r="B17" s="295">
        <f t="shared" si="0"/>
        <v>18</v>
      </c>
      <c r="C17" s="620"/>
      <c r="E17"/>
      <c r="H17" s="221"/>
      <c r="I17" s="15"/>
      <c r="J17" s="383"/>
      <c r="K17" s="222"/>
      <c r="L17" s="222"/>
      <c r="M17" s="222"/>
      <c r="N17" s="222"/>
      <c r="O17" s="9"/>
      <c r="P17" s="9"/>
      <c r="Q17" s="9"/>
      <c r="R17" s="550"/>
      <c r="S17" s="550"/>
      <c r="T17" s="550"/>
      <c r="U17" s="213" t="b">
        <v>0</v>
      </c>
      <c r="V17" s="9" t="s">
        <v>166</v>
      </c>
      <c r="W17" s="9"/>
      <c r="X17" s="399"/>
      <c r="Y17" s="15"/>
      <c r="Z17" s="378"/>
      <c r="AA17" s="15"/>
      <c r="AB17" s="15"/>
      <c r="AC17" s="15"/>
      <c r="AD17" s="15"/>
      <c r="AE17" s="15"/>
      <c r="AF17" s="53"/>
      <c r="AG17" s="15"/>
    </row>
    <row r="18" spans="1:33" s="3" customFormat="1" ht="30" customHeight="1" thickBot="1" x14ac:dyDescent="0.4">
      <c r="A18" s="555"/>
      <c r="B18" s="295">
        <f t="shared" si="0"/>
        <v>19</v>
      </c>
      <c r="C18" s="621"/>
      <c r="D18" s="55"/>
      <c r="E18" s="55"/>
      <c r="F18" s="55"/>
      <c r="G18" s="55"/>
      <c r="H18" s="56"/>
      <c r="I18" s="56"/>
      <c r="J18" s="384"/>
      <c r="K18" s="57"/>
      <c r="L18" s="57"/>
      <c r="M18" s="57"/>
      <c r="N18" s="57"/>
      <c r="O18" s="58"/>
      <c r="P18" s="58"/>
      <c r="Q18" s="58"/>
      <c r="R18" s="550"/>
      <c r="S18" s="550"/>
      <c r="T18" s="550"/>
      <c r="U18" s="550"/>
      <c r="V18" s="550"/>
      <c r="W18" s="58"/>
      <c r="X18" s="402"/>
      <c r="Y18" s="56"/>
      <c r="Z18" s="379"/>
      <c r="AA18" s="56"/>
      <c r="AB18" s="56"/>
      <c r="AC18" s="56"/>
      <c r="AD18" s="56"/>
      <c r="AE18" s="56"/>
      <c r="AF18" s="59"/>
      <c r="AG18" s="15"/>
    </row>
    <row r="19" spans="1:33" ht="15" hidden="1" customHeight="1" thickBot="1" x14ac:dyDescent="0.4">
      <c r="A19" s="87"/>
      <c r="B19" s="241"/>
      <c r="C19" s="391"/>
      <c r="D19" s="238"/>
      <c r="E19" s="238"/>
      <c r="F19" s="238"/>
      <c r="G19" s="238"/>
      <c r="H19" s="238"/>
      <c r="I19" s="238"/>
      <c r="J19" s="389"/>
      <c r="K19" s="238"/>
      <c r="L19" s="238"/>
      <c r="M19" s="238"/>
      <c r="N19" s="238"/>
      <c r="O19" s="238"/>
      <c r="P19" s="238"/>
      <c r="Q19" s="238"/>
      <c r="R19" s="229"/>
      <c r="S19" s="229"/>
      <c r="T19" s="229"/>
      <c r="U19" s="389"/>
      <c r="V19" s="238"/>
      <c r="W19" s="238"/>
      <c r="X19" s="389"/>
      <c r="Y19" s="238"/>
      <c r="Z19" s="390"/>
      <c r="AA19" s="238"/>
      <c r="AB19" s="238"/>
      <c r="AC19" s="238"/>
      <c r="AD19" s="238"/>
      <c r="AE19" s="238"/>
      <c r="AF19" s="311"/>
      <c r="AG19"/>
    </row>
    <row r="20" spans="1:33" ht="5" customHeight="1" thickBot="1" x14ac:dyDescent="0.4">
      <c r="A20" s="87"/>
      <c r="B20" s="241"/>
      <c r="C20" s="391"/>
      <c r="D20" s="238"/>
      <c r="E20" s="238"/>
      <c r="F20" s="238"/>
      <c r="G20" s="238"/>
      <c r="H20" s="238"/>
      <c r="I20" s="238"/>
      <c r="J20" s="389"/>
      <c r="K20" s="238"/>
      <c r="L20" s="238"/>
      <c r="M20" s="238"/>
      <c r="N20" s="238"/>
      <c r="O20" s="238"/>
      <c r="P20" s="238"/>
      <c r="Q20" s="238"/>
      <c r="R20" s="238"/>
      <c r="S20" s="238"/>
      <c r="T20" s="238"/>
      <c r="U20" s="389"/>
      <c r="V20" s="238"/>
      <c r="W20" s="238"/>
      <c r="X20" s="389"/>
      <c r="Y20" s="238"/>
      <c r="Z20" s="390"/>
      <c r="AA20" s="238"/>
      <c r="AB20" s="238"/>
      <c r="AC20" s="238"/>
      <c r="AD20" s="238"/>
      <c r="AE20" s="238"/>
      <c r="AF20" s="311"/>
      <c r="AG20" s="87"/>
    </row>
    <row r="21" spans="1:33" ht="15" hidden="1" customHeight="1" thickBot="1" x14ac:dyDescent="0.4">
      <c r="A21" s="87"/>
      <c r="B21" s="241"/>
      <c r="C21" s="391"/>
      <c r="D21" s="238"/>
      <c r="E21" s="238"/>
      <c r="F21" s="238"/>
      <c r="G21" s="238"/>
      <c r="H21" s="238"/>
      <c r="I21" s="238"/>
      <c r="J21" s="389"/>
      <c r="K21" s="238"/>
      <c r="L21" s="238"/>
      <c r="M21" s="238"/>
      <c r="N21" s="238"/>
      <c r="O21" s="238"/>
      <c r="P21" s="238"/>
      <c r="Q21" s="238"/>
      <c r="R21" s="238"/>
      <c r="S21" s="238"/>
      <c r="T21" s="238"/>
      <c r="U21" s="389"/>
      <c r="V21" s="238"/>
      <c r="W21" s="238"/>
      <c r="X21" s="389"/>
      <c r="Y21" s="238"/>
      <c r="Z21" s="390"/>
      <c r="AA21" s="238"/>
      <c r="AB21" s="238"/>
      <c r="AC21" s="238"/>
      <c r="AD21" s="238"/>
      <c r="AE21" s="238"/>
      <c r="AF21" s="311"/>
      <c r="AG21"/>
    </row>
    <row r="22" spans="1:33" s="13" customFormat="1" ht="29" customHeight="1" x14ac:dyDescent="0.35">
      <c r="A22" s="553">
        <f>A10+1</f>
        <v>2</v>
      </c>
      <c r="B22" s="295">
        <f>B10+10</f>
        <v>21</v>
      </c>
      <c r="C22" s="619" t="str">
        <f>VLOOKUP(A22,INputs!$G$3:$O$22,7,FALSE)</f>
        <v>Please fill out Sensitivity Labels Tab</v>
      </c>
      <c r="D22" s="8"/>
      <c r="E22" s="8"/>
      <c r="F22" s="580" t="s">
        <v>108</v>
      </c>
      <c r="G22" s="580"/>
      <c r="H22" s="580" t="s">
        <v>108</v>
      </c>
      <c r="I22" s="580"/>
      <c r="J22" s="581" t="str">
        <f>J$10</f>
        <v>Select a check box</v>
      </c>
      <c r="K22" s="581"/>
      <c r="L22" s="581" t="s">
        <v>108</v>
      </c>
      <c r="M22" s="581"/>
      <c r="N22" s="581"/>
      <c r="O22" s="581" t="s">
        <v>108</v>
      </c>
      <c r="P22" s="581"/>
      <c r="Q22" s="581"/>
      <c r="R22" s="577" t="s">
        <v>147</v>
      </c>
      <c r="S22" s="577"/>
      <c r="T22" s="407" t="s">
        <v>107</v>
      </c>
      <c r="U22" s="551" t="s">
        <v>148</v>
      </c>
      <c r="V22" s="551"/>
      <c r="W22" s="50"/>
      <c r="X22" s="403"/>
      <c r="Y22" s="625" t="s">
        <v>108</v>
      </c>
      <c r="Z22" s="625"/>
      <c r="AA22" s="20"/>
      <c r="AB22" s="580"/>
      <c r="AC22" s="580"/>
      <c r="AD22" s="217"/>
      <c r="AE22" s="386" t="s">
        <v>361</v>
      </c>
      <c r="AF22" s="54"/>
      <c r="AG22" s="20"/>
    </row>
    <row r="23" spans="1:33" s="13" customFormat="1" x14ac:dyDescent="0.35">
      <c r="A23" s="554"/>
      <c r="B23" s="295">
        <f>B22+1</f>
        <v>22</v>
      </c>
      <c r="C23" s="620"/>
      <c r="D23" s="8"/>
      <c r="E23" s="8"/>
      <c r="F23" s="217"/>
      <c r="G23" s="217"/>
      <c r="H23" s="217"/>
      <c r="I23" s="217"/>
      <c r="J23" s="386"/>
      <c r="K23" s="386"/>
      <c r="L23" s="386"/>
      <c r="M23" s="386"/>
      <c r="N23" s="386"/>
      <c r="O23" s="386"/>
      <c r="P23" s="386"/>
      <c r="Q23" s="386"/>
      <c r="R23" s="550"/>
      <c r="S23" s="550"/>
      <c r="T23" s="550"/>
      <c r="U23" s="406"/>
      <c r="V23" s="400" t="s">
        <v>109</v>
      </c>
      <c r="W23" s="225"/>
      <c r="X23" s="403"/>
      <c r="Y23" s="405"/>
      <c r="Z23" s="405"/>
      <c r="AA23" s="20"/>
      <c r="AB23" s="217"/>
      <c r="AC23" s="217" t="s">
        <v>108</v>
      </c>
      <c r="AD23" s="217"/>
      <c r="AE23" s="386"/>
      <c r="AF23" s="54"/>
      <c r="AG23" s="20"/>
    </row>
    <row r="24" spans="1:33" s="3" customFormat="1" ht="30.5" customHeight="1" x14ac:dyDescent="0.35">
      <c r="A24" s="554"/>
      <c r="B24" s="295">
        <f t="shared" ref="B24:B30" si="1">B23+1</f>
        <v>23</v>
      </c>
      <c r="C24" s="620"/>
      <c r="E24" s="209" t="b">
        <v>0</v>
      </c>
      <c r="F24" s="3" t="s">
        <v>333</v>
      </c>
      <c r="H24" s="209" t="b">
        <v>0</v>
      </c>
      <c r="I24" s="219" t="s">
        <v>150</v>
      </c>
      <c r="J24" s="210" t="b">
        <v>0</v>
      </c>
      <c r="K24" s="211" t="s">
        <v>151</v>
      </c>
      <c r="L24" s="212" t="b">
        <v>0</v>
      </c>
      <c r="M24" s="9" t="s">
        <v>152</v>
      </c>
      <c r="N24" s="222"/>
      <c r="O24" s="212" t="b">
        <v>0</v>
      </c>
      <c r="P24" s="9" t="s">
        <v>153</v>
      </c>
      <c r="Q24" s="9"/>
      <c r="R24" s="550"/>
      <c r="S24" s="550"/>
      <c r="T24" s="550"/>
      <c r="U24" s="550"/>
      <c r="V24" s="550"/>
      <c r="W24" s="225"/>
      <c r="X24" s="213" t="b">
        <v>0</v>
      </c>
      <c r="Y24" s="214" t="s">
        <v>154</v>
      </c>
      <c r="Z24" s="381"/>
      <c r="AA24" s="15"/>
      <c r="AB24" s="215" t="b">
        <v>0</v>
      </c>
      <c r="AC24" s="15" t="s">
        <v>155</v>
      </c>
      <c r="AD24" s="15"/>
      <c r="AE24" s="15"/>
      <c r="AF24" s="53"/>
      <c r="AG24" s="15"/>
    </row>
    <row r="25" spans="1:33" s="3" customFormat="1" ht="32" customHeight="1" x14ac:dyDescent="0.35">
      <c r="A25" s="554"/>
      <c r="B25" s="295">
        <f t="shared" si="1"/>
        <v>24</v>
      </c>
      <c r="C25" s="620"/>
      <c r="E25" s="209" t="b">
        <v>0</v>
      </c>
      <c r="F25" s="205" t="s">
        <v>332</v>
      </c>
      <c r="H25" s="15"/>
      <c r="I25" s="219"/>
      <c r="J25" s="213" t="b">
        <v>0</v>
      </c>
      <c r="K25" s="576" t="s">
        <v>157</v>
      </c>
      <c r="L25" s="213" t="b">
        <v>0</v>
      </c>
      <c r="M25" s="214" t="s">
        <v>158</v>
      </c>
      <c r="N25" s="397">
        <v>44197</v>
      </c>
      <c r="O25" s="213" t="b">
        <v>0</v>
      </c>
      <c r="P25" s="214" t="s">
        <v>152</v>
      </c>
      <c r="Q25" s="214"/>
      <c r="R25" s="212" t="b">
        <v>0</v>
      </c>
      <c r="S25" s="9" t="s">
        <v>366</v>
      </c>
      <c r="T25" s="9" t="s">
        <v>107</v>
      </c>
      <c r="U25" s="213" t="b">
        <v>0</v>
      </c>
      <c r="V25" s="400" t="s">
        <v>164</v>
      </c>
      <c r="W25" s="224"/>
      <c r="X25" s="213" t="b">
        <v>0</v>
      </c>
      <c r="Y25" s="214" t="s">
        <v>159</v>
      </c>
      <c r="Z25" s="381"/>
      <c r="AA25" s="15"/>
      <c r="AB25" s="226"/>
      <c r="AC25" s="217" t="s">
        <v>109</v>
      </c>
      <c r="AD25" s="218"/>
      <c r="AE25" s="386" t="s">
        <v>362</v>
      </c>
      <c r="AF25" s="54"/>
      <c r="AG25" s="15"/>
    </row>
    <row r="26" spans="1:33" s="3" customFormat="1" ht="14.5" customHeight="1" x14ac:dyDescent="0.35">
      <c r="A26" s="554"/>
      <c r="B26" s="295">
        <f t="shared" si="1"/>
        <v>25</v>
      </c>
      <c r="C26" s="620"/>
      <c r="E26" s="209" t="b">
        <v>0</v>
      </c>
      <c r="F26" s="578" t="s">
        <v>160</v>
      </c>
      <c r="H26" s="209" t="b">
        <v>0</v>
      </c>
      <c r="I26" s="219" t="s">
        <v>161</v>
      </c>
      <c r="J26" s="214"/>
      <c r="K26" s="576"/>
      <c r="L26" s="212" t="b">
        <v>0</v>
      </c>
      <c r="M26" s="44" t="s">
        <v>162</v>
      </c>
      <c r="N26" s="220">
        <v>6</v>
      </c>
      <c r="O26" s="212" t="b">
        <v>0</v>
      </c>
      <c r="P26" s="9" t="s">
        <v>162</v>
      </c>
      <c r="Q26" s="220">
        <v>7</v>
      </c>
      <c r="R26" s="550"/>
      <c r="S26" s="550"/>
      <c r="T26" s="550"/>
      <c r="U26" s="552" t="s">
        <v>108</v>
      </c>
      <c r="V26" s="552"/>
      <c r="W26" s="552"/>
      <c r="X26" s="213" t="b">
        <v>0</v>
      </c>
      <c r="Y26" s="9" t="s">
        <v>331</v>
      </c>
      <c r="Z26" s="550"/>
      <c r="AA26" s="15"/>
      <c r="AB26" s="226"/>
      <c r="AC26" s="22"/>
      <c r="AD26" s="15"/>
      <c r="AE26" s="623"/>
      <c r="AF26" s="53"/>
      <c r="AG26" s="15"/>
    </row>
    <row r="27" spans="1:33" s="3" customFormat="1" ht="34" customHeight="1" x14ac:dyDescent="0.35">
      <c r="A27" s="554"/>
      <c r="B27" s="295">
        <f t="shared" si="1"/>
        <v>26</v>
      </c>
      <c r="C27" s="620"/>
      <c r="F27" s="578"/>
      <c r="H27" s="15"/>
      <c r="I27" s="15"/>
      <c r="J27" s="214"/>
      <c r="K27" s="9"/>
      <c r="L27" s="15"/>
      <c r="M27" s="15"/>
      <c r="N27" s="227"/>
      <c r="O27" s="9"/>
      <c r="P27" s="9"/>
      <c r="Q27" s="9"/>
      <c r="R27" s="550"/>
      <c r="S27" s="550"/>
      <c r="T27" s="550"/>
      <c r="U27" s="213" t="b">
        <v>0</v>
      </c>
      <c r="V27" s="214" t="s">
        <v>165</v>
      </c>
      <c r="W27" s="225"/>
      <c r="X27" s="399"/>
      <c r="Y27" s="15"/>
      <c r="Z27" s="550"/>
      <c r="AA27" s="15"/>
      <c r="AB27" s="15"/>
      <c r="AC27" s="15"/>
      <c r="AD27" s="15"/>
      <c r="AE27" s="623"/>
      <c r="AF27" s="53"/>
      <c r="AG27" s="15"/>
    </row>
    <row r="28" spans="1:33" s="3" customFormat="1" ht="30" customHeight="1" x14ac:dyDescent="0.35">
      <c r="A28" s="554"/>
      <c r="B28" s="295">
        <f t="shared" si="1"/>
        <v>27</v>
      </c>
      <c r="C28" s="620"/>
      <c r="E28"/>
      <c r="H28" s="15"/>
      <c r="I28" s="15"/>
      <c r="J28" s="383"/>
      <c r="K28" s="222"/>
      <c r="L28" s="222"/>
      <c r="M28" s="222"/>
      <c r="N28" s="222"/>
      <c r="O28" s="9"/>
      <c r="P28" s="9"/>
      <c r="Q28" s="9"/>
      <c r="R28" s="212" t="b">
        <v>0</v>
      </c>
      <c r="S28" s="9" t="s">
        <v>367</v>
      </c>
      <c r="T28" s="9" t="s">
        <v>107</v>
      </c>
      <c r="U28" s="517"/>
      <c r="V28" s="517"/>
      <c r="X28" s="399"/>
      <c r="Y28" s="15"/>
      <c r="Z28" s="378"/>
      <c r="AA28" s="15"/>
      <c r="AB28" s="15"/>
      <c r="AC28" s="15"/>
      <c r="AD28" s="15"/>
      <c r="AE28" s="15"/>
      <c r="AF28" s="53"/>
      <c r="AG28" s="15"/>
    </row>
    <row r="29" spans="1:33" s="3" customFormat="1" x14ac:dyDescent="0.35">
      <c r="A29" s="554"/>
      <c r="B29" s="295">
        <f t="shared" si="1"/>
        <v>28</v>
      </c>
      <c r="C29" s="620"/>
      <c r="E29"/>
      <c r="H29" s="221"/>
      <c r="I29" s="15"/>
      <c r="J29" s="383"/>
      <c r="K29" s="222"/>
      <c r="L29" s="222"/>
      <c r="M29" s="222"/>
      <c r="N29" s="222"/>
      <c r="O29" s="9"/>
      <c r="P29" s="9"/>
      <c r="Q29" s="9"/>
      <c r="R29" s="550"/>
      <c r="S29" s="550"/>
      <c r="T29" s="550"/>
      <c r="U29" s="213" t="b">
        <v>0</v>
      </c>
      <c r="V29" s="9" t="s">
        <v>166</v>
      </c>
      <c r="W29" s="9"/>
      <c r="X29" s="399"/>
      <c r="Y29" s="15"/>
      <c r="Z29" s="378"/>
      <c r="AA29" s="15"/>
      <c r="AB29" s="15"/>
      <c r="AC29" s="15"/>
      <c r="AD29" s="15"/>
      <c r="AE29" s="15"/>
      <c r="AF29" s="53"/>
      <c r="AG29" s="15"/>
    </row>
    <row r="30" spans="1:33" s="3" customFormat="1" ht="30" customHeight="1" thickBot="1" x14ac:dyDescent="0.4">
      <c r="A30" s="555"/>
      <c r="B30" s="295">
        <f t="shared" si="1"/>
        <v>29</v>
      </c>
      <c r="C30" s="621"/>
      <c r="D30" s="55"/>
      <c r="E30" s="55"/>
      <c r="F30" s="55"/>
      <c r="G30" s="55"/>
      <c r="H30" s="56"/>
      <c r="I30" s="56"/>
      <c r="J30" s="384"/>
      <c r="K30" s="57"/>
      <c r="L30" s="57"/>
      <c r="M30" s="57"/>
      <c r="N30" s="57"/>
      <c r="O30" s="58"/>
      <c r="P30" s="58"/>
      <c r="Q30" s="58"/>
      <c r="R30" s="550"/>
      <c r="S30" s="550"/>
      <c r="T30" s="550"/>
      <c r="U30" s="517"/>
      <c r="V30" s="517"/>
      <c r="W30" s="58"/>
      <c r="X30" s="402"/>
      <c r="Y30" s="56"/>
      <c r="Z30" s="379"/>
      <c r="AA30" s="56"/>
      <c r="AB30" s="56"/>
      <c r="AC30" s="56"/>
      <c r="AD30" s="56"/>
      <c r="AE30" s="56"/>
      <c r="AF30" s="59"/>
      <c r="AG30" s="15"/>
    </row>
    <row r="31" spans="1:33" s="3" customFormat="1" ht="15" hidden="1" customHeight="1" thickBot="1" x14ac:dyDescent="0.4">
      <c r="A31" s="87"/>
      <c r="B31" s="241"/>
      <c r="C31" s="391"/>
      <c r="D31" s="238"/>
      <c r="E31" s="238"/>
      <c r="F31" s="238"/>
      <c r="G31" s="238"/>
      <c r="H31" s="238"/>
      <c r="I31" s="238"/>
      <c r="J31" s="389"/>
      <c r="K31" s="238"/>
      <c r="L31" s="238"/>
      <c r="M31" s="238"/>
      <c r="N31" s="238"/>
      <c r="O31" s="238"/>
      <c r="P31" s="238"/>
      <c r="Q31" s="238"/>
      <c r="R31" s="238"/>
      <c r="S31" s="238"/>
      <c r="T31" s="238"/>
      <c r="U31" s="389"/>
      <c r="V31" s="238"/>
      <c r="W31" s="238"/>
      <c r="X31" s="389"/>
      <c r="Y31" s="238"/>
      <c r="Z31" s="390"/>
      <c r="AA31" s="238"/>
      <c r="AB31" s="238"/>
      <c r="AC31" s="238"/>
      <c r="AD31" s="238"/>
      <c r="AE31" s="238"/>
      <c r="AF31" s="311"/>
      <c r="AG31" s="15"/>
    </row>
    <row r="32" spans="1:33" ht="5" customHeight="1" thickBot="1" x14ac:dyDescent="0.4">
      <c r="A32" s="87"/>
      <c r="B32" s="241"/>
      <c r="C32" s="391"/>
      <c r="D32" s="238"/>
      <c r="E32" s="238"/>
      <c r="F32" s="238"/>
      <c r="G32" s="238"/>
      <c r="H32" s="238"/>
      <c r="I32" s="238"/>
      <c r="J32" s="389"/>
      <c r="K32" s="238"/>
      <c r="L32" s="238"/>
      <c r="M32" s="238"/>
      <c r="N32" s="238"/>
      <c r="O32" s="238"/>
      <c r="P32" s="238"/>
      <c r="Q32" s="238"/>
      <c r="R32" s="238"/>
      <c r="S32" s="238"/>
      <c r="T32" s="238"/>
      <c r="U32" s="389"/>
      <c r="V32" s="238"/>
      <c r="W32" s="238"/>
      <c r="X32" s="389"/>
      <c r="Y32" s="238"/>
      <c r="Z32" s="390"/>
      <c r="AA32" s="238"/>
      <c r="AB32" s="238"/>
      <c r="AC32" s="238"/>
      <c r="AD32" s="238"/>
      <c r="AE32" s="238"/>
      <c r="AF32" s="311"/>
      <c r="AG32" s="87"/>
    </row>
    <row r="33" spans="1:33" ht="15" hidden="1" customHeight="1" thickBot="1" x14ac:dyDescent="0.4">
      <c r="A33" s="87"/>
      <c r="B33" s="241"/>
      <c r="C33" s="391"/>
      <c r="D33" s="238"/>
      <c r="E33" s="238"/>
      <c r="F33" s="238"/>
      <c r="G33" s="238"/>
      <c r="H33" s="238"/>
      <c r="I33" s="238"/>
      <c r="J33" s="389"/>
      <c r="K33" s="238"/>
      <c r="L33" s="238"/>
      <c r="M33" s="238"/>
      <c r="N33" s="238"/>
      <c r="O33" s="238"/>
      <c r="P33" s="238"/>
      <c r="Q33" s="238"/>
      <c r="R33" s="238"/>
      <c r="S33" s="238"/>
      <c r="T33" s="238"/>
      <c r="U33" s="389"/>
      <c r="V33" s="238"/>
      <c r="W33" s="238"/>
      <c r="X33" s="389"/>
      <c r="Y33" s="238"/>
      <c r="Z33" s="390"/>
      <c r="AA33" s="238"/>
      <c r="AB33" s="238"/>
      <c r="AC33" s="238"/>
      <c r="AD33" s="238"/>
      <c r="AE33" s="238"/>
      <c r="AF33" s="311"/>
      <c r="AG33"/>
    </row>
    <row r="34" spans="1:33" s="13" customFormat="1" ht="29" customHeight="1" x14ac:dyDescent="0.35">
      <c r="A34" s="553">
        <f>A22+1</f>
        <v>3</v>
      </c>
      <c r="B34" s="295">
        <f>B22+10</f>
        <v>31</v>
      </c>
      <c r="C34" s="619" t="str">
        <f>VLOOKUP(A34,INputs!$G$3:$O$22,7,FALSE)</f>
        <v>Please fill out Sensitivity Labels Tab</v>
      </c>
      <c r="D34" s="47"/>
      <c r="E34" s="47"/>
      <c r="F34" s="573" t="s">
        <v>108</v>
      </c>
      <c r="G34" s="573"/>
      <c r="H34" s="573" t="s">
        <v>108</v>
      </c>
      <c r="I34" s="573"/>
      <c r="J34" s="575" t="str">
        <f>J10</f>
        <v>Select a check box</v>
      </c>
      <c r="K34" s="575"/>
      <c r="L34" s="575" t="s">
        <v>108</v>
      </c>
      <c r="M34" s="575"/>
      <c r="N34" s="575"/>
      <c r="O34" s="575" t="s">
        <v>108</v>
      </c>
      <c r="P34" s="575"/>
      <c r="Q34" s="575"/>
      <c r="R34" s="577" t="s">
        <v>147</v>
      </c>
      <c r="S34" s="577"/>
      <c r="T34" s="407" t="s">
        <v>107</v>
      </c>
      <c r="U34" s="551" t="s">
        <v>148</v>
      </c>
      <c r="V34" s="551"/>
      <c r="W34" s="50"/>
      <c r="X34" s="401"/>
      <c r="Y34" s="574" t="s">
        <v>108</v>
      </c>
      <c r="Z34" s="574"/>
      <c r="AA34" s="51"/>
      <c r="AB34" s="573"/>
      <c r="AC34" s="573"/>
      <c r="AD34" s="48"/>
      <c r="AE34" s="49" t="s">
        <v>361</v>
      </c>
      <c r="AF34" s="52"/>
      <c r="AG34" s="20"/>
    </row>
    <row r="35" spans="1:33" s="13" customFormat="1" x14ac:dyDescent="0.35">
      <c r="A35" s="554"/>
      <c r="B35" s="295">
        <f>B34+1</f>
        <v>32</v>
      </c>
      <c r="C35" s="620"/>
      <c r="D35" s="8"/>
      <c r="E35" s="8"/>
      <c r="F35" s="217"/>
      <c r="G35" s="217"/>
      <c r="H35" s="217"/>
      <c r="I35" s="217"/>
      <c r="J35" s="386"/>
      <c r="K35" s="386"/>
      <c r="L35" s="386"/>
      <c r="M35" s="386"/>
      <c r="N35" s="386"/>
      <c r="O35" s="386"/>
      <c r="P35" s="386"/>
      <c r="Q35" s="386"/>
      <c r="R35" s="550"/>
      <c r="S35" s="550"/>
      <c r="T35" s="550"/>
      <c r="U35" s="406"/>
      <c r="V35" s="400" t="s">
        <v>109</v>
      </c>
      <c r="W35" s="225"/>
      <c r="X35" s="403"/>
      <c r="Y35" s="405"/>
      <c r="Z35" s="405"/>
      <c r="AA35" s="20"/>
      <c r="AB35" s="217"/>
      <c r="AC35" s="217" t="s">
        <v>108</v>
      </c>
      <c r="AD35" s="217"/>
      <c r="AE35" s="386"/>
      <c r="AF35" s="54"/>
      <c r="AG35" s="20"/>
    </row>
    <row r="36" spans="1:33" s="3" customFormat="1" ht="30.5" x14ac:dyDescent="0.35">
      <c r="A36" s="554"/>
      <c r="B36" s="295">
        <f t="shared" ref="B36:B42" si="2">B35+1</f>
        <v>33</v>
      </c>
      <c r="C36" s="620"/>
      <c r="E36" s="209" t="b">
        <v>0</v>
      </c>
      <c r="F36" s="3" t="s">
        <v>333</v>
      </c>
      <c r="H36" s="209" t="b">
        <v>0</v>
      </c>
      <c r="I36" s="219" t="s">
        <v>150</v>
      </c>
      <c r="J36" s="210" t="b">
        <v>0</v>
      </c>
      <c r="K36" s="211" t="s">
        <v>151</v>
      </c>
      <c r="L36" s="212" t="b">
        <v>0</v>
      </c>
      <c r="M36" s="9" t="s">
        <v>152</v>
      </c>
      <c r="N36" s="222"/>
      <c r="O36" s="212" t="b">
        <v>0</v>
      </c>
      <c r="P36" s="9" t="s">
        <v>153</v>
      </c>
      <c r="Q36" s="9"/>
      <c r="R36" s="550"/>
      <c r="S36" s="550"/>
      <c r="T36" s="550"/>
      <c r="U36" s="550"/>
      <c r="V36" s="550"/>
      <c r="W36" s="225"/>
      <c r="X36" s="213" t="b">
        <v>0</v>
      </c>
      <c r="Y36" s="214" t="s">
        <v>154</v>
      </c>
      <c r="Z36" s="381"/>
      <c r="AA36" s="15"/>
      <c r="AB36" s="215" t="b">
        <v>0</v>
      </c>
      <c r="AC36" s="15" t="s">
        <v>155</v>
      </c>
      <c r="AD36" s="15"/>
      <c r="AE36" s="15"/>
      <c r="AF36" s="53"/>
      <c r="AG36" s="15"/>
    </row>
    <row r="37" spans="1:33" s="3" customFormat="1" ht="35" customHeight="1" x14ac:dyDescent="0.35">
      <c r="A37" s="554"/>
      <c r="B37" s="295">
        <f t="shared" si="2"/>
        <v>34</v>
      </c>
      <c r="C37" s="620"/>
      <c r="E37" s="209" t="b">
        <v>0</v>
      </c>
      <c r="F37" s="205" t="s">
        <v>332</v>
      </c>
      <c r="H37" s="15"/>
      <c r="I37" s="219"/>
      <c r="J37" s="213" t="b">
        <v>0</v>
      </c>
      <c r="K37" s="576" t="s">
        <v>157</v>
      </c>
      <c r="L37" s="213" t="b">
        <v>0</v>
      </c>
      <c r="M37" s="214" t="s">
        <v>158</v>
      </c>
      <c r="N37" s="397">
        <v>44197</v>
      </c>
      <c r="O37" s="213" t="b">
        <v>0</v>
      </c>
      <c r="P37" s="214" t="s">
        <v>152</v>
      </c>
      <c r="Q37" s="214"/>
      <c r="R37" s="212" t="b">
        <v>0</v>
      </c>
      <c r="S37" s="9" t="s">
        <v>366</v>
      </c>
      <c r="T37" s="9" t="s">
        <v>107</v>
      </c>
      <c r="U37" s="213" t="b">
        <v>0</v>
      </c>
      <c r="V37" s="400" t="s">
        <v>164</v>
      </c>
      <c r="W37" s="224"/>
      <c r="X37" s="213" t="b">
        <v>0</v>
      </c>
      <c r="Y37" s="214" t="s">
        <v>159</v>
      </c>
      <c r="Z37" s="381"/>
      <c r="AA37" s="15"/>
      <c r="AB37" s="226"/>
      <c r="AC37" s="217" t="s">
        <v>109</v>
      </c>
      <c r="AD37" s="218"/>
      <c r="AE37" s="386" t="s">
        <v>362</v>
      </c>
      <c r="AF37" s="54"/>
      <c r="AG37" s="15"/>
    </row>
    <row r="38" spans="1:33" s="3" customFormat="1" ht="14.5" customHeight="1" x14ac:dyDescent="0.35">
      <c r="A38" s="554"/>
      <c r="B38" s="295">
        <f t="shared" si="2"/>
        <v>35</v>
      </c>
      <c r="C38" s="620"/>
      <c r="E38" s="209" t="b">
        <v>0</v>
      </c>
      <c r="F38" s="578" t="s">
        <v>160</v>
      </c>
      <c r="H38" s="209" t="b">
        <v>0</v>
      </c>
      <c r="I38" s="219" t="s">
        <v>161</v>
      </c>
      <c r="J38" s="214"/>
      <c r="K38" s="576"/>
      <c r="L38" s="212" t="b">
        <v>0</v>
      </c>
      <c r="M38" s="44" t="s">
        <v>162</v>
      </c>
      <c r="N38" s="220">
        <v>0</v>
      </c>
      <c r="O38" s="212" t="b">
        <v>0</v>
      </c>
      <c r="P38" s="9" t="s">
        <v>162</v>
      </c>
      <c r="Q38" s="220">
        <v>0</v>
      </c>
      <c r="R38" s="550"/>
      <c r="S38" s="550"/>
      <c r="T38" s="550"/>
      <c r="U38" s="552" t="s">
        <v>108</v>
      </c>
      <c r="V38" s="552"/>
      <c r="W38" s="552"/>
      <c r="X38" s="213" t="b">
        <v>0</v>
      </c>
      <c r="Y38" s="9" t="s">
        <v>331</v>
      </c>
      <c r="Z38" s="550"/>
      <c r="AA38" s="15"/>
      <c r="AB38" s="226"/>
      <c r="AC38" s="22"/>
      <c r="AD38" s="15"/>
      <c r="AE38" s="623"/>
      <c r="AF38" s="53"/>
      <c r="AG38" s="15"/>
    </row>
    <row r="39" spans="1:33" s="3" customFormat="1" x14ac:dyDescent="0.35">
      <c r="A39" s="554"/>
      <c r="B39" s="295">
        <f t="shared" si="2"/>
        <v>36</v>
      </c>
      <c r="C39" s="620"/>
      <c r="F39" s="578"/>
      <c r="H39" s="15"/>
      <c r="I39" s="15"/>
      <c r="J39" s="214"/>
      <c r="K39" s="9"/>
      <c r="L39" s="15"/>
      <c r="M39" s="15"/>
      <c r="N39" s="227"/>
      <c r="O39" s="9"/>
      <c r="P39" s="9"/>
      <c r="Q39" s="9"/>
      <c r="R39" s="550"/>
      <c r="S39" s="550"/>
      <c r="T39" s="550"/>
      <c r="U39" s="213" t="b">
        <v>0</v>
      </c>
      <c r="V39" s="214" t="s">
        <v>165</v>
      </c>
      <c r="W39" s="225"/>
      <c r="X39" s="399"/>
      <c r="Y39" s="15"/>
      <c r="Z39" s="550"/>
      <c r="AA39" s="15"/>
      <c r="AB39" s="15"/>
      <c r="AC39" s="15"/>
      <c r="AD39" s="15"/>
      <c r="AE39" s="623"/>
      <c r="AF39" s="53"/>
      <c r="AG39" s="15"/>
    </row>
    <row r="40" spans="1:33" s="3" customFormat="1" ht="30" customHeight="1" x14ac:dyDescent="0.35">
      <c r="A40" s="554"/>
      <c r="B40" s="295">
        <f t="shared" si="2"/>
        <v>37</v>
      </c>
      <c r="C40" s="620"/>
      <c r="E40"/>
      <c r="H40" s="15"/>
      <c r="I40" s="15"/>
      <c r="J40" s="383"/>
      <c r="K40" s="222"/>
      <c r="L40" s="222"/>
      <c r="M40" s="222"/>
      <c r="N40" s="222"/>
      <c r="O40" s="9"/>
      <c r="P40" s="9"/>
      <c r="Q40" s="9"/>
      <c r="R40" s="212" t="b">
        <v>0</v>
      </c>
      <c r="S40" s="9" t="s">
        <v>367</v>
      </c>
      <c r="T40" s="9" t="s">
        <v>107</v>
      </c>
      <c r="U40" s="550"/>
      <c r="V40" s="550"/>
      <c r="X40" s="399"/>
      <c r="Y40" s="15"/>
      <c r="Z40" s="378"/>
      <c r="AA40" s="15"/>
      <c r="AB40" s="15"/>
      <c r="AC40" s="15"/>
      <c r="AD40" s="15"/>
      <c r="AE40" s="15"/>
      <c r="AF40" s="53"/>
      <c r="AG40" s="15"/>
    </row>
    <row r="41" spans="1:33" s="3" customFormat="1" x14ac:dyDescent="0.35">
      <c r="A41" s="554"/>
      <c r="B41" s="295">
        <f t="shared" si="2"/>
        <v>38</v>
      </c>
      <c r="C41" s="620"/>
      <c r="E41"/>
      <c r="H41" s="221"/>
      <c r="I41" s="15"/>
      <c r="J41" s="383"/>
      <c r="K41" s="222"/>
      <c r="L41" s="222"/>
      <c r="M41" s="222"/>
      <c r="N41" s="222"/>
      <c r="O41" s="9"/>
      <c r="P41" s="9"/>
      <c r="Q41" s="9"/>
      <c r="R41" s="550"/>
      <c r="S41" s="550"/>
      <c r="T41" s="550"/>
      <c r="U41" s="213" t="b">
        <v>0</v>
      </c>
      <c r="V41" s="9" t="s">
        <v>166</v>
      </c>
      <c r="W41" s="9"/>
      <c r="X41" s="399"/>
      <c r="Y41" s="15"/>
      <c r="Z41" s="378"/>
      <c r="AA41" s="15"/>
      <c r="AB41" s="15"/>
      <c r="AC41" s="15"/>
      <c r="AD41" s="15"/>
      <c r="AE41" s="15"/>
      <c r="AF41" s="53"/>
      <c r="AG41" s="15"/>
    </row>
    <row r="42" spans="1:33" s="3" customFormat="1" ht="30" customHeight="1" thickBot="1" x14ac:dyDescent="0.4">
      <c r="A42" s="555"/>
      <c r="B42" s="295">
        <f t="shared" si="2"/>
        <v>39</v>
      </c>
      <c r="C42" s="621"/>
      <c r="D42" s="55"/>
      <c r="E42" s="55"/>
      <c r="F42" s="55"/>
      <c r="G42" s="55"/>
      <c r="H42" s="56"/>
      <c r="I42" s="56"/>
      <c r="J42" s="384"/>
      <c r="K42" s="57"/>
      <c r="L42" s="57"/>
      <c r="M42" s="57"/>
      <c r="N42" s="57"/>
      <c r="O42" s="58"/>
      <c r="P42" s="58"/>
      <c r="Q42" s="58"/>
      <c r="R42" s="550"/>
      <c r="S42" s="550"/>
      <c r="T42" s="550"/>
      <c r="U42" s="550"/>
      <c r="V42" s="550"/>
      <c r="W42" s="58"/>
      <c r="X42" s="402"/>
      <c r="Y42" s="56"/>
      <c r="Z42" s="379"/>
      <c r="AA42" s="56"/>
      <c r="AB42" s="56"/>
      <c r="AC42" s="56"/>
      <c r="AD42" s="56"/>
      <c r="AE42" s="56"/>
      <c r="AF42" s="59"/>
      <c r="AG42" s="15"/>
    </row>
    <row r="43" spans="1:33" s="3" customFormat="1" ht="15" hidden="1" customHeight="1" thickBot="1" x14ac:dyDescent="0.4">
      <c r="A43" s="87"/>
      <c r="B43" s="241"/>
      <c r="C43" s="392"/>
      <c r="D43" s="393"/>
      <c r="E43" s="393"/>
      <c r="F43" s="393"/>
      <c r="G43" s="393"/>
      <c r="H43" s="393"/>
      <c r="I43" s="393"/>
      <c r="J43" s="394"/>
      <c r="K43" s="393"/>
      <c r="L43" s="393"/>
      <c r="M43" s="393"/>
      <c r="N43" s="393"/>
      <c r="O43" s="393"/>
      <c r="P43" s="393"/>
      <c r="Q43" s="393"/>
      <c r="R43" s="393"/>
      <c r="S43" s="393"/>
      <c r="T43" s="393"/>
      <c r="U43" s="394"/>
      <c r="V43" s="393"/>
      <c r="W43" s="393"/>
      <c r="X43" s="394"/>
      <c r="Y43" s="393"/>
      <c r="Z43" s="395"/>
      <c r="AA43" s="393"/>
      <c r="AB43" s="393"/>
      <c r="AC43" s="393"/>
      <c r="AD43" s="393"/>
      <c r="AE43" s="393"/>
      <c r="AF43" s="396"/>
      <c r="AG43" s="15"/>
    </row>
    <row r="44" spans="1:33" ht="5" customHeight="1" thickBot="1" x14ac:dyDescent="0.4">
      <c r="A44" s="87"/>
      <c r="B44" s="241"/>
      <c r="C44" s="391"/>
      <c r="D44" s="238"/>
      <c r="E44" s="238"/>
      <c r="F44" s="238"/>
      <c r="G44" s="238"/>
      <c r="H44" s="238"/>
      <c r="I44" s="238"/>
      <c r="J44" s="389"/>
      <c r="K44" s="238"/>
      <c r="L44" s="238"/>
      <c r="M44" s="238"/>
      <c r="N44" s="238"/>
      <c r="O44" s="238"/>
      <c r="P44" s="238"/>
      <c r="Q44" s="238"/>
      <c r="R44" s="238"/>
      <c r="S44" s="238"/>
      <c r="T44" s="238"/>
      <c r="U44" s="389"/>
      <c r="V44" s="238"/>
      <c r="W44" s="238"/>
      <c r="X44" s="389"/>
      <c r="Y44" s="238"/>
      <c r="Z44" s="390"/>
      <c r="AA44" s="238"/>
      <c r="AB44" s="238"/>
      <c r="AC44" s="238"/>
      <c r="AD44" s="238"/>
      <c r="AE44" s="238"/>
      <c r="AF44" s="311"/>
      <c r="AG44" s="87"/>
    </row>
    <row r="45" spans="1:33" ht="15" hidden="1" customHeight="1" thickBot="1" x14ac:dyDescent="0.4">
      <c r="A45" s="87"/>
      <c r="B45" s="241"/>
      <c r="C45" s="391"/>
      <c r="D45" s="238"/>
      <c r="E45" s="238"/>
      <c r="F45" s="238"/>
      <c r="G45" s="238"/>
      <c r="H45" s="238"/>
      <c r="I45" s="238"/>
      <c r="J45" s="389"/>
      <c r="K45" s="238"/>
      <c r="L45" s="238"/>
      <c r="M45" s="238"/>
      <c r="N45" s="238"/>
      <c r="O45" s="238"/>
      <c r="P45" s="238"/>
      <c r="Q45" s="238"/>
      <c r="R45" s="238"/>
      <c r="S45" s="238"/>
      <c r="T45" s="238"/>
      <c r="U45" s="389"/>
      <c r="V45" s="238"/>
      <c r="W45" s="238"/>
      <c r="X45" s="389"/>
      <c r="Y45" s="238"/>
      <c r="Z45" s="390"/>
      <c r="AA45" s="238"/>
      <c r="AB45" s="238"/>
      <c r="AC45" s="238"/>
      <c r="AD45" s="238"/>
      <c r="AE45" s="238"/>
      <c r="AF45" s="311"/>
      <c r="AG45"/>
    </row>
    <row r="46" spans="1:33" s="13" customFormat="1" ht="29" customHeight="1" x14ac:dyDescent="0.35">
      <c r="A46" s="553">
        <f>A34+1</f>
        <v>4</v>
      </c>
      <c r="B46" s="295">
        <f>B34+10</f>
        <v>41</v>
      </c>
      <c r="C46" s="619" t="str">
        <f>VLOOKUP(A46,INputs!$G$3:$O$22,7,FALSE)</f>
        <v>Please fill out Sensitivity Labels Tab</v>
      </c>
      <c r="D46" s="47"/>
      <c r="E46" s="47"/>
      <c r="F46" s="573" t="s">
        <v>108</v>
      </c>
      <c r="G46" s="573"/>
      <c r="H46" s="573" t="s">
        <v>108</v>
      </c>
      <c r="I46" s="573"/>
      <c r="J46" s="575" t="str">
        <f>J10</f>
        <v>Select a check box</v>
      </c>
      <c r="K46" s="575"/>
      <c r="L46" s="575" t="s">
        <v>108</v>
      </c>
      <c r="M46" s="575"/>
      <c r="N46" s="575"/>
      <c r="O46" s="575" t="s">
        <v>108</v>
      </c>
      <c r="P46" s="575"/>
      <c r="Q46" s="575"/>
      <c r="R46" s="577" t="s">
        <v>147</v>
      </c>
      <c r="S46" s="577"/>
      <c r="T46" s="407" t="s">
        <v>107</v>
      </c>
      <c r="U46" s="551" t="s">
        <v>148</v>
      </c>
      <c r="V46" s="551"/>
      <c r="W46" s="50"/>
      <c r="X46" s="401"/>
      <c r="Y46" s="574" t="s">
        <v>108</v>
      </c>
      <c r="Z46" s="574"/>
      <c r="AA46" s="51"/>
      <c r="AB46" s="573"/>
      <c r="AC46" s="573"/>
      <c r="AD46" s="48"/>
      <c r="AE46" s="49" t="s">
        <v>361</v>
      </c>
      <c r="AF46" s="52"/>
      <c r="AG46" s="20"/>
    </row>
    <row r="47" spans="1:33" s="13" customFormat="1" x14ac:dyDescent="0.35">
      <c r="A47" s="554"/>
      <c r="B47" s="295">
        <f>B46+1</f>
        <v>42</v>
      </c>
      <c r="C47" s="620"/>
      <c r="D47" s="8"/>
      <c r="E47" s="8"/>
      <c r="F47" s="217"/>
      <c r="G47" s="217"/>
      <c r="H47" s="217"/>
      <c r="I47" s="217"/>
      <c r="J47" s="386"/>
      <c r="K47" s="386"/>
      <c r="L47" s="386"/>
      <c r="M47" s="386"/>
      <c r="N47" s="386"/>
      <c r="O47" s="386"/>
      <c r="P47" s="386"/>
      <c r="Q47" s="386"/>
      <c r="R47" s="550"/>
      <c r="S47" s="550"/>
      <c r="T47" s="550"/>
      <c r="U47" s="406"/>
      <c r="V47" s="400" t="s">
        <v>109</v>
      </c>
      <c r="W47" s="225"/>
      <c r="X47" s="403"/>
      <c r="Y47" s="405"/>
      <c r="Z47" s="405"/>
      <c r="AA47" s="20"/>
      <c r="AB47" s="217"/>
      <c r="AC47" s="217" t="s">
        <v>108</v>
      </c>
      <c r="AD47" s="217"/>
      <c r="AE47" s="386"/>
      <c r="AF47" s="54"/>
      <c r="AG47" s="20"/>
    </row>
    <row r="48" spans="1:33" s="3" customFormat="1" ht="30.5" x14ac:dyDescent="0.35">
      <c r="A48" s="554"/>
      <c r="B48" s="295">
        <f t="shared" ref="B48:B54" si="3">B47+1</f>
        <v>43</v>
      </c>
      <c r="C48" s="620"/>
      <c r="E48" s="209" t="b">
        <v>0</v>
      </c>
      <c r="F48" s="3" t="s">
        <v>333</v>
      </c>
      <c r="H48" s="209" t="b">
        <v>0</v>
      </c>
      <c r="I48" s="219" t="s">
        <v>150</v>
      </c>
      <c r="J48" s="210" t="b">
        <v>0</v>
      </c>
      <c r="K48" s="211" t="s">
        <v>151</v>
      </c>
      <c r="L48" s="212" t="b">
        <v>0</v>
      </c>
      <c r="M48" s="9" t="s">
        <v>152</v>
      </c>
      <c r="N48" s="222"/>
      <c r="O48" s="212" t="b">
        <v>0</v>
      </c>
      <c r="P48" s="9" t="s">
        <v>153</v>
      </c>
      <c r="Q48" s="9"/>
      <c r="R48" s="550"/>
      <c r="S48" s="550"/>
      <c r="T48" s="550"/>
      <c r="U48" s="550"/>
      <c r="V48" s="550"/>
      <c r="W48" s="225"/>
      <c r="X48" s="213" t="b">
        <v>0</v>
      </c>
      <c r="Y48" s="214" t="s">
        <v>154</v>
      </c>
      <c r="Z48" s="381"/>
      <c r="AA48" s="15"/>
      <c r="AB48" s="215" t="b">
        <v>0</v>
      </c>
      <c r="AC48" s="15" t="s">
        <v>155</v>
      </c>
      <c r="AD48" s="15"/>
      <c r="AE48" s="15"/>
      <c r="AF48" s="53"/>
      <c r="AG48" s="15"/>
    </row>
    <row r="49" spans="1:33" s="3" customFormat="1" ht="35" customHeight="1" x14ac:dyDescent="0.35">
      <c r="A49" s="554"/>
      <c r="B49" s="295">
        <f t="shared" si="3"/>
        <v>44</v>
      </c>
      <c r="C49" s="620"/>
      <c r="E49" s="209" t="b">
        <v>0</v>
      </c>
      <c r="F49" s="205" t="s">
        <v>332</v>
      </c>
      <c r="H49" s="15"/>
      <c r="I49" s="219"/>
      <c r="J49" s="213" t="b">
        <v>0</v>
      </c>
      <c r="K49" s="576" t="s">
        <v>157</v>
      </c>
      <c r="L49" s="213" t="b">
        <v>0</v>
      </c>
      <c r="M49" s="214" t="s">
        <v>158</v>
      </c>
      <c r="N49" s="397">
        <v>44197</v>
      </c>
      <c r="O49" s="213" t="b">
        <v>0</v>
      </c>
      <c r="P49" s="214" t="s">
        <v>152</v>
      </c>
      <c r="Q49" s="214"/>
      <c r="R49" s="212" t="b">
        <v>0</v>
      </c>
      <c r="S49" s="9" t="s">
        <v>366</v>
      </c>
      <c r="T49" s="9" t="s">
        <v>107</v>
      </c>
      <c r="U49" s="213" t="b">
        <v>0</v>
      </c>
      <c r="V49" s="400" t="s">
        <v>164</v>
      </c>
      <c r="W49" s="224"/>
      <c r="X49" s="213" t="b">
        <v>0</v>
      </c>
      <c r="Y49" s="214" t="s">
        <v>159</v>
      </c>
      <c r="Z49" s="381"/>
      <c r="AA49" s="15"/>
      <c r="AB49" s="226"/>
      <c r="AC49" s="217" t="s">
        <v>109</v>
      </c>
      <c r="AD49" s="218"/>
      <c r="AE49" s="386" t="s">
        <v>362</v>
      </c>
      <c r="AF49" s="54"/>
      <c r="AG49" s="15"/>
    </row>
    <row r="50" spans="1:33" s="3" customFormat="1" ht="14.5" customHeight="1" x14ac:dyDescent="0.35">
      <c r="A50" s="554"/>
      <c r="B50" s="295">
        <f t="shared" si="3"/>
        <v>45</v>
      </c>
      <c r="C50" s="620"/>
      <c r="E50" s="209" t="b">
        <v>0</v>
      </c>
      <c r="F50" s="578" t="s">
        <v>160</v>
      </c>
      <c r="H50" s="209" t="b">
        <v>0</v>
      </c>
      <c r="I50" s="219" t="s">
        <v>161</v>
      </c>
      <c r="J50" s="214"/>
      <c r="K50" s="576"/>
      <c r="L50" s="212" t="b">
        <v>0</v>
      </c>
      <c r="M50" s="44" t="s">
        <v>162</v>
      </c>
      <c r="N50" s="220">
        <v>6</v>
      </c>
      <c r="O50" s="212" t="b">
        <v>0</v>
      </c>
      <c r="P50" s="9" t="s">
        <v>162</v>
      </c>
      <c r="Q50" s="220">
        <v>7</v>
      </c>
      <c r="R50" s="550"/>
      <c r="S50" s="550"/>
      <c r="T50" s="550"/>
      <c r="U50" s="552" t="s">
        <v>108</v>
      </c>
      <c r="V50" s="552"/>
      <c r="W50" s="552"/>
      <c r="X50" s="213" t="b">
        <v>0</v>
      </c>
      <c r="Y50" s="9" t="s">
        <v>331</v>
      </c>
      <c r="Z50" s="550"/>
      <c r="AA50" s="15"/>
      <c r="AB50" s="226"/>
      <c r="AC50" s="22"/>
      <c r="AD50" s="15"/>
      <c r="AE50" s="623"/>
      <c r="AF50" s="53"/>
      <c r="AG50" s="15"/>
    </row>
    <row r="51" spans="1:33" s="3" customFormat="1" x14ac:dyDescent="0.35">
      <c r="A51" s="554"/>
      <c r="B51" s="295">
        <f t="shared" si="3"/>
        <v>46</v>
      </c>
      <c r="C51" s="620"/>
      <c r="F51" s="578"/>
      <c r="H51" s="15"/>
      <c r="I51" s="15"/>
      <c r="J51" s="214"/>
      <c r="K51" s="9"/>
      <c r="L51" s="15"/>
      <c r="M51" s="15"/>
      <c r="N51" s="227"/>
      <c r="O51" s="9"/>
      <c r="P51" s="9"/>
      <c r="Q51" s="9"/>
      <c r="R51" s="550"/>
      <c r="S51" s="550"/>
      <c r="T51" s="550"/>
      <c r="U51" s="213" t="b">
        <v>0</v>
      </c>
      <c r="V51" s="214" t="s">
        <v>165</v>
      </c>
      <c r="W51" s="225"/>
      <c r="X51" s="399"/>
      <c r="Y51" s="15"/>
      <c r="Z51" s="550"/>
      <c r="AA51" s="15"/>
      <c r="AB51" s="15"/>
      <c r="AC51" s="15"/>
      <c r="AD51" s="15"/>
      <c r="AE51" s="623"/>
      <c r="AF51" s="53"/>
      <c r="AG51" s="15"/>
    </row>
    <row r="52" spans="1:33" s="3" customFormat="1" ht="30" customHeight="1" x14ac:dyDescent="0.35">
      <c r="A52" s="554"/>
      <c r="B52" s="295">
        <f t="shared" si="3"/>
        <v>47</v>
      </c>
      <c r="C52" s="620"/>
      <c r="E52"/>
      <c r="H52" s="15"/>
      <c r="I52" s="15"/>
      <c r="J52" s="383"/>
      <c r="K52" s="222"/>
      <c r="L52" s="222"/>
      <c r="M52" s="222"/>
      <c r="N52" s="222"/>
      <c r="O52" s="9"/>
      <c r="P52" s="9"/>
      <c r="Q52" s="9"/>
      <c r="R52" s="212" t="b">
        <v>0</v>
      </c>
      <c r="S52" s="9" t="s">
        <v>367</v>
      </c>
      <c r="T52" s="9" t="s">
        <v>107</v>
      </c>
      <c r="U52" s="550"/>
      <c r="V52" s="550"/>
      <c r="X52" s="399"/>
      <c r="Y52" s="15"/>
      <c r="Z52" s="378"/>
      <c r="AA52" s="15"/>
      <c r="AB52" s="15"/>
      <c r="AC52" s="15"/>
      <c r="AD52" s="15"/>
      <c r="AE52" s="15"/>
      <c r="AF52" s="53"/>
      <c r="AG52" s="15"/>
    </row>
    <row r="53" spans="1:33" s="3" customFormat="1" x14ac:dyDescent="0.35">
      <c r="A53" s="554"/>
      <c r="B53" s="295">
        <f t="shared" si="3"/>
        <v>48</v>
      </c>
      <c r="C53" s="620"/>
      <c r="E53"/>
      <c r="H53" s="221"/>
      <c r="I53" s="15"/>
      <c r="J53" s="383"/>
      <c r="K53" s="222"/>
      <c r="L53" s="222"/>
      <c r="M53" s="222"/>
      <c r="N53" s="222"/>
      <c r="O53" s="9"/>
      <c r="P53" s="9"/>
      <c r="Q53" s="9"/>
      <c r="R53" s="550"/>
      <c r="S53" s="550"/>
      <c r="T53" s="550"/>
      <c r="U53" s="213" t="b">
        <v>0</v>
      </c>
      <c r="V53" s="9" t="s">
        <v>166</v>
      </c>
      <c r="W53" s="9"/>
      <c r="X53" s="399"/>
      <c r="Y53" s="15"/>
      <c r="Z53" s="378"/>
      <c r="AA53" s="15"/>
      <c r="AB53" s="15"/>
      <c r="AC53" s="15"/>
      <c r="AD53" s="15"/>
      <c r="AE53" s="15"/>
      <c r="AF53" s="53"/>
      <c r="AG53" s="15"/>
    </row>
    <row r="54" spans="1:33" s="3" customFormat="1" ht="30" customHeight="1" thickBot="1" x14ac:dyDescent="0.4">
      <c r="A54" s="555"/>
      <c r="B54" s="295">
        <f t="shared" si="3"/>
        <v>49</v>
      </c>
      <c r="C54" s="621"/>
      <c r="D54" s="55"/>
      <c r="E54" s="55"/>
      <c r="F54" s="55"/>
      <c r="G54" s="55"/>
      <c r="H54" s="56"/>
      <c r="I54" s="56"/>
      <c r="J54" s="384"/>
      <c r="K54" s="57"/>
      <c r="L54" s="57"/>
      <c r="M54" s="57"/>
      <c r="N54" s="57"/>
      <c r="O54" s="58"/>
      <c r="P54" s="58"/>
      <c r="Q54" s="58"/>
      <c r="R54" s="550"/>
      <c r="S54" s="550"/>
      <c r="T54" s="550"/>
      <c r="U54" s="550"/>
      <c r="V54" s="550"/>
      <c r="W54" s="58"/>
      <c r="X54" s="402"/>
      <c r="Y54" s="56"/>
      <c r="Z54" s="379"/>
      <c r="AA54" s="56"/>
      <c r="AB54" s="56"/>
      <c r="AC54" s="56"/>
      <c r="AD54" s="56"/>
      <c r="AE54" s="56"/>
      <c r="AF54" s="59"/>
      <c r="AG54" s="15"/>
    </row>
    <row r="55" spans="1:33" s="3" customFormat="1" ht="15" hidden="1" customHeight="1" thickBot="1" x14ac:dyDescent="0.4">
      <c r="A55" s="87"/>
      <c r="B55" s="241"/>
      <c r="C55" s="392"/>
      <c r="D55" s="393"/>
      <c r="E55" s="393"/>
      <c r="F55" s="393"/>
      <c r="G55" s="393"/>
      <c r="H55" s="393"/>
      <c r="I55" s="393"/>
      <c r="J55" s="394"/>
      <c r="K55" s="393"/>
      <c r="L55" s="393"/>
      <c r="M55" s="393"/>
      <c r="N55" s="393"/>
      <c r="O55" s="393"/>
      <c r="P55" s="393"/>
      <c r="Q55" s="393"/>
      <c r="R55" s="30"/>
      <c r="S55" s="30"/>
      <c r="T55" s="30"/>
      <c r="U55" s="394"/>
      <c r="V55" s="393"/>
      <c r="W55" s="393"/>
      <c r="X55" s="394"/>
      <c r="Y55" s="393"/>
      <c r="Z55" s="395"/>
      <c r="AA55" s="393"/>
      <c r="AB55" s="393"/>
      <c r="AC55" s="393"/>
      <c r="AD55" s="393"/>
      <c r="AE55" s="393"/>
      <c r="AF55" s="396"/>
      <c r="AG55" s="15"/>
    </row>
    <row r="56" spans="1:33" ht="5" customHeight="1" thickBot="1" x14ac:dyDescent="0.4">
      <c r="A56" s="87"/>
      <c r="B56" s="241"/>
      <c r="C56" s="391"/>
      <c r="D56" s="238"/>
      <c r="E56" s="238"/>
      <c r="F56" s="238"/>
      <c r="G56" s="238"/>
      <c r="H56" s="238"/>
      <c r="I56" s="238"/>
      <c r="J56" s="389"/>
      <c r="K56" s="238"/>
      <c r="L56" s="238"/>
      <c r="M56" s="238"/>
      <c r="N56" s="238"/>
      <c r="O56" s="238"/>
      <c r="P56" s="238"/>
      <c r="Q56" s="238"/>
      <c r="R56" s="238"/>
      <c r="S56" s="238"/>
      <c r="T56" s="238"/>
      <c r="U56" s="389"/>
      <c r="V56" s="238"/>
      <c r="W56" s="238"/>
      <c r="X56" s="389"/>
      <c r="Y56" s="238"/>
      <c r="Z56" s="390"/>
      <c r="AA56" s="238"/>
      <c r="AB56" s="238"/>
      <c r="AC56" s="238"/>
      <c r="AD56" s="238"/>
      <c r="AE56" s="238"/>
      <c r="AF56" s="311"/>
      <c r="AG56" s="87"/>
    </row>
    <row r="57" spans="1:33" ht="15" hidden="1" customHeight="1" thickBot="1" x14ac:dyDescent="0.4">
      <c r="A57" s="87"/>
      <c r="B57" s="241"/>
      <c r="C57" s="391"/>
      <c r="D57" s="238"/>
      <c r="E57" s="238"/>
      <c r="F57" s="238"/>
      <c r="G57" s="238"/>
      <c r="H57" s="238"/>
      <c r="I57" s="238"/>
      <c r="J57" s="389"/>
      <c r="K57" s="238"/>
      <c r="L57" s="238"/>
      <c r="M57" s="238"/>
      <c r="N57" s="238"/>
      <c r="O57" s="238"/>
      <c r="P57" s="238"/>
      <c r="Q57" s="238"/>
      <c r="R57" s="238"/>
      <c r="S57" s="238"/>
      <c r="T57" s="238"/>
      <c r="U57" s="389"/>
      <c r="V57" s="238"/>
      <c r="W57" s="238"/>
      <c r="X57" s="389"/>
      <c r="Y57" s="238"/>
      <c r="Z57" s="390"/>
      <c r="AA57" s="238"/>
      <c r="AB57" s="238"/>
      <c r="AC57" s="238"/>
      <c r="AD57" s="238"/>
      <c r="AE57" s="238"/>
      <c r="AF57" s="311"/>
      <c r="AG57"/>
    </row>
    <row r="58" spans="1:33" s="13" customFormat="1" ht="29" customHeight="1" x14ac:dyDescent="0.35">
      <c r="A58" s="553">
        <f>A46+1</f>
        <v>5</v>
      </c>
      <c r="B58" s="295">
        <f>B46+10</f>
        <v>51</v>
      </c>
      <c r="C58" s="619" t="str">
        <f>VLOOKUP(A58,INputs!$G$3:$O$22,7,FALSE)</f>
        <v>Please fill out Sensitivity Labels Tab</v>
      </c>
      <c r="D58" s="47"/>
      <c r="E58" s="47"/>
      <c r="F58" s="573" t="s">
        <v>108</v>
      </c>
      <c r="G58" s="573"/>
      <c r="H58" s="573" t="s">
        <v>108</v>
      </c>
      <c r="I58" s="573"/>
      <c r="J58" s="575" t="str">
        <f>J$10</f>
        <v>Select a check box</v>
      </c>
      <c r="K58" s="575"/>
      <c r="L58" s="575" t="s">
        <v>108</v>
      </c>
      <c r="M58" s="575"/>
      <c r="N58" s="575"/>
      <c r="O58" s="575" t="s">
        <v>108</v>
      </c>
      <c r="P58" s="575"/>
      <c r="Q58" s="575"/>
      <c r="R58" s="577" t="s">
        <v>147</v>
      </c>
      <c r="S58" s="577"/>
      <c r="T58" s="407" t="s">
        <v>107</v>
      </c>
      <c r="U58" s="551" t="s">
        <v>148</v>
      </c>
      <c r="V58" s="551"/>
      <c r="W58" s="50"/>
      <c r="X58" s="401"/>
      <c r="Y58" s="574" t="s">
        <v>108</v>
      </c>
      <c r="Z58" s="574"/>
      <c r="AA58" s="51"/>
      <c r="AB58" s="573"/>
      <c r="AC58" s="573"/>
      <c r="AD58" s="48"/>
      <c r="AE58" s="49" t="s">
        <v>361</v>
      </c>
      <c r="AF58" s="52"/>
      <c r="AG58" s="20"/>
    </row>
    <row r="59" spans="1:33" s="13" customFormat="1" x14ac:dyDescent="0.35">
      <c r="A59" s="554"/>
      <c r="B59" s="295">
        <f>B58+1</f>
        <v>52</v>
      </c>
      <c r="C59" s="620"/>
      <c r="D59" s="8"/>
      <c r="E59" s="8"/>
      <c r="F59" s="217"/>
      <c r="G59" s="217"/>
      <c r="H59" s="217"/>
      <c r="I59" s="217"/>
      <c r="J59" s="386"/>
      <c r="K59" s="386"/>
      <c r="L59" s="386"/>
      <c r="M59" s="386"/>
      <c r="N59" s="386"/>
      <c r="O59" s="386"/>
      <c r="P59" s="386"/>
      <c r="Q59" s="386"/>
      <c r="R59" s="550"/>
      <c r="S59" s="550"/>
      <c r="T59" s="550"/>
      <c r="U59" s="406"/>
      <c r="V59" s="400" t="s">
        <v>109</v>
      </c>
      <c r="W59" s="225"/>
      <c r="X59" s="403"/>
      <c r="Y59" s="405"/>
      <c r="Z59" s="405"/>
      <c r="AA59" s="20"/>
      <c r="AB59" s="217"/>
      <c r="AC59" s="217" t="s">
        <v>108</v>
      </c>
      <c r="AD59" s="217"/>
      <c r="AE59" s="386"/>
      <c r="AF59" s="54"/>
      <c r="AG59" s="20"/>
    </row>
    <row r="60" spans="1:33" s="3" customFormat="1" ht="30.5" x14ac:dyDescent="0.35">
      <c r="A60" s="554"/>
      <c r="B60" s="295">
        <f t="shared" ref="B60:B66" si="4">B59+1</f>
        <v>53</v>
      </c>
      <c r="C60" s="620"/>
      <c r="E60" s="209" t="b">
        <v>0</v>
      </c>
      <c r="F60" s="3" t="s">
        <v>333</v>
      </c>
      <c r="H60" s="209" t="b">
        <v>0</v>
      </c>
      <c r="I60" s="219" t="s">
        <v>150</v>
      </c>
      <c r="J60" s="210" t="b">
        <v>0</v>
      </c>
      <c r="K60" s="211" t="s">
        <v>151</v>
      </c>
      <c r="L60" s="212" t="b">
        <v>0</v>
      </c>
      <c r="M60" s="9" t="s">
        <v>152</v>
      </c>
      <c r="N60" s="222"/>
      <c r="O60" s="212" t="b">
        <v>0</v>
      </c>
      <c r="P60" s="9" t="s">
        <v>153</v>
      </c>
      <c r="Q60" s="9"/>
      <c r="R60" s="550"/>
      <c r="S60" s="550"/>
      <c r="T60" s="550"/>
      <c r="U60" s="550"/>
      <c r="V60" s="550"/>
      <c r="W60" s="225"/>
      <c r="X60" s="213" t="b">
        <v>0</v>
      </c>
      <c r="Y60" s="214" t="s">
        <v>154</v>
      </c>
      <c r="Z60" s="381"/>
      <c r="AA60" s="15"/>
      <c r="AB60" s="215" t="b">
        <v>0</v>
      </c>
      <c r="AC60" s="15" t="s">
        <v>155</v>
      </c>
      <c r="AD60" s="15"/>
      <c r="AE60" s="15"/>
      <c r="AF60" s="53"/>
      <c r="AG60" s="15"/>
    </row>
    <row r="61" spans="1:33" s="3" customFormat="1" ht="35" customHeight="1" x14ac:dyDescent="0.35">
      <c r="A61" s="554"/>
      <c r="B61" s="295">
        <f t="shared" si="4"/>
        <v>54</v>
      </c>
      <c r="C61" s="620"/>
      <c r="E61" s="209" t="b">
        <v>0</v>
      </c>
      <c r="F61" s="205" t="s">
        <v>332</v>
      </c>
      <c r="H61" s="15"/>
      <c r="I61" s="219"/>
      <c r="J61" s="213" t="b">
        <v>0</v>
      </c>
      <c r="K61" s="576" t="s">
        <v>157</v>
      </c>
      <c r="L61" s="213" t="b">
        <v>0</v>
      </c>
      <c r="M61" s="214" t="s">
        <v>158</v>
      </c>
      <c r="N61" s="397">
        <v>44197</v>
      </c>
      <c r="O61" s="213" t="b">
        <v>0</v>
      </c>
      <c r="P61" s="214" t="s">
        <v>152</v>
      </c>
      <c r="Q61" s="214"/>
      <c r="R61" s="212" t="b">
        <v>0</v>
      </c>
      <c r="S61" s="9" t="s">
        <v>366</v>
      </c>
      <c r="T61" s="9" t="s">
        <v>107</v>
      </c>
      <c r="U61" s="213" t="b">
        <v>0</v>
      </c>
      <c r="V61" s="400" t="s">
        <v>164</v>
      </c>
      <c r="W61" s="224"/>
      <c r="X61" s="213" t="b">
        <v>0</v>
      </c>
      <c r="Y61" s="214" t="s">
        <v>159</v>
      </c>
      <c r="Z61" s="381"/>
      <c r="AA61" s="15"/>
      <c r="AB61" s="226"/>
      <c r="AC61" s="217" t="s">
        <v>109</v>
      </c>
      <c r="AD61" s="218"/>
      <c r="AE61" s="386" t="s">
        <v>362</v>
      </c>
      <c r="AF61" s="54"/>
      <c r="AG61" s="15"/>
    </row>
    <row r="62" spans="1:33" s="3" customFormat="1" ht="14.5" customHeight="1" x14ac:dyDescent="0.35">
      <c r="A62" s="554"/>
      <c r="B62" s="295">
        <f t="shared" si="4"/>
        <v>55</v>
      </c>
      <c r="C62" s="620"/>
      <c r="E62" s="209" t="b">
        <v>0</v>
      </c>
      <c r="F62" s="578" t="s">
        <v>160</v>
      </c>
      <c r="H62" s="209" t="b">
        <v>0</v>
      </c>
      <c r="I62" s="219" t="s">
        <v>161</v>
      </c>
      <c r="J62" s="214"/>
      <c r="K62" s="576"/>
      <c r="L62" s="212" t="b">
        <v>0</v>
      </c>
      <c r="M62" s="44" t="s">
        <v>162</v>
      </c>
      <c r="N62" s="220">
        <v>0</v>
      </c>
      <c r="O62" s="212" t="b">
        <v>0</v>
      </c>
      <c r="P62" s="9" t="s">
        <v>162</v>
      </c>
      <c r="Q62" s="220">
        <v>7</v>
      </c>
      <c r="R62" s="550"/>
      <c r="S62" s="550"/>
      <c r="T62" s="550"/>
      <c r="U62" s="552" t="s">
        <v>108</v>
      </c>
      <c r="V62" s="552"/>
      <c r="W62" s="552"/>
      <c r="X62" s="213" t="b">
        <v>0</v>
      </c>
      <c r="Y62" s="9" t="s">
        <v>331</v>
      </c>
      <c r="Z62" s="550"/>
      <c r="AA62" s="15"/>
      <c r="AB62" s="226"/>
      <c r="AC62" s="22"/>
      <c r="AD62" s="15"/>
      <c r="AE62" s="623"/>
      <c r="AF62" s="53"/>
      <c r="AG62" s="15"/>
    </row>
    <row r="63" spans="1:33" s="3" customFormat="1" ht="30" customHeight="1" x14ac:dyDescent="0.35">
      <c r="A63" s="554"/>
      <c r="B63" s="295">
        <f t="shared" si="4"/>
        <v>56</v>
      </c>
      <c r="C63" s="620"/>
      <c r="F63" s="578"/>
      <c r="H63" s="15"/>
      <c r="I63" s="15"/>
      <c r="J63" s="214"/>
      <c r="K63" s="9"/>
      <c r="L63" s="15"/>
      <c r="M63" s="15"/>
      <c r="N63" s="227"/>
      <c r="O63" s="9"/>
      <c r="P63" s="9"/>
      <c r="Q63" s="9"/>
      <c r="R63" s="550"/>
      <c r="S63" s="550"/>
      <c r="T63" s="550"/>
      <c r="U63" s="213" t="b">
        <v>0</v>
      </c>
      <c r="V63" s="214" t="s">
        <v>165</v>
      </c>
      <c r="W63" s="225"/>
      <c r="X63" s="399"/>
      <c r="Y63" s="15"/>
      <c r="Z63" s="550"/>
      <c r="AA63" s="15"/>
      <c r="AB63" s="15"/>
      <c r="AC63" s="15"/>
      <c r="AD63" s="15"/>
      <c r="AE63" s="623"/>
      <c r="AF63" s="53"/>
      <c r="AG63" s="15"/>
    </row>
    <row r="64" spans="1:33" s="3" customFormat="1" ht="30.5" customHeight="1" x14ac:dyDescent="0.35">
      <c r="A64" s="554"/>
      <c r="B64" s="295">
        <f t="shared" si="4"/>
        <v>57</v>
      </c>
      <c r="C64" s="620"/>
      <c r="E64"/>
      <c r="H64" s="15"/>
      <c r="I64" s="15"/>
      <c r="J64" s="383"/>
      <c r="K64" s="222"/>
      <c r="L64" s="222"/>
      <c r="M64" s="222"/>
      <c r="N64" s="222"/>
      <c r="O64" s="9"/>
      <c r="P64" s="9"/>
      <c r="Q64" s="9"/>
      <c r="R64" s="212" t="b">
        <v>0</v>
      </c>
      <c r="S64" s="9" t="s">
        <v>367</v>
      </c>
      <c r="T64" s="9" t="s">
        <v>107</v>
      </c>
      <c r="U64" s="550"/>
      <c r="V64" s="550"/>
      <c r="X64" s="399"/>
      <c r="Y64" s="15"/>
      <c r="Z64" s="378"/>
      <c r="AA64" s="15"/>
      <c r="AB64" s="15"/>
      <c r="AC64" s="15"/>
      <c r="AD64" s="15"/>
      <c r="AE64" s="15"/>
      <c r="AF64" s="53"/>
      <c r="AG64" s="15"/>
    </row>
    <row r="65" spans="1:33" s="3" customFormat="1" x14ac:dyDescent="0.35">
      <c r="A65" s="554"/>
      <c r="B65" s="295">
        <f t="shared" si="4"/>
        <v>58</v>
      </c>
      <c r="C65" s="620"/>
      <c r="E65"/>
      <c r="H65" s="221"/>
      <c r="I65" s="15"/>
      <c r="J65" s="383"/>
      <c r="K65" s="222"/>
      <c r="L65" s="222"/>
      <c r="M65" s="222"/>
      <c r="N65" s="222"/>
      <c r="O65" s="9"/>
      <c r="P65" s="9"/>
      <c r="Q65" s="9"/>
      <c r="R65" s="550"/>
      <c r="S65" s="550"/>
      <c r="T65" s="550"/>
      <c r="U65" s="213" t="b">
        <v>0</v>
      </c>
      <c r="V65" s="9" t="s">
        <v>166</v>
      </c>
      <c r="W65" s="9"/>
      <c r="X65" s="399"/>
      <c r="Y65" s="15"/>
      <c r="Z65" s="378"/>
      <c r="AA65" s="15"/>
      <c r="AB65" s="15"/>
      <c r="AC65" s="15"/>
      <c r="AD65" s="15"/>
      <c r="AE65" s="15"/>
      <c r="AF65" s="53"/>
      <c r="AG65" s="15"/>
    </row>
    <row r="66" spans="1:33" s="3" customFormat="1" ht="30" customHeight="1" thickBot="1" x14ac:dyDescent="0.4">
      <c r="A66" s="555"/>
      <c r="B66" s="295">
        <f t="shared" si="4"/>
        <v>59</v>
      </c>
      <c r="C66" s="621"/>
      <c r="D66" s="55"/>
      <c r="E66" s="55"/>
      <c r="F66" s="55"/>
      <c r="G66" s="55"/>
      <c r="H66" s="56"/>
      <c r="I66" s="56"/>
      <c r="J66" s="384"/>
      <c r="K66" s="57"/>
      <c r="L66" s="57"/>
      <c r="M66" s="57"/>
      <c r="N66" s="57"/>
      <c r="O66" s="58"/>
      <c r="P66" s="58"/>
      <c r="Q66" s="58"/>
      <c r="R66" s="550"/>
      <c r="S66" s="550"/>
      <c r="T66" s="550"/>
      <c r="U66" s="550"/>
      <c r="V66" s="550"/>
      <c r="W66" s="58"/>
      <c r="X66" s="402"/>
      <c r="Y66" s="56"/>
      <c r="Z66" s="379"/>
      <c r="AA66" s="56"/>
      <c r="AB66" s="56"/>
      <c r="AC66" s="56"/>
      <c r="AD66" s="56"/>
      <c r="AE66" s="56"/>
      <c r="AF66" s="59"/>
      <c r="AG66" s="15"/>
    </row>
    <row r="67" spans="1:33" s="3" customFormat="1" ht="15" hidden="1" customHeight="1" thickBot="1" x14ac:dyDescent="0.4">
      <c r="A67" s="87"/>
      <c r="B67" s="241"/>
      <c r="C67" s="392"/>
      <c r="D67" s="393"/>
      <c r="E67" s="393"/>
      <c r="F67" s="393"/>
      <c r="G67" s="393"/>
      <c r="H67" s="393"/>
      <c r="I67" s="393"/>
      <c r="J67" s="394"/>
      <c r="K67" s="393"/>
      <c r="L67" s="393"/>
      <c r="M67" s="393"/>
      <c r="N67" s="393"/>
      <c r="O67" s="393"/>
      <c r="P67" s="393"/>
      <c r="Q67" s="393"/>
      <c r="R67" s="393"/>
      <c r="S67" s="393"/>
      <c r="T67" s="393"/>
      <c r="U67" s="394"/>
      <c r="V67" s="393"/>
      <c r="W67" s="393"/>
      <c r="X67" s="394"/>
      <c r="Y67" s="393"/>
      <c r="Z67" s="395"/>
      <c r="AA67" s="393"/>
      <c r="AB67" s="393"/>
      <c r="AC67" s="393"/>
      <c r="AD67" s="393"/>
      <c r="AE67" s="393"/>
      <c r="AF67" s="396"/>
      <c r="AG67" s="15"/>
    </row>
    <row r="68" spans="1:33" ht="5" customHeight="1" thickBot="1" x14ac:dyDescent="0.4">
      <c r="A68" s="87"/>
      <c r="B68" s="241"/>
      <c r="C68" s="391"/>
      <c r="D68" s="238"/>
      <c r="E68" s="238"/>
      <c r="F68" s="238"/>
      <c r="G68" s="238"/>
      <c r="H68" s="238"/>
      <c r="I68" s="238"/>
      <c r="J68" s="389"/>
      <c r="K68" s="238"/>
      <c r="L68" s="238"/>
      <c r="M68" s="238"/>
      <c r="N68" s="238"/>
      <c r="O68" s="238"/>
      <c r="P68" s="238"/>
      <c r="Q68" s="238"/>
      <c r="R68" s="238"/>
      <c r="S68" s="238"/>
      <c r="T68" s="238"/>
      <c r="U68" s="389"/>
      <c r="V68" s="238"/>
      <c r="W68" s="238"/>
      <c r="X68" s="389"/>
      <c r="Y68" s="238"/>
      <c r="Z68" s="390"/>
      <c r="AA68" s="238"/>
      <c r="AB68" s="238"/>
      <c r="AC68" s="238"/>
      <c r="AD68" s="238"/>
      <c r="AE68" s="238"/>
      <c r="AF68" s="311"/>
      <c r="AG68" s="87"/>
    </row>
    <row r="69" spans="1:33" ht="15" hidden="1" customHeight="1" thickBot="1" x14ac:dyDescent="0.4">
      <c r="A69" s="87"/>
      <c r="B69" s="241"/>
      <c r="C69" s="391"/>
      <c r="D69" s="238"/>
      <c r="E69" s="238"/>
      <c r="F69" s="238"/>
      <c r="G69" s="238"/>
      <c r="H69" s="238"/>
      <c r="I69" s="238"/>
      <c r="J69" s="389"/>
      <c r="K69" s="238"/>
      <c r="L69" s="238"/>
      <c r="M69" s="238"/>
      <c r="N69" s="238"/>
      <c r="O69" s="238"/>
      <c r="P69" s="238"/>
      <c r="Q69" s="238"/>
      <c r="R69" s="238"/>
      <c r="S69" s="238"/>
      <c r="T69" s="238"/>
      <c r="U69" s="389"/>
      <c r="V69" s="238"/>
      <c r="W69" s="238"/>
      <c r="X69" s="389"/>
      <c r="Y69" s="238"/>
      <c r="Z69" s="390"/>
      <c r="AA69" s="238"/>
      <c r="AB69" s="238"/>
      <c r="AC69" s="238"/>
      <c r="AD69" s="238"/>
      <c r="AE69" s="238"/>
      <c r="AF69" s="311"/>
      <c r="AG69"/>
    </row>
    <row r="70" spans="1:33" s="13" customFormat="1" ht="29" customHeight="1" x14ac:dyDescent="0.35">
      <c r="A70" s="553">
        <f>A58+1</f>
        <v>6</v>
      </c>
      <c r="B70" s="295">
        <f>B58+10</f>
        <v>61</v>
      </c>
      <c r="C70" s="619" t="str">
        <f>VLOOKUP(A70,INputs!$G$3:$O$22,7,FALSE)</f>
        <v>Please fill out Sensitivity Labels Tab</v>
      </c>
      <c r="D70" s="47"/>
      <c r="E70" s="47"/>
      <c r="F70" s="573" t="s">
        <v>108</v>
      </c>
      <c r="G70" s="573"/>
      <c r="H70" s="573" t="s">
        <v>108</v>
      </c>
      <c r="I70" s="573"/>
      <c r="J70" s="575" t="str">
        <f>J$10</f>
        <v>Select a check box</v>
      </c>
      <c r="K70" s="575"/>
      <c r="L70" s="575" t="s">
        <v>108</v>
      </c>
      <c r="M70" s="575"/>
      <c r="N70" s="575"/>
      <c r="O70" s="575" t="s">
        <v>108</v>
      </c>
      <c r="P70" s="575"/>
      <c r="Q70" s="575"/>
      <c r="R70" s="577" t="s">
        <v>147</v>
      </c>
      <c r="S70" s="577"/>
      <c r="T70" s="407" t="s">
        <v>107</v>
      </c>
      <c r="U70" s="551" t="s">
        <v>148</v>
      </c>
      <c r="V70" s="551"/>
      <c r="W70" s="50"/>
      <c r="X70" s="401"/>
      <c r="Y70" s="574" t="s">
        <v>108</v>
      </c>
      <c r="Z70" s="574"/>
      <c r="AA70" s="51"/>
      <c r="AB70" s="573"/>
      <c r="AC70" s="573"/>
      <c r="AD70" s="48"/>
      <c r="AE70" s="49" t="s">
        <v>361</v>
      </c>
      <c r="AF70" s="52"/>
      <c r="AG70" s="20"/>
    </row>
    <row r="71" spans="1:33" s="13" customFormat="1" x14ac:dyDescent="0.35">
      <c r="A71" s="554"/>
      <c r="B71" s="295">
        <f>B70+1</f>
        <v>62</v>
      </c>
      <c r="C71" s="620"/>
      <c r="D71" s="8"/>
      <c r="E71" s="8"/>
      <c r="F71" s="217"/>
      <c r="G71" s="217"/>
      <c r="H71" s="217"/>
      <c r="I71" s="217"/>
      <c r="J71" s="386"/>
      <c r="K71" s="386"/>
      <c r="L71" s="386"/>
      <c r="M71" s="386"/>
      <c r="N71" s="386"/>
      <c r="O71" s="386"/>
      <c r="P71" s="386"/>
      <c r="Q71" s="386"/>
      <c r="R71" s="550"/>
      <c r="S71" s="550"/>
      <c r="T71" s="550"/>
      <c r="U71" s="406"/>
      <c r="V71" s="400" t="s">
        <v>109</v>
      </c>
      <c r="W71" s="225"/>
      <c r="X71" s="403"/>
      <c r="Y71" s="405"/>
      <c r="Z71" s="405"/>
      <c r="AA71" s="20"/>
      <c r="AB71" s="217"/>
      <c r="AC71" s="217" t="s">
        <v>108</v>
      </c>
      <c r="AD71" s="217"/>
      <c r="AE71" s="386"/>
      <c r="AF71" s="54"/>
      <c r="AG71" s="20"/>
    </row>
    <row r="72" spans="1:33" s="3" customFormat="1" ht="30.5" x14ac:dyDescent="0.35">
      <c r="A72" s="554"/>
      <c r="B72" s="295">
        <f t="shared" ref="B72:B78" si="5">B71+1</f>
        <v>63</v>
      </c>
      <c r="C72" s="620"/>
      <c r="E72" s="209" t="b">
        <v>0</v>
      </c>
      <c r="F72" s="3" t="s">
        <v>333</v>
      </c>
      <c r="H72" s="209" t="b">
        <v>0</v>
      </c>
      <c r="I72" s="219" t="s">
        <v>150</v>
      </c>
      <c r="J72" s="210" t="b">
        <v>0</v>
      </c>
      <c r="K72" s="211" t="s">
        <v>151</v>
      </c>
      <c r="L72" s="212" t="b">
        <v>0</v>
      </c>
      <c r="M72" s="9" t="s">
        <v>152</v>
      </c>
      <c r="N72" s="222"/>
      <c r="O72" s="212" t="b">
        <v>0</v>
      </c>
      <c r="P72" s="9" t="s">
        <v>153</v>
      </c>
      <c r="Q72" s="9"/>
      <c r="R72" s="550"/>
      <c r="S72" s="550"/>
      <c r="T72" s="550"/>
      <c r="U72" s="550"/>
      <c r="V72" s="550"/>
      <c r="W72" s="225"/>
      <c r="X72" s="213" t="b">
        <v>0</v>
      </c>
      <c r="Y72" s="214" t="s">
        <v>154</v>
      </c>
      <c r="Z72" s="381"/>
      <c r="AA72" s="15"/>
      <c r="AB72" s="215" t="b">
        <v>0</v>
      </c>
      <c r="AC72" s="15" t="s">
        <v>155</v>
      </c>
      <c r="AD72" s="15"/>
      <c r="AE72" s="15"/>
      <c r="AF72" s="53"/>
      <c r="AG72" s="15"/>
    </row>
    <row r="73" spans="1:33" s="3" customFormat="1" ht="35" customHeight="1" x14ac:dyDescent="0.35">
      <c r="A73" s="554"/>
      <c r="B73" s="295">
        <f t="shared" si="5"/>
        <v>64</v>
      </c>
      <c r="C73" s="620"/>
      <c r="E73" s="209" t="b">
        <v>0</v>
      </c>
      <c r="F73" s="205" t="s">
        <v>332</v>
      </c>
      <c r="H73" s="15"/>
      <c r="I73" s="219"/>
      <c r="J73" s="213" t="b">
        <v>0</v>
      </c>
      <c r="K73" s="576" t="s">
        <v>157</v>
      </c>
      <c r="L73" s="213" t="b">
        <v>0</v>
      </c>
      <c r="M73" s="214" t="s">
        <v>158</v>
      </c>
      <c r="N73" s="397">
        <v>44197</v>
      </c>
      <c r="O73" s="213" t="b">
        <v>0</v>
      </c>
      <c r="P73" s="214" t="s">
        <v>152</v>
      </c>
      <c r="Q73" s="214"/>
      <c r="R73" s="212" t="b">
        <v>1</v>
      </c>
      <c r="S73" s="9" t="s">
        <v>366</v>
      </c>
      <c r="T73" s="9" t="s">
        <v>107</v>
      </c>
      <c r="U73" s="213" t="b">
        <v>0</v>
      </c>
      <c r="V73" s="400" t="s">
        <v>164</v>
      </c>
      <c r="W73" s="224"/>
      <c r="X73" s="213" t="b">
        <v>0</v>
      </c>
      <c r="Y73" s="214" t="s">
        <v>159</v>
      </c>
      <c r="Z73" s="381"/>
      <c r="AA73" s="399"/>
      <c r="AB73" s="226"/>
      <c r="AC73" s="217" t="s">
        <v>109</v>
      </c>
      <c r="AD73" s="218"/>
      <c r="AE73" s="386" t="s">
        <v>362</v>
      </c>
      <c r="AF73" s="54"/>
      <c r="AG73" s="15"/>
    </row>
    <row r="74" spans="1:33" s="3" customFormat="1" ht="14.5" customHeight="1" x14ac:dyDescent="0.35">
      <c r="A74" s="554"/>
      <c r="B74" s="295">
        <f t="shared" si="5"/>
        <v>65</v>
      </c>
      <c r="C74" s="620"/>
      <c r="E74" s="209" t="b">
        <v>0</v>
      </c>
      <c r="F74" s="578" t="s">
        <v>160</v>
      </c>
      <c r="H74" s="209" t="b">
        <v>0</v>
      </c>
      <c r="I74" s="219" t="s">
        <v>161</v>
      </c>
      <c r="J74" s="214"/>
      <c r="K74" s="576"/>
      <c r="L74" s="212" t="b">
        <v>0</v>
      </c>
      <c r="M74" s="44" t="s">
        <v>162</v>
      </c>
      <c r="N74" s="220">
        <v>6</v>
      </c>
      <c r="O74" s="212" t="b">
        <v>0</v>
      </c>
      <c r="P74" s="9" t="s">
        <v>162</v>
      </c>
      <c r="Q74" s="220">
        <v>7</v>
      </c>
      <c r="R74" s="550"/>
      <c r="S74" s="550"/>
      <c r="T74" s="550"/>
      <c r="U74" s="552" t="s">
        <v>108</v>
      </c>
      <c r="V74" s="552"/>
      <c r="W74" s="552"/>
      <c r="X74" s="213" t="b">
        <v>0</v>
      </c>
      <c r="Y74" s="9" t="s">
        <v>331</v>
      </c>
      <c r="Z74" s="550"/>
      <c r="AA74" s="15"/>
      <c r="AB74" s="226"/>
      <c r="AC74" s="22"/>
      <c r="AD74" s="15"/>
      <c r="AE74" s="623"/>
      <c r="AF74" s="53"/>
      <c r="AG74" s="15"/>
    </row>
    <row r="75" spans="1:33" s="3" customFormat="1" x14ac:dyDescent="0.35">
      <c r="A75" s="554"/>
      <c r="B75" s="295">
        <f t="shared" si="5"/>
        <v>66</v>
      </c>
      <c r="C75" s="620"/>
      <c r="F75" s="578"/>
      <c r="H75" s="15"/>
      <c r="I75" s="15"/>
      <c r="J75" s="214"/>
      <c r="K75" s="9"/>
      <c r="L75" s="15"/>
      <c r="M75" s="15"/>
      <c r="N75" s="227"/>
      <c r="O75" s="9"/>
      <c r="P75" s="9"/>
      <c r="Q75" s="9"/>
      <c r="R75" s="550"/>
      <c r="S75" s="550"/>
      <c r="T75" s="550"/>
      <c r="U75" s="213" t="b">
        <v>0</v>
      </c>
      <c r="V75" s="214" t="s">
        <v>165</v>
      </c>
      <c r="W75" s="225"/>
      <c r="X75" s="399"/>
      <c r="Y75" s="15"/>
      <c r="Z75" s="550"/>
      <c r="AA75" s="15"/>
      <c r="AB75" s="15"/>
      <c r="AC75" s="15"/>
      <c r="AD75" s="15"/>
      <c r="AE75" s="623"/>
      <c r="AF75" s="53"/>
      <c r="AG75" s="15"/>
    </row>
    <row r="76" spans="1:33" s="3" customFormat="1" ht="30" customHeight="1" x14ac:dyDescent="0.35">
      <c r="A76" s="554"/>
      <c r="B76" s="295">
        <f t="shared" si="5"/>
        <v>67</v>
      </c>
      <c r="C76" s="620"/>
      <c r="E76"/>
      <c r="H76" s="15"/>
      <c r="I76" s="15"/>
      <c r="J76" s="383"/>
      <c r="K76" s="222"/>
      <c r="L76" s="222"/>
      <c r="M76" s="222"/>
      <c r="N76" s="222"/>
      <c r="O76" s="9"/>
      <c r="P76" s="9"/>
      <c r="Q76" s="9"/>
      <c r="R76" s="212" t="b">
        <v>1</v>
      </c>
      <c r="S76" s="9" t="s">
        <v>367</v>
      </c>
      <c r="T76" s="9" t="s">
        <v>107</v>
      </c>
      <c r="U76" s="550"/>
      <c r="V76" s="550"/>
      <c r="X76" s="399"/>
      <c r="Y76" s="15"/>
      <c r="Z76" s="378"/>
      <c r="AA76" s="15"/>
      <c r="AB76" s="15"/>
      <c r="AC76" s="15"/>
      <c r="AD76" s="15"/>
      <c r="AE76" s="15"/>
      <c r="AF76" s="53"/>
      <c r="AG76" s="15"/>
    </row>
    <row r="77" spans="1:33" s="3" customFormat="1" x14ac:dyDescent="0.35">
      <c r="A77" s="554"/>
      <c r="B77" s="295">
        <f t="shared" si="5"/>
        <v>68</v>
      </c>
      <c r="C77" s="620"/>
      <c r="E77"/>
      <c r="H77" s="221"/>
      <c r="I77" s="15"/>
      <c r="J77" s="383"/>
      <c r="K77" s="222"/>
      <c r="L77" s="222"/>
      <c r="M77" s="222"/>
      <c r="N77" s="222"/>
      <c r="O77" s="9"/>
      <c r="P77" s="9"/>
      <c r="Q77" s="9"/>
      <c r="R77" s="550"/>
      <c r="S77" s="550"/>
      <c r="T77" s="550"/>
      <c r="U77" s="213" t="b">
        <v>0</v>
      </c>
      <c r="V77" s="9" t="s">
        <v>166</v>
      </c>
      <c r="W77" s="9"/>
      <c r="X77" s="399"/>
      <c r="Y77" s="15"/>
      <c r="Z77" s="378"/>
      <c r="AA77" s="15"/>
      <c r="AB77" s="15"/>
      <c r="AC77" s="15"/>
      <c r="AD77" s="15"/>
      <c r="AE77" s="15"/>
      <c r="AF77" s="53"/>
      <c r="AG77" s="15"/>
    </row>
    <row r="78" spans="1:33" s="3" customFormat="1" ht="30" customHeight="1" thickBot="1" x14ac:dyDescent="0.4">
      <c r="A78" s="555"/>
      <c r="B78" s="295">
        <f t="shared" si="5"/>
        <v>69</v>
      </c>
      <c r="C78" s="621"/>
      <c r="D78" s="55"/>
      <c r="E78" s="55"/>
      <c r="F78" s="55"/>
      <c r="G78" s="55"/>
      <c r="H78" s="56"/>
      <c r="I78" s="56"/>
      <c r="J78" s="384"/>
      <c r="K78" s="57"/>
      <c r="L78" s="57"/>
      <c r="M78" s="57"/>
      <c r="N78" s="57"/>
      <c r="O78" s="58"/>
      <c r="P78" s="58"/>
      <c r="Q78" s="58"/>
      <c r="R78" s="550"/>
      <c r="S78" s="550"/>
      <c r="T78" s="550"/>
      <c r="U78" s="550"/>
      <c r="V78" s="550"/>
      <c r="W78" s="58"/>
      <c r="X78" s="402"/>
      <c r="Y78" s="56"/>
      <c r="Z78" s="379"/>
      <c r="AA78" s="56"/>
      <c r="AB78" s="56"/>
      <c r="AC78" s="56"/>
      <c r="AD78" s="56"/>
      <c r="AE78" s="56"/>
      <c r="AF78" s="59"/>
      <c r="AG78" s="15"/>
    </row>
    <row r="79" spans="1:33" s="3" customFormat="1" ht="15" hidden="1" customHeight="1" thickBot="1" x14ac:dyDescent="0.4">
      <c r="A79" s="87"/>
      <c r="B79" s="241"/>
      <c r="C79" s="392"/>
      <c r="D79" s="393"/>
      <c r="E79" s="393"/>
      <c r="F79" s="393"/>
      <c r="G79" s="393"/>
      <c r="H79" s="393"/>
      <c r="I79" s="393"/>
      <c r="J79" s="394"/>
      <c r="K79" s="393"/>
      <c r="L79" s="393"/>
      <c r="M79" s="393"/>
      <c r="N79" s="393"/>
      <c r="O79" s="393"/>
      <c r="P79" s="393"/>
      <c r="Q79" s="393"/>
      <c r="R79" s="393"/>
      <c r="S79" s="393"/>
      <c r="T79" s="393"/>
      <c r="U79" s="394"/>
      <c r="V79" s="393"/>
      <c r="W79" s="393"/>
      <c r="X79" s="394"/>
      <c r="Y79" s="393"/>
      <c r="Z79" s="395"/>
      <c r="AA79" s="393"/>
      <c r="AB79" s="393"/>
      <c r="AC79" s="393"/>
      <c r="AD79" s="393"/>
      <c r="AE79" s="393"/>
      <c r="AF79" s="396"/>
      <c r="AG79" s="15"/>
    </row>
    <row r="80" spans="1:33" ht="5" customHeight="1" thickBot="1" x14ac:dyDescent="0.4">
      <c r="A80" s="87"/>
      <c r="B80" s="241"/>
      <c r="C80" s="391"/>
      <c r="D80" s="238"/>
      <c r="E80" s="238"/>
      <c r="F80" s="238"/>
      <c r="G80" s="238"/>
      <c r="H80" s="238"/>
      <c r="I80" s="238"/>
      <c r="J80" s="389"/>
      <c r="K80" s="238"/>
      <c r="L80" s="238"/>
      <c r="M80" s="238"/>
      <c r="N80" s="238"/>
      <c r="O80" s="238"/>
      <c r="P80" s="238"/>
      <c r="Q80" s="238"/>
      <c r="R80" s="238"/>
      <c r="S80" s="238"/>
      <c r="T80" s="238"/>
      <c r="U80" s="389"/>
      <c r="V80" s="238"/>
      <c r="W80" s="238"/>
      <c r="X80" s="389"/>
      <c r="Y80" s="238"/>
      <c r="Z80" s="390"/>
      <c r="AA80" s="238"/>
      <c r="AB80" s="238"/>
      <c r="AC80" s="238"/>
      <c r="AD80" s="238"/>
      <c r="AE80" s="238"/>
      <c r="AF80" s="311"/>
      <c r="AG80" s="87"/>
    </row>
    <row r="81" spans="1:33" ht="15" hidden="1" customHeight="1" thickBot="1" x14ac:dyDescent="0.4">
      <c r="A81" s="87"/>
      <c r="B81" s="241"/>
      <c r="C81" s="391"/>
      <c r="D81" s="238"/>
      <c r="E81" s="238"/>
      <c r="F81" s="238"/>
      <c r="G81" s="238"/>
      <c r="H81" s="238"/>
      <c r="I81" s="238"/>
      <c r="J81" s="389"/>
      <c r="K81" s="238"/>
      <c r="L81" s="238"/>
      <c r="M81" s="238"/>
      <c r="N81" s="238"/>
      <c r="O81" s="238"/>
      <c r="P81" s="238"/>
      <c r="Q81" s="238"/>
      <c r="R81" s="238"/>
      <c r="S81" s="238"/>
      <c r="T81" s="238"/>
      <c r="U81" s="389"/>
      <c r="V81" s="238"/>
      <c r="W81" s="238"/>
      <c r="X81" s="389"/>
      <c r="Y81" s="238"/>
      <c r="Z81" s="390"/>
      <c r="AA81" s="238"/>
      <c r="AB81" s="238"/>
      <c r="AC81" s="238"/>
      <c r="AD81" s="238"/>
      <c r="AE81" s="238"/>
      <c r="AF81" s="311"/>
      <c r="AG81"/>
    </row>
    <row r="82" spans="1:33" s="13" customFormat="1" ht="29" customHeight="1" x14ac:dyDescent="0.35">
      <c r="A82" s="553">
        <f>A70+1</f>
        <v>7</v>
      </c>
      <c r="B82" s="295">
        <f>B70+10</f>
        <v>71</v>
      </c>
      <c r="C82" s="619" t="str">
        <f>VLOOKUP(A82,INputs!$G$3:$O$22,7,FALSE)</f>
        <v>Please fill out Sensitivity Labels Tab</v>
      </c>
      <c r="D82" s="47"/>
      <c r="E82" s="47"/>
      <c r="F82" s="618" t="s">
        <v>168</v>
      </c>
      <c r="G82" s="618"/>
      <c r="H82" s="618" t="s">
        <v>108</v>
      </c>
      <c r="I82" s="618"/>
      <c r="J82" s="575" t="str">
        <f>J$10</f>
        <v>Select a check box</v>
      </c>
      <c r="K82" s="575"/>
      <c r="L82" s="575" t="s">
        <v>108</v>
      </c>
      <c r="M82" s="575"/>
      <c r="N82" s="575"/>
      <c r="O82" s="575" t="s">
        <v>168</v>
      </c>
      <c r="P82" s="575"/>
      <c r="Q82" s="575"/>
      <c r="R82" s="577" t="s">
        <v>147</v>
      </c>
      <c r="S82" s="577"/>
      <c r="T82" s="407" t="s">
        <v>107</v>
      </c>
      <c r="U82" s="551" t="s">
        <v>148</v>
      </c>
      <c r="V82" s="551"/>
      <c r="W82" s="50"/>
      <c r="X82" s="401"/>
      <c r="Y82" s="574" t="s">
        <v>108</v>
      </c>
      <c r="Z82" s="574"/>
      <c r="AA82" s="51"/>
      <c r="AB82" s="573"/>
      <c r="AC82" s="573"/>
      <c r="AD82" s="48"/>
      <c r="AE82" s="49" t="s">
        <v>361</v>
      </c>
      <c r="AF82" s="52"/>
      <c r="AG82" s="20"/>
    </row>
    <row r="83" spans="1:33" s="13" customFormat="1" x14ac:dyDescent="0.35">
      <c r="A83" s="554"/>
      <c r="B83" s="295">
        <f>B82+1</f>
        <v>72</v>
      </c>
      <c r="C83" s="620"/>
      <c r="D83" s="8"/>
      <c r="E83" s="8"/>
      <c r="F83" s="8"/>
      <c r="G83" s="8"/>
      <c r="H83" s="8"/>
      <c r="I83" s="8"/>
      <c r="J83" s="386"/>
      <c r="K83" s="386"/>
      <c r="L83" s="386"/>
      <c r="M83" s="386"/>
      <c r="N83" s="386"/>
      <c r="O83" s="386"/>
      <c r="P83" s="386"/>
      <c r="Q83" s="386"/>
      <c r="R83" s="550"/>
      <c r="S83" s="550"/>
      <c r="T83" s="550"/>
      <c r="U83" s="406"/>
      <c r="V83" s="400" t="s">
        <v>109</v>
      </c>
      <c r="W83" s="225"/>
      <c r="X83" s="403"/>
      <c r="Y83" s="405"/>
      <c r="Z83" s="405"/>
      <c r="AA83" s="20"/>
      <c r="AB83" s="217"/>
      <c r="AC83" s="217" t="s">
        <v>108</v>
      </c>
      <c r="AD83" s="217"/>
      <c r="AE83" s="386"/>
      <c r="AF83" s="54"/>
      <c r="AG83" s="20"/>
    </row>
    <row r="84" spans="1:33" s="3" customFormat="1" ht="30.5" x14ac:dyDescent="0.35">
      <c r="A84" s="554"/>
      <c r="B84" s="295">
        <f t="shared" ref="B84:B90" si="6">B83+1</f>
        <v>73</v>
      </c>
      <c r="C84" s="620"/>
      <c r="E84" s="209" t="b">
        <v>0</v>
      </c>
      <c r="F84" s="3" t="s">
        <v>333</v>
      </c>
      <c r="H84" s="209" t="b">
        <v>0</v>
      </c>
      <c r="I84" s="219" t="s">
        <v>150</v>
      </c>
      <c r="J84" s="210" t="b">
        <v>0</v>
      </c>
      <c r="K84" s="211" t="s">
        <v>151</v>
      </c>
      <c r="L84" s="212" t="b">
        <v>0</v>
      </c>
      <c r="M84" s="9" t="s">
        <v>152</v>
      </c>
      <c r="N84" s="222"/>
      <c r="O84" s="212" t="b">
        <v>0</v>
      </c>
      <c r="P84" s="9" t="s">
        <v>153</v>
      </c>
      <c r="Q84" s="9"/>
      <c r="R84" s="550"/>
      <c r="S84" s="550"/>
      <c r="T84" s="550"/>
      <c r="U84" s="550"/>
      <c r="V84" s="550"/>
      <c r="W84" s="225"/>
      <c r="X84" s="213" t="b">
        <v>0</v>
      </c>
      <c r="Y84" s="214" t="s">
        <v>154</v>
      </c>
      <c r="Z84" s="381"/>
      <c r="AA84" s="15"/>
      <c r="AB84" s="215" t="b">
        <v>0</v>
      </c>
      <c r="AC84" s="15" t="s">
        <v>155</v>
      </c>
      <c r="AD84" s="15"/>
      <c r="AE84" s="15"/>
      <c r="AF84" s="53"/>
      <c r="AG84" s="15"/>
    </row>
    <row r="85" spans="1:33" s="3" customFormat="1" ht="35" customHeight="1" x14ac:dyDescent="0.35">
      <c r="A85" s="554"/>
      <c r="B85" s="295">
        <f t="shared" si="6"/>
        <v>74</v>
      </c>
      <c r="C85" s="620"/>
      <c r="E85" s="209" t="b">
        <v>0</v>
      </c>
      <c r="F85" s="205" t="s">
        <v>332</v>
      </c>
      <c r="H85" s="15"/>
      <c r="I85" s="219"/>
      <c r="J85" s="213" t="b">
        <v>0</v>
      </c>
      <c r="K85" s="576" t="s">
        <v>157</v>
      </c>
      <c r="L85" s="213" t="b">
        <v>0</v>
      </c>
      <c r="M85" s="214" t="s">
        <v>158</v>
      </c>
      <c r="N85" s="397">
        <v>44197</v>
      </c>
      <c r="O85" s="213" t="b">
        <v>0</v>
      </c>
      <c r="P85" s="214" t="s">
        <v>152</v>
      </c>
      <c r="Q85" s="214"/>
      <c r="R85" s="212" t="b">
        <v>0</v>
      </c>
      <c r="S85" s="9" t="s">
        <v>366</v>
      </c>
      <c r="T85" s="9" t="s">
        <v>107</v>
      </c>
      <c r="U85" s="213" t="b">
        <v>0</v>
      </c>
      <c r="V85" s="400" t="s">
        <v>164</v>
      </c>
      <c r="W85" s="224"/>
      <c r="X85" s="213" t="b">
        <v>0</v>
      </c>
      <c r="Y85" s="214" t="s">
        <v>159</v>
      </c>
      <c r="Z85" s="381"/>
      <c r="AA85" s="15"/>
      <c r="AB85" s="226"/>
      <c r="AC85" s="217" t="s">
        <v>109</v>
      </c>
      <c r="AD85" s="218"/>
      <c r="AE85" s="386" t="s">
        <v>362</v>
      </c>
      <c r="AF85" s="54"/>
      <c r="AG85" s="15"/>
    </row>
    <row r="86" spans="1:33" s="3" customFormat="1" ht="14.5" customHeight="1" x14ac:dyDescent="0.35">
      <c r="A86" s="554"/>
      <c r="B86" s="295">
        <f t="shared" si="6"/>
        <v>75</v>
      </c>
      <c r="C86" s="620"/>
      <c r="E86" s="209" t="b">
        <v>0</v>
      </c>
      <c r="F86" s="578" t="s">
        <v>160</v>
      </c>
      <c r="H86" s="209" t="b">
        <v>0</v>
      </c>
      <c r="I86" s="219" t="s">
        <v>161</v>
      </c>
      <c r="J86" s="214"/>
      <c r="K86" s="576"/>
      <c r="L86" s="212" t="b">
        <v>0</v>
      </c>
      <c r="M86" s="44" t="s">
        <v>162</v>
      </c>
      <c r="N86" s="220">
        <v>6</v>
      </c>
      <c r="O86" s="212" t="b">
        <v>0</v>
      </c>
      <c r="P86" s="9" t="s">
        <v>162</v>
      </c>
      <c r="Q86" s="220">
        <v>7</v>
      </c>
      <c r="R86" s="550"/>
      <c r="S86" s="550"/>
      <c r="T86" s="550"/>
      <c r="U86" s="552" t="s">
        <v>108</v>
      </c>
      <c r="V86" s="552"/>
      <c r="W86" s="552"/>
      <c r="X86" s="213" t="b">
        <v>0</v>
      </c>
      <c r="Y86" s="9" t="s">
        <v>331</v>
      </c>
      <c r="Z86" s="550"/>
      <c r="AA86" s="15"/>
      <c r="AB86" s="226"/>
      <c r="AC86" s="22"/>
      <c r="AD86" s="15"/>
      <c r="AE86" s="623"/>
      <c r="AF86" s="53"/>
      <c r="AG86" s="15"/>
    </row>
    <row r="87" spans="1:33" s="3" customFormat="1" x14ac:dyDescent="0.35">
      <c r="A87" s="554"/>
      <c r="B87" s="295">
        <f t="shared" si="6"/>
        <v>76</v>
      </c>
      <c r="C87" s="620"/>
      <c r="F87" s="578"/>
      <c r="H87" s="15"/>
      <c r="I87" s="15"/>
      <c r="J87" s="214"/>
      <c r="K87" s="9"/>
      <c r="L87" s="15"/>
      <c r="M87" s="15"/>
      <c r="N87" s="227"/>
      <c r="O87" s="9"/>
      <c r="P87" s="9"/>
      <c r="Q87" s="9"/>
      <c r="R87" s="550"/>
      <c r="S87" s="550"/>
      <c r="T87" s="550"/>
      <c r="U87" s="213" t="b">
        <v>0</v>
      </c>
      <c r="V87" s="214" t="s">
        <v>165</v>
      </c>
      <c r="W87" s="225"/>
      <c r="X87" s="399"/>
      <c r="Y87" s="15"/>
      <c r="Z87" s="550"/>
      <c r="AA87" s="15"/>
      <c r="AB87" s="15"/>
      <c r="AC87" s="15"/>
      <c r="AD87" s="15"/>
      <c r="AE87" s="623"/>
      <c r="AF87" s="53"/>
      <c r="AG87" s="15"/>
    </row>
    <row r="88" spans="1:33" s="3" customFormat="1" ht="30" customHeight="1" x14ac:dyDescent="0.35">
      <c r="A88" s="554"/>
      <c r="B88" s="295">
        <f t="shared" si="6"/>
        <v>77</v>
      </c>
      <c r="C88" s="620"/>
      <c r="E88"/>
      <c r="H88" s="15"/>
      <c r="I88" s="15"/>
      <c r="J88" s="383"/>
      <c r="K88" s="222"/>
      <c r="L88" s="222"/>
      <c r="M88" s="222"/>
      <c r="N88" s="222"/>
      <c r="O88" s="9"/>
      <c r="P88" s="9"/>
      <c r="Q88" s="9"/>
      <c r="R88" s="212" t="b">
        <v>0</v>
      </c>
      <c r="S88" s="9" t="s">
        <v>367</v>
      </c>
      <c r="T88" s="9" t="s">
        <v>107</v>
      </c>
      <c r="U88" s="550"/>
      <c r="V88" s="550"/>
      <c r="X88" s="399"/>
      <c r="Y88" s="15"/>
      <c r="Z88" s="378"/>
      <c r="AA88" s="15"/>
      <c r="AB88" s="15"/>
      <c r="AC88" s="15"/>
      <c r="AD88" s="15"/>
      <c r="AE88" s="15"/>
      <c r="AF88" s="53"/>
      <c r="AG88" s="15"/>
    </row>
    <row r="89" spans="1:33" s="3" customFormat="1" x14ac:dyDescent="0.35">
      <c r="A89" s="554"/>
      <c r="B89" s="295">
        <f t="shared" si="6"/>
        <v>78</v>
      </c>
      <c r="C89" s="620"/>
      <c r="E89"/>
      <c r="H89" s="221"/>
      <c r="I89" s="15"/>
      <c r="J89" s="383"/>
      <c r="K89" s="222"/>
      <c r="L89" s="222"/>
      <c r="M89" s="222"/>
      <c r="N89" s="222"/>
      <c r="O89" s="9"/>
      <c r="P89" s="9"/>
      <c r="Q89" s="9"/>
      <c r="R89" s="550"/>
      <c r="S89" s="550"/>
      <c r="T89" s="550"/>
      <c r="U89" s="213" t="b">
        <v>0</v>
      </c>
      <c r="V89" s="9" t="s">
        <v>166</v>
      </c>
      <c r="W89" s="9"/>
      <c r="X89" s="399"/>
      <c r="Y89" s="15"/>
      <c r="Z89" s="378"/>
      <c r="AA89" s="15"/>
      <c r="AB89" s="15"/>
      <c r="AC89" s="15"/>
      <c r="AD89" s="15"/>
      <c r="AE89" s="15"/>
      <c r="AF89" s="53"/>
      <c r="AG89" s="15"/>
    </row>
    <row r="90" spans="1:33" s="3" customFormat="1" ht="30" customHeight="1" thickBot="1" x14ac:dyDescent="0.4">
      <c r="A90" s="555"/>
      <c r="B90" s="295">
        <f t="shared" si="6"/>
        <v>79</v>
      </c>
      <c r="C90" s="621"/>
      <c r="D90" s="55"/>
      <c r="E90" s="55"/>
      <c r="F90" s="55"/>
      <c r="G90" s="55"/>
      <c r="H90" s="56"/>
      <c r="I90" s="56"/>
      <c r="J90" s="384"/>
      <c r="K90" s="57"/>
      <c r="L90" s="57"/>
      <c r="M90" s="57"/>
      <c r="N90" s="57"/>
      <c r="O90" s="58"/>
      <c r="P90" s="58"/>
      <c r="Q90" s="58"/>
      <c r="R90" s="550"/>
      <c r="S90" s="550"/>
      <c r="T90" s="550"/>
      <c r="U90" s="550"/>
      <c r="V90" s="550"/>
      <c r="W90" s="58"/>
      <c r="X90" s="402"/>
      <c r="Y90" s="56"/>
      <c r="Z90" s="379"/>
      <c r="AA90" s="56"/>
      <c r="AB90" s="56"/>
      <c r="AC90" s="56"/>
      <c r="AD90" s="56"/>
      <c r="AE90" s="56"/>
      <c r="AF90" s="59"/>
      <c r="AG90" s="15"/>
    </row>
    <row r="91" spans="1:33" s="3" customFormat="1" ht="15" hidden="1" customHeight="1" thickBot="1" x14ac:dyDescent="0.4">
      <c r="A91" s="87"/>
      <c r="B91" s="241"/>
      <c r="C91" s="392"/>
      <c r="D91" s="393"/>
      <c r="E91" s="393"/>
      <c r="F91" s="393"/>
      <c r="G91" s="393"/>
      <c r="H91" s="393"/>
      <c r="I91" s="393"/>
      <c r="J91" s="394"/>
      <c r="K91" s="393"/>
      <c r="L91" s="393"/>
      <c r="M91" s="393"/>
      <c r="N91" s="393"/>
      <c r="O91" s="393"/>
      <c r="P91" s="393"/>
      <c r="Q91" s="393"/>
      <c r="R91" s="393"/>
      <c r="S91" s="393"/>
      <c r="T91" s="393"/>
      <c r="U91" s="394"/>
      <c r="V91" s="393"/>
      <c r="W91" s="393"/>
      <c r="X91" s="394"/>
      <c r="Y91" s="393"/>
      <c r="Z91" s="395"/>
      <c r="AA91" s="393"/>
      <c r="AB91" s="393"/>
      <c r="AC91" s="393"/>
      <c r="AD91" s="393"/>
      <c r="AE91" s="393"/>
      <c r="AF91" s="396"/>
      <c r="AG91" s="15"/>
    </row>
    <row r="92" spans="1:33" ht="5" customHeight="1" thickBot="1" x14ac:dyDescent="0.4">
      <c r="A92" s="87"/>
      <c r="B92" s="241"/>
      <c r="C92" s="391"/>
      <c r="D92" s="238"/>
      <c r="E92" s="238"/>
      <c r="F92" s="238"/>
      <c r="G92" s="238"/>
      <c r="H92" s="238"/>
      <c r="I92" s="238"/>
      <c r="J92" s="389"/>
      <c r="K92" s="238"/>
      <c r="L92" s="238"/>
      <c r="M92" s="238"/>
      <c r="N92" s="238"/>
      <c r="O92" s="238"/>
      <c r="P92" s="238"/>
      <c r="Q92" s="238"/>
      <c r="R92" s="238"/>
      <c r="S92" s="238"/>
      <c r="T92" s="238"/>
      <c r="U92" s="389"/>
      <c r="V92" s="238"/>
      <c r="W92" s="238"/>
      <c r="X92" s="389"/>
      <c r="Y92" s="238"/>
      <c r="Z92" s="390"/>
      <c r="AA92" s="238"/>
      <c r="AB92" s="238"/>
      <c r="AC92" s="238"/>
      <c r="AD92" s="238"/>
      <c r="AE92" s="238"/>
      <c r="AF92" s="311"/>
      <c r="AG92" s="87"/>
    </row>
    <row r="93" spans="1:33" ht="15" hidden="1" customHeight="1" thickBot="1" x14ac:dyDescent="0.4">
      <c r="A93" s="87"/>
      <c r="B93" s="241"/>
      <c r="C93" s="391"/>
      <c r="D93" s="238"/>
      <c r="E93" s="238"/>
      <c r="F93" s="238"/>
      <c r="G93" s="238"/>
      <c r="H93" s="238"/>
      <c r="I93" s="238"/>
      <c r="J93" s="389"/>
      <c r="K93" s="238"/>
      <c r="L93" s="238"/>
      <c r="M93" s="238"/>
      <c r="N93" s="238"/>
      <c r="O93" s="238"/>
      <c r="P93" s="238"/>
      <c r="Q93" s="238"/>
      <c r="R93" s="238"/>
      <c r="S93" s="238"/>
      <c r="T93" s="238"/>
      <c r="U93" s="389"/>
      <c r="V93" s="238"/>
      <c r="W93" s="238"/>
      <c r="X93" s="389"/>
      <c r="Y93" s="238"/>
      <c r="Z93" s="390"/>
      <c r="AA93" s="238"/>
      <c r="AB93" s="238"/>
      <c r="AC93" s="238"/>
      <c r="AD93" s="238"/>
      <c r="AE93" s="238"/>
      <c r="AF93" s="311"/>
      <c r="AG93"/>
    </row>
    <row r="94" spans="1:33" s="13" customFormat="1" ht="29" customHeight="1" x14ac:dyDescent="0.35">
      <c r="A94" s="553">
        <f>A82+1</f>
        <v>8</v>
      </c>
      <c r="B94" s="295">
        <f>B82+10</f>
        <v>81</v>
      </c>
      <c r="C94" s="619" t="str">
        <f>VLOOKUP(A94,INputs!$G$3:$O$22,7,FALSE)</f>
        <v>Please fill out Sensitivity Labels Tab</v>
      </c>
      <c r="D94" s="47"/>
      <c r="E94" s="47"/>
      <c r="F94" s="573" t="s">
        <v>108</v>
      </c>
      <c r="G94" s="573"/>
      <c r="H94" s="573" t="s">
        <v>108</v>
      </c>
      <c r="I94" s="573"/>
      <c r="J94" s="575" t="str">
        <f>J$10</f>
        <v>Select a check box</v>
      </c>
      <c r="K94" s="575"/>
      <c r="L94" s="575" t="s">
        <v>108</v>
      </c>
      <c r="M94" s="575"/>
      <c r="N94" s="575"/>
      <c r="O94" s="575" t="s">
        <v>108</v>
      </c>
      <c r="P94" s="575"/>
      <c r="Q94" s="575"/>
      <c r="R94" s="577" t="s">
        <v>147</v>
      </c>
      <c r="S94" s="577"/>
      <c r="T94" s="407" t="s">
        <v>107</v>
      </c>
      <c r="U94" s="551" t="s">
        <v>148</v>
      </c>
      <c r="V94" s="551"/>
      <c r="W94" s="50"/>
      <c r="X94" s="401"/>
      <c r="Y94" s="574" t="s">
        <v>108</v>
      </c>
      <c r="Z94" s="574"/>
      <c r="AA94" s="51"/>
      <c r="AB94" s="573"/>
      <c r="AC94" s="573"/>
      <c r="AD94" s="48"/>
      <c r="AE94" s="49" t="s">
        <v>361</v>
      </c>
      <c r="AF94" s="52"/>
      <c r="AG94" s="20"/>
    </row>
    <row r="95" spans="1:33" s="13" customFormat="1" x14ac:dyDescent="0.35">
      <c r="A95" s="554"/>
      <c r="B95" s="295">
        <f>B94+1</f>
        <v>82</v>
      </c>
      <c r="C95" s="620"/>
      <c r="D95" s="8"/>
      <c r="E95" s="8"/>
      <c r="F95" s="217"/>
      <c r="G95" s="217"/>
      <c r="H95" s="217"/>
      <c r="I95" s="217"/>
      <c r="J95" s="386"/>
      <c r="K95" s="386"/>
      <c r="L95" s="386"/>
      <c r="M95" s="386"/>
      <c r="N95" s="386"/>
      <c r="O95" s="386"/>
      <c r="P95" s="386"/>
      <c r="Q95" s="386"/>
      <c r="R95" s="550"/>
      <c r="S95" s="550"/>
      <c r="T95" s="550"/>
      <c r="U95" s="406"/>
      <c r="V95" s="400" t="s">
        <v>109</v>
      </c>
      <c r="W95" s="225"/>
      <c r="X95" s="403"/>
      <c r="Y95" s="405"/>
      <c r="Z95" s="405"/>
      <c r="AA95" s="20"/>
      <c r="AB95" s="217"/>
      <c r="AC95" s="217" t="s">
        <v>108</v>
      </c>
      <c r="AD95" s="217"/>
      <c r="AE95" s="386"/>
      <c r="AF95" s="54"/>
      <c r="AG95" s="20"/>
    </row>
    <row r="96" spans="1:33" s="3" customFormat="1" ht="30.5" x14ac:dyDescent="0.35">
      <c r="A96" s="554"/>
      <c r="B96" s="295">
        <f t="shared" ref="B96:B102" si="7">B95+1</f>
        <v>83</v>
      </c>
      <c r="C96" s="620"/>
      <c r="E96" s="209" t="b">
        <v>0</v>
      </c>
      <c r="F96" s="3" t="s">
        <v>333</v>
      </c>
      <c r="H96" s="209" t="b">
        <v>0</v>
      </c>
      <c r="I96" s="219" t="s">
        <v>150</v>
      </c>
      <c r="J96" s="210" t="b">
        <v>0</v>
      </c>
      <c r="K96" s="211" t="s">
        <v>151</v>
      </c>
      <c r="L96" s="212" t="b">
        <v>0</v>
      </c>
      <c r="M96" s="9" t="s">
        <v>152</v>
      </c>
      <c r="N96" s="222"/>
      <c r="O96" s="212" t="b">
        <v>0</v>
      </c>
      <c r="P96" s="9" t="s">
        <v>153</v>
      </c>
      <c r="Q96" s="9"/>
      <c r="R96" s="550"/>
      <c r="S96" s="550"/>
      <c r="T96" s="550"/>
      <c r="U96" s="550"/>
      <c r="V96" s="550"/>
      <c r="W96" s="225"/>
      <c r="X96" s="213" t="b">
        <v>0</v>
      </c>
      <c r="Y96" s="214" t="s">
        <v>154</v>
      </c>
      <c r="Z96" s="381"/>
      <c r="AA96" s="15"/>
      <c r="AB96" s="215" t="b">
        <v>0</v>
      </c>
      <c r="AC96" s="15" t="s">
        <v>155</v>
      </c>
      <c r="AD96" s="15"/>
      <c r="AE96" s="15"/>
      <c r="AF96" s="53"/>
      <c r="AG96" s="15"/>
    </row>
    <row r="97" spans="1:33" s="3" customFormat="1" ht="35" customHeight="1" x14ac:dyDescent="0.35">
      <c r="A97" s="554"/>
      <c r="B97" s="295">
        <f t="shared" si="7"/>
        <v>84</v>
      </c>
      <c r="C97" s="620"/>
      <c r="E97" s="209" t="b">
        <v>0</v>
      </c>
      <c r="F97" s="205" t="s">
        <v>332</v>
      </c>
      <c r="H97" s="15"/>
      <c r="I97" s="219"/>
      <c r="J97" s="213" t="b">
        <v>0</v>
      </c>
      <c r="K97" s="576" t="s">
        <v>157</v>
      </c>
      <c r="L97" s="213" t="b">
        <v>0</v>
      </c>
      <c r="M97" s="214" t="s">
        <v>158</v>
      </c>
      <c r="N97" s="397">
        <v>44197</v>
      </c>
      <c r="O97" s="213" t="b">
        <v>0</v>
      </c>
      <c r="P97" s="214" t="s">
        <v>152</v>
      </c>
      <c r="Q97" s="214"/>
      <c r="R97" s="212" t="b">
        <v>0</v>
      </c>
      <c r="S97" s="9" t="s">
        <v>366</v>
      </c>
      <c r="T97" s="9" t="s">
        <v>107</v>
      </c>
      <c r="U97" s="213" t="b">
        <v>0</v>
      </c>
      <c r="V97" s="400" t="s">
        <v>164</v>
      </c>
      <c r="W97" s="224"/>
      <c r="X97" s="213" t="b">
        <v>0</v>
      </c>
      <c r="Y97" s="214" t="s">
        <v>159</v>
      </c>
      <c r="Z97" s="381"/>
      <c r="AA97" s="15"/>
      <c r="AB97" s="226"/>
      <c r="AC97" s="217" t="s">
        <v>109</v>
      </c>
      <c r="AD97" s="218"/>
      <c r="AE97" s="386" t="s">
        <v>362</v>
      </c>
      <c r="AF97" s="54"/>
      <c r="AG97" s="15"/>
    </row>
    <row r="98" spans="1:33" s="3" customFormat="1" ht="14.5" customHeight="1" x14ac:dyDescent="0.35">
      <c r="A98" s="554"/>
      <c r="B98" s="295">
        <f t="shared" si="7"/>
        <v>85</v>
      </c>
      <c r="C98" s="620"/>
      <c r="E98" s="209" t="b">
        <v>0</v>
      </c>
      <c r="F98" s="578" t="s">
        <v>160</v>
      </c>
      <c r="H98" s="209" t="b">
        <v>0</v>
      </c>
      <c r="I98" s="219" t="s">
        <v>161</v>
      </c>
      <c r="J98" s="214"/>
      <c r="K98" s="576"/>
      <c r="L98" s="212" t="b">
        <v>0</v>
      </c>
      <c r="M98" s="44" t="s">
        <v>162</v>
      </c>
      <c r="N98" s="220">
        <v>6</v>
      </c>
      <c r="O98" s="212" t="b">
        <v>0</v>
      </c>
      <c r="P98" s="9" t="s">
        <v>162</v>
      </c>
      <c r="Q98" s="220">
        <v>7</v>
      </c>
      <c r="R98" s="550"/>
      <c r="S98" s="550"/>
      <c r="T98" s="550"/>
      <c r="U98" s="552" t="s">
        <v>108</v>
      </c>
      <c r="V98" s="552"/>
      <c r="W98" s="552"/>
      <c r="X98" s="213" t="b">
        <v>0</v>
      </c>
      <c r="Y98" s="9" t="s">
        <v>331</v>
      </c>
      <c r="Z98" s="550"/>
      <c r="AA98" s="15"/>
      <c r="AB98" s="226"/>
      <c r="AC98" s="22"/>
      <c r="AD98" s="15"/>
      <c r="AE98" s="623"/>
      <c r="AF98" s="53"/>
      <c r="AG98" s="15"/>
    </row>
    <row r="99" spans="1:33" s="3" customFormat="1" x14ac:dyDescent="0.35">
      <c r="A99" s="554"/>
      <c r="B99" s="295">
        <f t="shared" si="7"/>
        <v>86</v>
      </c>
      <c r="C99" s="620"/>
      <c r="F99" s="578"/>
      <c r="H99" s="15"/>
      <c r="I99" s="15"/>
      <c r="J99" s="214"/>
      <c r="K99" s="9"/>
      <c r="L99" s="15"/>
      <c r="M99" s="15"/>
      <c r="N99" s="227"/>
      <c r="O99" s="9"/>
      <c r="P99" s="9"/>
      <c r="Q99" s="9"/>
      <c r="R99" s="550"/>
      <c r="S99" s="550"/>
      <c r="T99" s="550"/>
      <c r="U99" s="213" t="b">
        <v>0</v>
      </c>
      <c r="V99" s="214" t="s">
        <v>165</v>
      </c>
      <c r="W99" s="225"/>
      <c r="X99" s="399"/>
      <c r="Y99" s="15"/>
      <c r="Z99" s="550"/>
      <c r="AA99" s="15"/>
      <c r="AB99" s="15"/>
      <c r="AC99" s="15"/>
      <c r="AD99" s="15"/>
      <c r="AE99" s="623"/>
      <c r="AF99" s="53"/>
      <c r="AG99" s="15"/>
    </row>
    <row r="100" spans="1:33" s="3" customFormat="1" ht="30" customHeight="1" x14ac:dyDescent="0.35">
      <c r="A100" s="554"/>
      <c r="B100" s="295">
        <f t="shared" si="7"/>
        <v>87</v>
      </c>
      <c r="C100" s="620"/>
      <c r="E100"/>
      <c r="H100" s="15"/>
      <c r="I100" s="15"/>
      <c r="J100" s="383"/>
      <c r="K100" s="222"/>
      <c r="L100" s="222"/>
      <c r="M100" s="222"/>
      <c r="N100" s="222"/>
      <c r="O100" s="9"/>
      <c r="P100" s="9"/>
      <c r="Q100" s="9"/>
      <c r="R100" s="212" t="b">
        <v>0</v>
      </c>
      <c r="S100" s="9" t="s">
        <v>367</v>
      </c>
      <c r="T100" s="9" t="s">
        <v>107</v>
      </c>
      <c r="U100" s="550"/>
      <c r="V100" s="550"/>
      <c r="X100" s="399"/>
      <c r="Y100" s="15"/>
      <c r="Z100" s="378"/>
      <c r="AA100" s="15"/>
      <c r="AB100" s="15"/>
      <c r="AC100" s="15"/>
      <c r="AD100" s="15"/>
      <c r="AE100" s="15"/>
      <c r="AF100" s="53"/>
      <c r="AG100" s="15"/>
    </row>
    <row r="101" spans="1:33" s="3" customFormat="1" x14ac:dyDescent="0.35">
      <c r="A101" s="554"/>
      <c r="B101" s="295">
        <f t="shared" si="7"/>
        <v>88</v>
      </c>
      <c r="C101" s="620"/>
      <c r="E101"/>
      <c r="H101" s="221"/>
      <c r="I101" s="15"/>
      <c r="J101" s="383"/>
      <c r="K101" s="222"/>
      <c r="L101" s="222"/>
      <c r="M101" s="222"/>
      <c r="N101" s="222"/>
      <c r="O101" s="9"/>
      <c r="P101" s="9"/>
      <c r="Q101" s="9"/>
      <c r="R101" s="550"/>
      <c r="S101" s="550"/>
      <c r="T101" s="550"/>
      <c r="U101" s="213" t="b">
        <v>0</v>
      </c>
      <c r="V101" s="9" t="s">
        <v>166</v>
      </c>
      <c r="W101" s="9"/>
      <c r="X101" s="399"/>
      <c r="Y101" s="15"/>
      <c r="Z101" s="378"/>
      <c r="AA101" s="15"/>
      <c r="AB101" s="15"/>
      <c r="AC101" s="15"/>
      <c r="AD101" s="15"/>
      <c r="AE101" s="15"/>
      <c r="AF101" s="53"/>
      <c r="AG101" s="15"/>
    </row>
    <row r="102" spans="1:33" s="3" customFormat="1" ht="30" customHeight="1" thickBot="1" x14ac:dyDescent="0.4">
      <c r="A102" s="555"/>
      <c r="B102" s="295">
        <f t="shared" si="7"/>
        <v>89</v>
      </c>
      <c r="C102" s="621"/>
      <c r="D102" s="55"/>
      <c r="E102" s="55"/>
      <c r="F102" s="55"/>
      <c r="G102" s="55"/>
      <c r="H102" s="56"/>
      <c r="I102" s="56"/>
      <c r="J102" s="384"/>
      <c r="K102" s="57"/>
      <c r="L102" s="57"/>
      <c r="M102" s="57"/>
      <c r="N102" s="57"/>
      <c r="O102" s="58"/>
      <c r="P102" s="58"/>
      <c r="Q102" s="58"/>
      <c r="R102" s="550"/>
      <c r="S102" s="550"/>
      <c r="T102" s="550"/>
      <c r="U102" s="550"/>
      <c r="V102" s="550"/>
      <c r="W102" s="58"/>
      <c r="X102" s="402"/>
      <c r="Y102" s="56"/>
      <c r="Z102" s="379"/>
      <c r="AA102" s="56"/>
      <c r="AB102" s="56"/>
      <c r="AC102" s="56"/>
      <c r="AD102" s="56"/>
      <c r="AE102" s="56"/>
      <c r="AF102" s="59"/>
      <c r="AG102" s="15"/>
    </row>
    <row r="103" spans="1:33" s="3" customFormat="1" ht="15" hidden="1" customHeight="1" thickBot="1" x14ac:dyDescent="0.4">
      <c r="A103" s="87"/>
      <c r="B103" s="241"/>
      <c r="C103" s="392"/>
      <c r="D103" s="393"/>
      <c r="E103" s="393"/>
      <c r="F103" s="393"/>
      <c r="G103" s="393"/>
      <c r="H103" s="393"/>
      <c r="I103" s="393"/>
      <c r="J103" s="394"/>
      <c r="K103" s="393"/>
      <c r="L103" s="393"/>
      <c r="M103" s="393"/>
      <c r="N103" s="393"/>
      <c r="O103" s="393"/>
      <c r="P103" s="393"/>
      <c r="Q103" s="393"/>
      <c r="R103" s="393"/>
      <c r="S103" s="393"/>
      <c r="T103" s="393"/>
      <c r="U103" s="394"/>
      <c r="V103" s="393"/>
      <c r="W103" s="393"/>
      <c r="X103" s="394"/>
      <c r="Y103" s="393"/>
      <c r="Z103" s="395"/>
      <c r="AA103" s="393"/>
      <c r="AB103" s="393"/>
      <c r="AC103" s="393"/>
      <c r="AD103" s="393"/>
      <c r="AE103" s="393"/>
      <c r="AF103" s="396"/>
      <c r="AG103" s="15"/>
    </row>
    <row r="104" spans="1:33" ht="5" customHeight="1" thickBot="1" x14ac:dyDescent="0.4">
      <c r="A104" s="87"/>
      <c r="B104" s="241"/>
      <c r="C104" s="391"/>
      <c r="D104" s="238"/>
      <c r="E104" s="238"/>
      <c r="F104" s="238"/>
      <c r="G104" s="238"/>
      <c r="H104" s="238"/>
      <c r="I104" s="238"/>
      <c r="J104" s="389"/>
      <c r="K104" s="238"/>
      <c r="L104" s="238"/>
      <c r="M104" s="238"/>
      <c r="N104" s="238"/>
      <c r="O104" s="238"/>
      <c r="P104" s="238"/>
      <c r="Q104" s="238"/>
      <c r="R104" s="238"/>
      <c r="S104" s="238"/>
      <c r="T104" s="238"/>
      <c r="U104" s="389"/>
      <c r="V104" s="238"/>
      <c r="W104" s="238"/>
      <c r="X104" s="389"/>
      <c r="Y104" s="238"/>
      <c r="Z104" s="390"/>
      <c r="AA104" s="238"/>
      <c r="AB104" s="238"/>
      <c r="AC104" s="238"/>
      <c r="AD104" s="238"/>
      <c r="AE104" s="238"/>
      <c r="AF104" s="311"/>
      <c r="AG104" s="87"/>
    </row>
    <row r="105" spans="1:33" ht="15" hidden="1" customHeight="1" thickBot="1" x14ac:dyDescent="0.4">
      <c r="A105" s="87"/>
      <c r="B105" s="241"/>
      <c r="C105" s="391"/>
      <c r="D105" s="238"/>
      <c r="E105" s="238"/>
      <c r="F105" s="238"/>
      <c r="G105" s="238"/>
      <c r="H105" s="238"/>
      <c r="I105" s="238"/>
      <c r="J105" s="389"/>
      <c r="K105" s="238"/>
      <c r="L105" s="238"/>
      <c r="M105" s="238"/>
      <c r="N105" s="238"/>
      <c r="O105" s="238"/>
      <c r="P105" s="238"/>
      <c r="Q105" s="238"/>
      <c r="R105" s="238"/>
      <c r="S105" s="238"/>
      <c r="T105" s="238"/>
      <c r="U105" s="389"/>
      <c r="V105" s="238"/>
      <c r="W105" s="238"/>
      <c r="X105" s="389"/>
      <c r="Y105" s="238"/>
      <c r="Z105" s="390"/>
      <c r="AA105" s="238"/>
      <c r="AB105" s="238"/>
      <c r="AC105" s="238"/>
      <c r="AD105" s="238"/>
      <c r="AE105" s="238"/>
      <c r="AF105" s="311"/>
      <c r="AG105"/>
    </row>
    <row r="106" spans="1:33" ht="29" customHeight="1" x14ac:dyDescent="0.35">
      <c r="A106" s="553">
        <f>A94+1</f>
        <v>9</v>
      </c>
      <c r="B106" s="295">
        <f>B94+10</f>
        <v>91</v>
      </c>
      <c r="C106" s="619" t="str">
        <f>VLOOKUP(A106,INputs!$G$3:$O$22,7,FALSE)</f>
        <v>Please fill out Sensitivity Labels Tab</v>
      </c>
      <c r="D106" s="47"/>
      <c r="E106" s="47"/>
      <c r="F106" s="573" t="s">
        <v>108</v>
      </c>
      <c r="G106" s="573"/>
      <c r="H106" s="573" t="s">
        <v>108</v>
      </c>
      <c r="I106" s="573"/>
      <c r="J106" s="575" t="str">
        <f>J$10</f>
        <v>Select a check box</v>
      </c>
      <c r="K106" s="575"/>
      <c r="L106" s="575" t="s">
        <v>108</v>
      </c>
      <c r="M106" s="575"/>
      <c r="N106" s="575"/>
      <c r="O106" s="575" t="s">
        <v>108</v>
      </c>
      <c r="P106" s="575"/>
      <c r="Q106" s="575"/>
      <c r="R106" s="577" t="s">
        <v>147</v>
      </c>
      <c r="S106" s="577"/>
      <c r="T106" s="407" t="s">
        <v>107</v>
      </c>
      <c r="U106" s="551" t="s">
        <v>148</v>
      </c>
      <c r="V106" s="551"/>
      <c r="W106" s="50"/>
      <c r="X106" s="401"/>
      <c r="Y106" s="574" t="s">
        <v>108</v>
      </c>
      <c r="Z106" s="574"/>
      <c r="AA106" s="51"/>
      <c r="AB106" s="573"/>
      <c r="AC106" s="573"/>
      <c r="AD106" s="48"/>
      <c r="AE106" s="49" t="s">
        <v>361</v>
      </c>
      <c r="AF106" s="52"/>
      <c r="AG106" s="20"/>
    </row>
    <row r="107" spans="1:33" x14ac:dyDescent="0.35">
      <c r="A107" s="554"/>
      <c r="B107" s="295">
        <f>B106+1</f>
        <v>92</v>
      </c>
      <c r="C107" s="620"/>
      <c r="D107" s="8"/>
      <c r="E107" s="8"/>
      <c r="F107" s="217"/>
      <c r="G107" s="217"/>
      <c r="H107" s="217"/>
      <c r="I107" s="217"/>
      <c r="J107" s="386"/>
      <c r="K107" s="386"/>
      <c r="L107" s="386"/>
      <c r="M107" s="386"/>
      <c r="N107" s="386"/>
      <c r="O107" s="386"/>
      <c r="P107" s="386"/>
      <c r="Q107" s="386"/>
      <c r="R107" s="550"/>
      <c r="S107" s="550"/>
      <c r="T107" s="550"/>
      <c r="U107" s="406"/>
      <c r="V107" s="400" t="s">
        <v>109</v>
      </c>
      <c r="W107" s="225"/>
      <c r="X107" s="403"/>
      <c r="Y107" s="405"/>
      <c r="Z107" s="405"/>
      <c r="AA107" s="20"/>
      <c r="AB107" s="217"/>
      <c r="AC107" s="217" t="s">
        <v>108</v>
      </c>
      <c r="AD107" s="217"/>
      <c r="AE107" s="386"/>
      <c r="AF107" s="54"/>
      <c r="AG107" s="20"/>
    </row>
    <row r="108" spans="1:33" ht="30.5" x14ac:dyDescent="0.35">
      <c r="A108" s="554"/>
      <c r="B108" s="295">
        <f t="shared" ref="B108:B114" si="8">B107+1</f>
        <v>93</v>
      </c>
      <c r="C108" s="620"/>
      <c r="E108" s="209" t="b">
        <v>0</v>
      </c>
      <c r="F108" s="3" t="s">
        <v>333</v>
      </c>
      <c r="H108" s="209" t="b">
        <v>0</v>
      </c>
      <c r="I108" s="219" t="s">
        <v>150</v>
      </c>
      <c r="J108" s="210" t="b">
        <v>0</v>
      </c>
      <c r="K108" s="211" t="s">
        <v>151</v>
      </c>
      <c r="L108" s="212" t="b">
        <v>0</v>
      </c>
      <c r="M108" s="9" t="s">
        <v>152</v>
      </c>
      <c r="N108" s="222"/>
      <c r="O108" s="212" t="b">
        <v>0</v>
      </c>
      <c r="P108" s="9" t="s">
        <v>153</v>
      </c>
      <c r="Q108" s="9"/>
      <c r="R108" s="550"/>
      <c r="S108" s="550"/>
      <c r="T108" s="550"/>
      <c r="U108" s="550"/>
      <c r="V108" s="550"/>
      <c r="W108" s="225"/>
      <c r="X108" s="213" t="b">
        <v>0</v>
      </c>
      <c r="Y108" s="214" t="s">
        <v>154</v>
      </c>
      <c r="Z108" s="381"/>
      <c r="AA108" s="15"/>
      <c r="AB108" s="215" t="b">
        <v>0</v>
      </c>
      <c r="AC108" s="15" t="s">
        <v>155</v>
      </c>
      <c r="AD108" s="15"/>
      <c r="AE108" s="15"/>
      <c r="AF108" s="53"/>
      <c r="AG108" s="15"/>
    </row>
    <row r="109" spans="1:33" ht="35" customHeight="1" x14ac:dyDescent="0.35">
      <c r="A109" s="554"/>
      <c r="B109" s="295">
        <f t="shared" si="8"/>
        <v>94</v>
      </c>
      <c r="C109" s="620"/>
      <c r="E109" s="209" t="b">
        <v>0</v>
      </c>
      <c r="F109" s="205" t="s">
        <v>332</v>
      </c>
      <c r="H109" s="15"/>
      <c r="I109" s="219"/>
      <c r="J109" s="213" t="b">
        <v>0</v>
      </c>
      <c r="K109" s="576" t="s">
        <v>157</v>
      </c>
      <c r="L109" s="213" t="b">
        <v>0</v>
      </c>
      <c r="M109" s="214" t="s">
        <v>158</v>
      </c>
      <c r="N109" s="397">
        <v>44197</v>
      </c>
      <c r="O109" s="213" t="b">
        <v>0</v>
      </c>
      <c r="P109" s="214" t="s">
        <v>152</v>
      </c>
      <c r="Q109" s="9"/>
      <c r="R109" s="212" t="b">
        <v>0</v>
      </c>
      <c r="S109" s="9" t="s">
        <v>366</v>
      </c>
      <c r="T109" s="9" t="s">
        <v>107</v>
      </c>
      <c r="U109" s="213" t="b">
        <v>0</v>
      </c>
      <c r="V109" s="400" t="s">
        <v>164</v>
      </c>
      <c r="W109" s="224"/>
      <c r="X109" s="213" t="b">
        <v>0</v>
      </c>
      <c r="Y109" s="214" t="s">
        <v>159</v>
      </c>
      <c r="Z109" s="381"/>
      <c r="AA109" s="15"/>
      <c r="AB109" s="226"/>
      <c r="AC109" s="217" t="s">
        <v>109</v>
      </c>
      <c r="AD109" s="218"/>
      <c r="AE109" s="386" t="s">
        <v>362</v>
      </c>
      <c r="AF109" s="54"/>
      <c r="AG109" s="15"/>
    </row>
    <row r="110" spans="1:33" ht="14.5" customHeight="1" x14ac:dyDescent="0.35">
      <c r="A110" s="554"/>
      <c r="B110" s="295">
        <f t="shared" si="8"/>
        <v>95</v>
      </c>
      <c r="C110" s="620"/>
      <c r="E110" s="209" t="b">
        <v>0</v>
      </c>
      <c r="F110" s="578" t="s">
        <v>169</v>
      </c>
      <c r="H110" s="209" t="b">
        <v>0</v>
      </c>
      <c r="I110" s="219" t="s">
        <v>161</v>
      </c>
      <c r="J110" s="214"/>
      <c r="K110" s="576"/>
      <c r="L110" s="212" t="b">
        <v>0</v>
      </c>
      <c r="M110" s="44" t="s">
        <v>162</v>
      </c>
      <c r="N110" s="220">
        <v>6</v>
      </c>
      <c r="O110" s="212" t="b">
        <v>0</v>
      </c>
      <c r="P110" s="9" t="s">
        <v>162</v>
      </c>
      <c r="Q110" s="220">
        <v>0</v>
      </c>
      <c r="R110" s="550"/>
      <c r="S110" s="550"/>
      <c r="T110" s="550"/>
      <c r="U110" s="552" t="s">
        <v>108</v>
      </c>
      <c r="V110" s="552"/>
      <c r="W110" s="552"/>
      <c r="X110" s="213" t="b">
        <v>0</v>
      </c>
      <c r="Y110" s="9" t="s">
        <v>331</v>
      </c>
      <c r="Z110" s="550"/>
      <c r="AA110" s="15"/>
      <c r="AB110" s="226"/>
      <c r="AC110" s="22"/>
      <c r="AD110" s="15"/>
      <c r="AE110" s="623"/>
      <c r="AF110" s="53"/>
      <c r="AG110" s="15"/>
    </row>
    <row r="111" spans="1:33" x14ac:dyDescent="0.35">
      <c r="A111" s="554"/>
      <c r="B111" s="295">
        <f t="shared" si="8"/>
        <v>96</v>
      </c>
      <c r="C111" s="620"/>
      <c r="F111" s="578"/>
      <c r="H111" s="15"/>
      <c r="I111" s="15"/>
      <c r="J111" s="214"/>
      <c r="K111" s="9"/>
      <c r="L111" s="15"/>
      <c r="M111" s="15"/>
      <c r="N111" s="227"/>
      <c r="O111" s="9"/>
      <c r="P111" s="9"/>
      <c r="Q111" s="9"/>
      <c r="R111" s="550"/>
      <c r="S111" s="550"/>
      <c r="T111" s="550"/>
      <c r="U111" s="213" t="b">
        <v>0</v>
      </c>
      <c r="V111" s="214" t="s">
        <v>165</v>
      </c>
      <c r="W111" s="225"/>
      <c r="Y111" s="15"/>
      <c r="Z111" s="550"/>
      <c r="AA111" s="15"/>
      <c r="AB111" s="15"/>
      <c r="AC111" s="15"/>
      <c r="AD111" s="15"/>
      <c r="AE111" s="623"/>
      <c r="AF111" s="53"/>
      <c r="AG111" s="15"/>
    </row>
    <row r="112" spans="1:33" ht="30" customHeight="1" x14ac:dyDescent="0.35">
      <c r="A112" s="554"/>
      <c r="B112" s="295">
        <f t="shared" si="8"/>
        <v>97</v>
      </c>
      <c r="C112" s="620"/>
      <c r="E112"/>
      <c r="H112" s="15"/>
      <c r="I112" s="15"/>
      <c r="J112" s="383"/>
      <c r="K112" s="222"/>
      <c r="L112" s="222"/>
      <c r="M112" s="222"/>
      <c r="N112" s="222"/>
      <c r="O112" s="9"/>
      <c r="P112" s="9"/>
      <c r="Q112" s="9"/>
      <c r="R112" s="212" t="b">
        <v>0</v>
      </c>
      <c r="S112" s="9" t="s">
        <v>367</v>
      </c>
      <c r="T112" s="9" t="s">
        <v>107</v>
      </c>
      <c r="U112" s="550"/>
      <c r="V112" s="550"/>
      <c r="Y112" s="15"/>
      <c r="Z112" s="378"/>
      <c r="AA112" s="15"/>
      <c r="AB112" s="15"/>
      <c r="AC112" s="15"/>
      <c r="AD112" s="15"/>
      <c r="AE112" s="15"/>
      <c r="AF112" s="53"/>
      <c r="AG112" s="15"/>
    </row>
    <row r="113" spans="1:33" x14ac:dyDescent="0.35">
      <c r="A113" s="554"/>
      <c r="B113" s="295">
        <f t="shared" si="8"/>
        <v>98</v>
      </c>
      <c r="C113" s="620"/>
      <c r="E113"/>
      <c r="H113" s="221"/>
      <c r="I113" s="15"/>
      <c r="J113" s="383"/>
      <c r="K113" s="222"/>
      <c r="L113" s="222"/>
      <c r="M113" s="222"/>
      <c r="N113" s="222"/>
      <c r="O113" s="9"/>
      <c r="P113" s="9"/>
      <c r="Q113" s="9"/>
      <c r="R113" s="550"/>
      <c r="S113" s="550"/>
      <c r="T113" s="550"/>
      <c r="U113" s="213" t="b">
        <v>0</v>
      </c>
      <c r="V113" s="9" t="s">
        <v>166</v>
      </c>
      <c r="W113" s="9"/>
      <c r="Y113" s="15"/>
      <c r="Z113" s="378"/>
      <c r="AA113" s="15"/>
      <c r="AB113" s="15"/>
      <c r="AC113" s="15"/>
      <c r="AD113" s="15"/>
      <c r="AE113" s="15"/>
      <c r="AF113" s="53"/>
      <c r="AG113" s="15"/>
    </row>
    <row r="114" spans="1:33" ht="30" customHeight="1" thickBot="1" x14ac:dyDescent="0.4">
      <c r="A114" s="555"/>
      <c r="B114" s="295">
        <f t="shared" si="8"/>
        <v>99</v>
      </c>
      <c r="C114" s="621"/>
      <c r="D114" s="55"/>
      <c r="E114" s="55"/>
      <c r="F114" s="55"/>
      <c r="G114" s="55"/>
      <c r="H114" s="56"/>
      <c r="I114" s="56"/>
      <c r="J114" s="384"/>
      <c r="K114" s="57"/>
      <c r="L114" s="57"/>
      <c r="M114" s="57"/>
      <c r="N114" s="57"/>
      <c r="O114" s="58"/>
      <c r="P114" s="58"/>
      <c r="Q114" s="58"/>
      <c r="R114" s="550"/>
      <c r="S114" s="550"/>
      <c r="T114" s="550"/>
      <c r="U114" s="550"/>
      <c r="V114" s="550"/>
      <c r="W114" s="58"/>
      <c r="X114" s="402"/>
      <c r="Y114" s="56"/>
      <c r="Z114" s="379"/>
      <c r="AA114" s="56"/>
      <c r="AB114" s="56"/>
      <c r="AC114" s="56"/>
      <c r="AD114" s="56"/>
      <c r="AE114" s="56"/>
      <c r="AF114" s="59"/>
      <c r="AG114" s="15"/>
    </row>
    <row r="115" spans="1:33" ht="15" hidden="1" customHeight="1" thickBot="1" x14ac:dyDescent="0.4">
      <c r="A115" s="87"/>
      <c r="B115" s="241"/>
      <c r="C115" s="392"/>
      <c r="D115" s="393"/>
      <c r="E115" s="393"/>
      <c r="F115" s="393"/>
      <c r="G115" s="393"/>
      <c r="H115" s="393"/>
      <c r="I115" s="393"/>
      <c r="J115" s="394"/>
      <c r="K115" s="393"/>
      <c r="L115" s="393"/>
      <c r="M115" s="393"/>
      <c r="N115" s="393"/>
      <c r="O115" s="393"/>
      <c r="P115" s="393"/>
      <c r="Q115" s="393"/>
      <c r="R115" s="393"/>
      <c r="S115" s="393"/>
      <c r="T115" s="393"/>
      <c r="U115" s="394"/>
      <c r="V115" s="393"/>
      <c r="W115" s="393"/>
      <c r="X115" s="394"/>
      <c r="Y115" s="393"/>
      <c r="Z115" s="395"/>
      <c r="AA115" s="393"/>
      <c r="AB115" s="393"/>
      <c r="AC115" s="393"/>
      <c r="AD115" s="393"/>
      <c r="AE115" s="393"/>
      <c r="AF115" s="396"/>
      <c r="AG115" s="15"/>
    </row>
    <row r="116" spans="1:33" ht="5" customHeight="1" thickBot="1" x14ac:dyDescent="0.4">
      <c r="A116" s="87"/>
      <c r="B116" s="241"/>
      <c r="C116" s="391"/>
      <c r="D116" s="238"/>
      <c r="E116" s="238"/>
      <c r="F116" s="238"/>
      <c r="G116" s="238"/>
      <c r="H116" s="238"/>
      <c r="I116" s="238"/>
      <c r="J116" s="389"/>
      <c r="K116" s="238"/>
      <c r="L116" s="238"/>
      <c r="M116" s="238"/>
      <c r="N116" s="238"/>
      <c r="O116" s="238"/>
      <c r="P116" s="238"/>
      <c r="Q116" s="238"/>
      <c r="R116" s="238"/>
      <c r="S116" s="238"/>
      <c r="T116" s="238"/>
      <c r="U116" s="389"/>
      <c r="V116" s="238"/>
      <c r="W116" s="238"/>
      <c r="X116" s="389"/>
      <c r="Y116" s="238"/>
      <c r="Z116" s="390"/>
      <c r="AA116" s="238"/>
      <c r="AB116" s="238"/>
      <c r="AC116" s="238"/>
      <c r="AD116" s="238"/>
      <c r="AE116" s="238"/>
      <c r="AF116" s="311"/>
      <c r="AG116" s="87"/>
    </row>
    <row r="117" spans="1:33" ht="15" hidden="1" customHeight="1" thickBot="1" x14ac:dyDescent="0.4">
      <c r="A117" s="87"/>
      <c r="B117" s="241"/>
      <c r="C117" s="391"/>
      <c r="D117" s="238"/>
      <c r="E117" s="238"/>
      <c r="F117" s="238"/>
      <c r="G117" s="238"/>
      <c r="H117" s="238"/>
      <c r="I117" s="238"/>
      <c r="J117" s="389"/>
      <c r="K117" s="238"/>
      <c r="L117" s="238"/>
      <c r="M117" s="238"/>
      <c r="N117" s="238"/>
      <c r="O117" s="238"/>
      <c r="P117" s="238"/>
      <c r="Q117" s="238"/>
      <c r="R117" s="238"/>
      <c r="S117" s="238"/>
      <c r="T117" s="238"/>
      <c r="U117" s="389"/>
      <c r="V117" s="238"/>
      <c r="W117" s="238"/>
      <c r="X117" s="389"/>
      <c r="Y117" s="238"/>
      <c r="Z117" s="390"/>
      <c r="AA117" s="238"/>
      <c r="AB117" s="238"/>
      <c r="AC117" s="238"/>
      <c r="AD117" s="238"/>
      <c r="AE117" s="238"/>
      <c r="AF117" s="311"/>
      <c r="AG117"/>
    </row>
    <row r="118" spans="1:33" ht="29" customHeight="1" x14ac:dyDescent="0.35">
      <c r="A118" s="553">
        <f>A106+1</f>
        <v>10</v>
      </c>
      <c r="B118" s="295">
        <f>B106+10</f>
        <v>101</v>
      </c>
      <c r="C118" s="619" t="str">
        <f>VLOOKUP(A118,INputs!$G$3:$O$22,7,FALSE)</f>
        <v>Please fill out Sensitivity Labels Tab</v>
      </c>
      <c r="D118" s="47"/>
      <c r="E118" s="47"/>
      <c r="F118" s="573" t="s">
        <v>108</v>
      </c>
      <c r="G118" s="573"/>
      <c r="H118" s="573" t="s">
        <v>108</v>
      </c>
      <c r="I118" s="573"/>
      <c r="J118" s="575" t="str">
        <f>J$10</f>
        <v>Select a check box</v>
      </c>
      <c r="K118" s="575"/>
      <c r="L118" s="575" t="s">
        <v>108</v>
      </c>
      <c r="M118" s="575"/>
      <c r="N118" s="575"/>
      <c r="O118" s="575" t="s">
        <v>108</v>
      </c>
      <c r="P118" s="575"/>
      <c r="Q118" s="575"/>
      <c r="R118" s="577" t="s">
        <v>147</v>
      </c>
      <c r="S118" s="577"/>
      <c r="T118" s="407" t="s">
        <v>107</v>
      </c>
      <c r="U118" s="551" t="s">
        <v>148</v>
      </c>
      <c r="V118" s="551"/>
      <c r="W118" s="50"/>
      <c r="X118" s="401"/>
      <c r="Y118" s="574" t="s">
        <v>108</v>
      </c>
      <c r="Z118" s="574"/>
      <c r="AA118" s="51"/>
      <c r="AB118" s="573"/>
      <c r="AC118" s="573"/>
      <c r="AD118" s="48"/>
      <c r="AE118" s="49" t="s">
        <v>361</v>
      </c>
      <c r="AF118" s="52"/>
      <c r="AG118" s="20"/>
    </row>
    <row r="119" spans="1:33" x14ac:dyDescent="0.35">
      <c r="A119" s="554"/>
      <c r="B119" s="295">
        <f>B118+1</f>
        <v>102</v>
      </c>
      <c r="C119" s="620"/>
      <c r="D119" s="8"/>
      <c r="E119" s="8"/>
      <c r="F119" s="217"/>
      <c r="G119" s="217"/>
      <c r="H119" s="217"/>
      <c r="I119" s="217"/>
      <c r="J119" s="386"/>
      <c r="K119" s="386"/>
      <c r="L119" s="386"/>
      <c r="M119" s="386"/>
      <c r="N119" s="386"/>
      <c r="O119" s="386"/>
      <c r="P119" s="386"/>
      <c r="Q119" s="386"/>
      <c r="R119" s="550"/>
      <c r="S119" s="550"/>
      <c r="T119" s="550"/>
      <c r="U119" s="406"/>
      <c r="V119" s="400" t="s">
        <v>109</v>
      </c>
      <c r="W119" s="225"/>
      <c r="X119" s="403"/>
      <c r="Y119" s="405"/>
      <c r="Z119" s="405"/>
      <c r="AA119" s="20"/>
      <c r="AB119" s="217"/>
      <c r="AC119" s="217" t="s">
        <v>108</v>
      </c>
      <c r="AD119" s="217"/>
      <c r="AE119" s="386"/>
      <c r="AF119" s="54"/>
      <c r="AG119" s="20"/>
    </row>
    <row r="120" spans="1:33" ht="30.5" x14ac:dyDescent="0.35">
      <c r="A120" s="554"/>
      <c r="B120" s="295">
        <f t="shared" ref="B120:B126" si="9">B119+1</f>
        <v>103</v>
      </c>
      <c r="C120" s="620"/>
      <c r="E120" s="209" t="b">
        <v>0</v>
      </c>
      <c r="F120" s="3" t="s">
        <v>333</v>
      </c>
      <c r="H120" s="209" t="b">
        <v>0</v>
      </c>
      <c r="I120" s="219" t="s">
        <v>150</v>
      </c>
      <c r="J120" s="210" t="b">
        <v>0</v>
      </c>
      <c r="K120" s="211" t="s">
        <v>151</v>
      </c>
      <c r="L120" s="212" t="b">
        <v>0</v>
      </c>
      <c r="M120" s="9" t="s">
        <v>152</v>
      </c>
      <c r="N120" s="222"/>
      <c r="O120" s="212" t="b">
        <v>0</v>
      </c>
      <c r="P120" s="9" t="s">
        <v>153</v>
      </c>
      <c r="Q120" s="9"/>
      <c r="R120" s="550"/>
      <c r="S120" s="550"/>
      <c r="T120" s="550"/>
      <c r="U120" s="550"/>
      <c r="V120" s="550"/>
      <c r="W120" s="225"/>
      <c r="X120" s="213" t="b">
        <v>0</v>
      </c>
      <c r="Y120" s="214" t="s">
        <v>154</v>
      </c>
      <c r="Z120" s="381"/>
      <c r="AA120" s="15"/>
      <c r="AB120" s="215" t="b">
        <v>0</v>
      </c>
      <c r="AC120" s="15" t="s">
        <v>155</v>
      </c>
      <c r="AD120" s="15"/>
      <c r="AE120" s="15"/>
      <c r="AF120" s="53"/>
      <c r="AG120" s="15"/>
    </row>
    <row r="121" spans="1:33" ht="35" customHeight="1" x14ac:dyDescent="0.35">
      <c r="A121" s="554"/>
      <c r="B121" s="295">
        <f t="shared" si="9"/>
        <v>104</v>
      </c>
      <c r="C121" s="620"/>
      <c r="E121" s="209" t="b">
        <v>0</v>
      </c>
      <c r="F121" s="205" t="s">
        <v>332</v>
      </c>
      <c r="H121" s="15"/>
      <c r="I121" s="219"/>
      <c r="J121" s="213" t="b">
        <v>0</v>
      </c>
      <c r="K121" s="576" t="s">
        <v>157</v>
      </c>
      <c r="L121" s="213" t="b">
        <v>0</v>
      </c>
      <c r="M121" s="214" t="s">
        <v>158</v>
      </c>
      <c r="N121" s="397">
        <v>44197</v>
      </c>
      <c r="O121" s="213" t="b">
        <v>0</v>
      </c>
      <c r="P121" s="214" t="s">
        <v>152</v>
      </c>
      <c r="Q121" s="9"/>
      <c r="R121" s="212" t="b">
        <v>0</v>
      </c>
      <c r="S121" s="9" t="s">
        <v>366</v>
      </c>
      <c r="T121" s="9" t="s">
        <v>107</v>
      </c>
      <c r="U121" s="213" t="b">
        <v>0</v>
      </c>
      <c r="V121" s="400" t="s">
        <v>164</v>
      </c>
      <c r="W121" s="224"/>
      <c r="X121" s="213" t="b">
        <v>0</v>
      </c>
      <c r="Y121" s="214" t="s">
        <v>159</v>
      </c>
      <c r="Z121" s="381"/>
      <c r="AA121" s="15"/>
      <c r="AB121" s="226"/>
      <c r="AC121" s="217" t="s">
        <v>109</v>
      </c>
      <c r="AD121" s="218"/>
      <c r="AE121" s="386" t="s">
        <v>362</v>
      </c>
      <c r="AF121" s="54"/>
      <c r="AG121" s="15"/>
    </row>
    <row r="122" spans="1:33" ht="14.5" customHeight="1" x14ac:dyDescent="0.35">
      <c r="A122" s="554"/>
      <c r="B122" s="295">
        <f t="shared" si="9"/>
        <v>105</v>
      </c>
      <c r="C122" s="620"/>
      <c r="E122" s="209" t="b">
        <v>0</v>
      </c>
      <c r="F122" s="578" t="s">
        <v>169</v>
      </c>
      <c r="H122" s="209" t="b">
        <v>0</v>
      </c>
      <c r="I122" s="219" t="s">
        <v>161</v>
      </c>
      <c r="J122" s="214"/>
      <c r="K122" s="576"/>
      <c r="L122" s="212" t="b">
        <v>0</v>
      </c>
      <c r="M122" s="44" t="s">
        <v>162</v>
      </c>
      <c r="N122" s="220">
        <v>6</v>
      </c>
      <c r="O122" s="212" t="b">
        <v>0</v>
      </c>
      <c r="P122" s="9" t="s">
        <v>162</v>
      </c>
      <c r="Q122" s="220">
        <v>0</v>
      </c>
      <c r="R122" s="550"/>
      <c r="S122" s="550"/>
      <c r="T122" s="550"/>
      <c r="U122" s="552" t="s">
        <v>108</v>
      </c>
      <c r="V122" s="552"/>
      <c r="W122" s="552"/>
      <c r="X122" s="213" t="b">
        <v>0</v>
      </c>
      <c r="Y122" s="9" t="s">
        <v>331</v>
      </c>
      <c r="Z122" s="550"/>
      <c r="AA122" s="15"/>
      <c r="AB122" s="226"/>
      <c r="AC122" s="22"/>
      <c r="AD122" s="15"/>
      <c r="AE122" s="623"/>
      <c r="AF122" s="53"/>
      <c r="AG122" s="15"/>
    </row>
    <row r="123" spans="1:33" x14ac:dyDescent="0.35">
      <c r="A123" s="554"/>
      <c r="B123" s="295">
        <f t="shared" si="9"/>
        <v>106</v>
      </c>
      <c r="C123" s="620"/>
      <c r="F123" s="578"/>
      <c r="H123" s="15"/>
      <c r="I123" s="15"/>
      <c r="J123" s="214"/>
      <c r="K123" s="9"/>
      <c r="L123" s="15"/>
      <c r="M123" s="15"/>
      <c r="N123" s="227"/>
      <c r="O123" s="9"/>
      <c r="P123" s="9"/>
      <c r="Q123" s="9"/>
      <c r="R123" s="550"/>
      <c r="S123" s="550"/>
      <c r="T123" s="550"/>
      <c r="U123" s="213" t="b">
        <v>0</v>
      </c>
      <c r="V123" s="214" t="s">
        <v>165</v>
      </c>
      <c r="W123" s="225"/>
      <c r="Y123" s="15"/>
      <c r="Z123" s="550"/>
      <c r="AA123" s="15"/>
      <c r="AB123" s="15"/>
      <c r="AC123" s="15"/>
      <c r="AD123" s="15"/>
      <c r="AE123" s="623"/>
      <c r="AF123" s="53"/>
      <c r="AG123" s="15"/>
    </row>
    <row r="124" spans="1:33" ht="30" customHeight="1" x14ac:dyDescent="0.35">
      <c r="A124" s="554"/>
      <c r="B124" s="295">
        <f t="shared" si="9"/>
        <v>107</v>
      </c>
      <c r="C124" s="620"/>
      <c r="E124"/>
      <c r="H124" s="15"/>
      <c r="I124" s="15"/>
      <c r="J124" s="383"/>
      <c r="K124" s="222"/>
      <c r="L124" s="222"/>
      <c r="M124" s="222"/>
      <c r="N124" s="222"/>
      <c r="O124" s="9"/>
      <c r="P124" s="9"/>
      <c r="Q124" s="9"/>
      <c r="R124" s="212" t="b">
        <v>0</v>
      </c>
      <c r="S124" s="9" t="s">
        <v>367</v>
      </c>
      <c r="T124" s="9" t="s">
        <v>107</v>
      </c>
      <c r="U124" s="550"/>
      <c r="V124" s="550"/>
      <c r="Y124" s="15"/>
      <c r="Z124" s="378"/>
      <c r="AA124" s="15"/>
      <c r="AB124" s="15"/>
      <c r="AC124" s="15"/>
      <c r="AD124" s="15"/>
      <c r="AE124" s="15"/>
      <c r="AF124" s="53"/>
      <c r="AG124" s="15"/>
    </row>
    <row r="125" spans="1:33" x14ac:dyDescent="0.35">
      <c r="A125" s="554"/>
      <c r="B125" s="295">
        <f t="shared" si="9"/>
        <v>108</v>
      </c>
      <c r="C125" s="620"/>
      <c r="E125"/>
      <c r="H125" s="221"/>
      <c r="I125" s="15"/>
      <c r="J125" s="383"/>
      <c r="K125" s="222"/>
      <c r="L125" s="222"/>
      <c r="M125" s="222"/>
      <c r="N125" s="222"/>
      <c r="O125" s="9"/>
      <c r="P125" s="9"/>
      <c r="Q125" s="9"/>
      <c r="R125" s="550"/>
      <c r="S125" s="550"/>
      <c r="T125" s="550"/>
      <c r="U125" s="213" t="b">
        <v>0</v>
      </c>
      <c r="V125" s="9" t="s">
        <v>166</v>
      </c>
      <c r="W125" s="9"/>
      <c r="Y125" s="15"/>
      <c r="Z125" s="378"/>
      <c r="AA125" s="15"/>
      <c r="AB125" s="15"/>
      <c r="AC125" s="15"/>
      <c r="AD125" s="15"/>
      <c r="AE125" s="15"/>
      <c r="AF125" s="53"/>
      <c r="AG125" s="15"/>
    </row>
    <row r="126" spans="1:33" ht="30" customHeight="1" thickBot="1" x14ac:dyDescent="0.4">
      <c r="A126" s="555"/>
      <c r="B126" s="295">
        <f t="shared" si="9"/>
        <v>109</v>
      </c>
      <c r="C126" s="621"/>
      <c r="D126" s="55"/>
      <c r="E126" s="55"/>
      <c r="F126" s="55"/>
      <c r="G126" s="55"/>
      <c r="H126" s="56"/>
      <c r="I126" s="56"/>
      <c r="J126" s="384"/>
      <c r="K126" s="57"/>
      <c r="L126" s="57"/>
      <c r="M126" s="57"/>
      <c r="N126" s="57"/>
      <c r="O126" s="58"/>
      <c r="P126" s="58"/>
      <c r="Q126" s="58"/>
      <c r="R126" s="550"/>
      <c r="S126" s="550"/>
      <c r="T126" s="550"/>
      <c r="U126" s="550"/>
      <c r="V126" s="550"/>
      <c r="W126" s="58"/>
      <c r="X126" s="402"/>
      <c r="Y126" s="56"/>
      <c r="Z126" s="379"/>
      <c r="AA126" s="56"/>
      <c r="AB126" s="56"/>
      <c r="AC126" s="56"/>
      <c r="AD126" s="56"/>
      <c r="AE126" s="56"/>
      <c r="AF126" s="59"/>
      <c r="AG126" s="15"/>
    </row>
    <row r="127" spans="1:33" ht="15" hidden="1" customHeight="1" thickBot="1" x14ac:dyDescent="0.4">
      <c r="A127" s="87"/>
      <c r="B127" s="241"/>
      <c r="C127" s="392"/>
      <c r="D127" s="393"/>
      <c r="E127" s="393"/>
      <c r="F127" s="393"/>
      <c r="G127" s="393"/>
      <c r="H127" s="393"/>
      <c r="I127" s="393"/>
      <c r="J127" s="394"/>
      <c r="K127" s="393"/>
      <c r="L127" s="393"/>
      <c r="M127" s="393"/>
      <c r="N127" s="393"/>
      <c r="O127" s="393"/>
      <c r="P127" s="393"/>
      <c r="Q127" s="393"/>
      <c r="R127" s="393"/>
      <c r="S127" s="393"/>
      <c r="T127" s="393"/>
      <c r="U127" s="394"/>
      <c r="V127" s="393"/>
      <c r="W127" s="393"/>
      <c r="X127" s="394"/>
      <c r="Y127" s="393"/>
      <c r="Z127" s="395"/>
      <c r="AA127" s="393"/>
      <c r="AB127" s="393"/>
      <c r="AC127" s="393"/>
      <c r="AD127" s="393"/>
      <c r="AE127" s="393"/>
      <c r="AF127" s="396"/>
      <c r="AG127" s="15"/>
    </row>
    <row r="128" spans="1:33" ht="5" customHeight="1" thickBot="1" x14ac:dyDescent="0.4">
      <c r="A128" s="87"/>
      <c r="B128" s="241"/>
      <c r="C128" s="391"/>
      <c r="D128" s="238"/>
      <c r="E128" s="238"/>
      <c r="F128" s="238"/>
      <c r="G128" s="238"/>
      <c r="H128" s="238"/>
      <c r="I128" s="238"/>
      <c r="J128" s="389"/>
      <c r="K128" s="238"/>
      <c r="L128" s="238"/>
      <c r="M128" s="238"/>
      <c r="N128" s="238"/>
      <c r="O128" s="238"/>
      <c r="P128" s="238"/>
      <c r="Q128" s="238"/>
      <c r="R128" s="238"/>
      <c r="S128" s="238"/>
      <c r="T128" s="238"/>
      <c r="U128" s="389"/>
      <c r="V128" s="238"/>
      <c r="W128" s="238"/>
      <c r="X128" s="389"/>
      <c r="Y128" s="238"/>
      <c r="Z128" s="390"/>
      <c r="AA128" s="238"/>
      <c r="AB128" s="238"/>
      <c r="AC128" s="238"/>
      <c r="AD128" s="238"/>
      <c r="AE128" s="238"/>
      <c r="AF128" s="311"/>
      <c r="AG128" s="87"/>
    </row>
    <row r="129" spans="1:33" ht="15" hidden="1" customHeight="1" thickBot="1" x14ac:dyDescent="0.4">
      <c r="A129" s="87"/>
      <c r="B129" s="241"/>
      <c r="C129" s="391"/>
      <c r="D129" s="238"/>
      <c r="E129" s="238"/>
      <c r="F129" s="238"/>
      <c r="G129" s="238"/>
      <c r="H129" s="238"/>
      <c r="I129" s="238"/>
      <c r="J129" s="389"/>
      <c r="K129" s="238"/>
      <c r="L129" s="238"/>
      <c r="M129" s="238"/>
      <c r="N129" s="238"/>
      <c r="O129" s="238"/>
      <c r="P129" s="238"/>
      <c r="Q129" s="238"/>
      <c r="R129" s="238"/>
      <c r="S129" s="238"/>
      <c r="T129" s="238"/>
      <c r="U129" s="389"/>
      <c r="V129" s="238"/>
      <c r="W129" s="238"/>
      <c r="X129" s="389"/>
      <c r="Y129" s="238"/>
      <c r="Z129" s="390"/>
      <c r="AA129" s="238"/>
      <c r="AB129" s="238"/>
      <c r="AC129" s="238"/>
      <c r="AD129" s="238"/>
      <c r="AE129" s="238"/>
      <c r="AF129" s="311"/>
      <c r="AG129"/>
    </row>
    <row r="130" spans="1:33" ht="29" customHeight="1" x14ac:dyDescent="0.35">
      <c r="A130" s="553">
        <f>A118+1</f>
        <v>11</v>
      </c>
      <c r="B130" s="295">
        <f>B118+10</f>
        <v>111</v>
      </c>
      <c r="C130" s="619" t="str">
        <f>VLOOKUP(A130,INputs!$G$3:$O$22,7,FALSE)</f>
        <v>Please fill out Sensitivity Labels Tab</v>
      </c>
      <c r="D130" s="47"/>
      <c r="E130" s="47"/>
      <c r="F130" s="573" t="s">
        <v>108</v>
      </c>
      <c r="G130" s="573"/>
      <c r="H130" s="573" t="s">
        <v>108</v>
      </c>
      <c r="I130" s="573"/>
      <c r="J130" s="575" t="str">
        <f>J$10</f>
        <v>Select a check box</v>
      </c>
      <c r="K130" s="575"/>
      <c r="L130" s="575" t="s">
        <v>108</v>
      </c>
      <c r="M130" s="575"/>
      <c r="N130" s="575"/>
      <c r="O130" s="575" t="s">
        <v>108</v>
      </c>
      <c r="P130" s="575"/>
      <c r="Q130" s="575"/>
      <c r="R130" s="577" t="s">
        <v>147</v>
      </c>
      <c r="S130" s="577"/>
      <c r="T130" s="407" t="s">
        <v>107</v>
      </c>
      <c r="U130" s="551" t="s">
        <v>148</v>
      </c>
      <c r="V130" s="551"/>
      <c r="W130" s="50"/>
      <c r="X130" s="401"/>
      <c r="Y130" s="574" t="s">
        <v>108</v>
      </c>
      <c r="Z130" s="574"/>
      <c r="AA130" s="51"/>
      <c r="AB130" s="573"/>
      <c r="AC130" s="573"/>
      <c r="AD130" s="48"/>
      <c r="AE130" s="49" t="s">
        <v>361</v>
      </c>
      <c r="AF130" s="52"/>
      <c r="AG130" s="20"/>
    </row>
    <row r="131" spans="1:33" x14ac:dyDescent="0.35">
      <c r="A131" s="554"/>
      <c r="B131" s="295">
        <f>B130+1</f>
        <v>112</v>
      </c>
      <c r="C131" s="620"/>
      <c r="D131" s="8"/>
      <c r="E131" s="8"/>
      <c r="F131" s="217"/>
      <c r="G131" s="217"/>
      <c r="H131" s="217"/>
      <c r="I131" s="217"/>
      <c r="J131" s="386"/>
      <c r="K131" s="386"/>
      <c r="L131" s="386"/>
      <c r="M131" s="386"/>
      <c r="N131" s="386"/>
      <c r="O131" s="386"/>
      <c r="P131" s="386"/>
      <c r="Q131" s="386"/>
      <c r="R131" s="550"/>
      <c r="S131" s="550"/>
      <c r="T131" s="550"/>
      <c r="U131" s="406"/>
      <c r="V131" s="400" t="s">
        <v>109</v>
      </c>
      <c r="W131" s="225"/>
      <c r="X131" s="403"/>
      <c r="Y131" s="405"/>
      <c r="Z131" s="405"/>
      <c r="AA131" s="20"/>
      <c r="AB131" s="217"/>
      <c r="AC131" s="217" t="s">
        <v>108</v>
      </c>
      <c r="AD131" s="217"/>
      <c r="AE131" s="386"/>
      <c r="AF131" s="54"/>
      <c r="AG131" s="20"/>
    </row>
    <row r="132" spans="1:33" ht="30.5" x14ac:dyDescent="0.35">
      <c r="A132" s="554"/>
      <c r="B132" s="295">
        <f t="shared" ref="B132:B138" si="10">B131+1</f>
        <v>113</v>
      </c>
      <c r="C132" s="620"/>
      <c r="E132" s="209" t="b">
        <v>0</v>
      </c>
      <c r="F132" s="3" t="s">
        <v>333</v>
      </c>
      <c r="H132" s="209" t="b">
        <v>0</v>
      </c>
      <c r="I132" s="219" t="s">
        <v>150</v>
      </c>
      <c r="J132" s="210" t="b">
        <v>0</v>
      </c>
      <c r="K132" s="211" t="s">
        <v>151</v>
      </c>
      <c r="L132" s="212" t="b">
        <v>0</v>
      </c>
      <c r="M132" s="9" t="s">
        <v>152</v>
      </c>
      <c r="N132" s="222"/>
      <c r="O132" s="212" t="b">
        <v>0</v>
      </c>
      <c r="P132" s="9" t="s">
        <v>153</v>
      </c>
      <c r="Q132" s="9"/>
      <c r="R132" s="550"/>
      <c r="S132" s="550"/>
      <c r="T132" s="550"/>
      <c r="U132" s="550"/>
      <c r="V132" s="550"/>
      <c r="W132" s="225"/>
      <c r="X132" s="213" t="b">
        <v>0</v>
      </c>
      <c r="Y132" s="214" t="s">
        <v>154</v>
      </c>
      <c r="Z132" s="381"/>
      <c r="AA132" s="15"/>
      <c r="AB132" s="215" t="b">
        <v>0</v>
      </c>
      <c r="AC132" s="15" t="s">
        <v>155</v>
      </c>
      <c r="AD132" s="15"/>
      <c r="AE132" s="15"/>
      <c r="AF132" s="53"/>
      <c r="AG132" s="15"/>
    </row>
    <row r="133" spans="1:33" ht="35" customHeight="1" x14ac:dyDescent="0.35">
      <c r="A133" s="554"/>
      <c r="B133" s="295">
        <f t="shared" si="10"/>
        <v>114</v>
      </c>
      <c r="C133" s="620"/>
      <c r="E133" s="209" t="b">
        <v>0</v>
      </c>
      <c r="F133" s="205" t="s">
        <v>332</v>
      </c>
      <c r="H133" s="15"/>
      <c r="I133" s="219"/>
      <c r="J133" s="213" t="b">
        <v>0</v>
      </c>
      <c r="K133" s="576" t="s">
        <v>157</v>
      </c>
      <c r="L133" s="213" t="b">
        <v>0</v>
      </c>
      <c r="M133" s="214" t="s">
        <v>158</v>
      </c>
      <c r="N133" s="397">
        <v>44197</v>
      </c>
      <c r="O133" s="213" t="b">
        <v>0</v>
      </c>
      <c r="P133" s="214" t="s">
        <v>152</v>
      </c>
      <c r="Q133" s="9"/>
      <c r="R133" s="212" t="b">
        <v>0</v>
      </c>
      <c r="S133" s="9" t="s">
        <v>366</v>
      </c>
      <c r="T133" s="9" t="s">
        <v>107</v>
      </c>
      <c r="U133" s="213" t="b">
        <v>0</v>
      </c>
      <c r="V133" s="400" t="s">
        <v>164</v>
      </c>
      <c r="W133" s="224"/>
      <c r="X133" s="213" t="b">
        <v>0</v>
      </c>
      <c r="Y133" s="214" t="s">
        <v>159</v>
      </c>
      <c r="Z133" s="381"/>
      <c r="AA133" s="15"/>
      <c r="AB133" s="226"/>
      <c r="AC133" s="217" t="s">
        <v>109</v>
      </c>
      <c r="AD133" s="218"/>
      <c r="AE133" s="386" t="s">
        <v>362</v>
      </c>
      <c r="AF133" s="54"/>
      <c r="AG133" s="15"/>
    </row>
    <row r="134" spans="1:33" ht="14.5" customHeight="1" x14ac:dyDescent="0.35">
      <c r="A134" s="554"/>
      <c r="B134" s="295">
        <f t="shared" si="10"/>
        <v>115</v>
      </c>
      <c r="C134" s="620"/>
      <c r="E134" s="209" t="b">
        <v>0</v>
      </c>
      <c r="F134" s="578" t="s">
        <v>169</v>
      </c>
      <c r="H134" s="209" t="b">
        <v>0</v>
      </c>
      <c r="I134" s="219" t="s">
        <v>161</v>
      </c>
      <c r="J134" s="214"/>
      <c r="K134" s="576"/>
      <c r="L134" s="212" t="b">
        <v>0</v>
      </c>
      <c r="M134" s="44" t="s">
        <v>162</v>
      </c>
      <c r="N134" s="220">
        <v>6</v>
      </c>
      <c r="O134" s="212" t="b">
        <v>0</v>
      </c>
      <c r="P134" s="9" t="s">
        <v>162</v>
      </c>
      <c r="Q134" s="220">
        <v>0</v>
      </c>
      <c r="R134" s="550"/>
      <c r="S134" s="550"/>
      <c r="T134" s="550"/>
      <c r="U134" s="552" t="s">
        <v>108</v>
      </c>
      <c r="V134" s="552"/>
      <c r="W134" s="552"/>
      <c r="X134" s="213" t="b">
        <v>0</v>
      </c>
      <c r="Y134" s="9" t="s">
        <v>331</v>
      </c>
      <c r="Z134" s="550"/>
      <c r="AA134" s="15"/>
      <c r="AB134" s="226"/>
      <c r="AC134" s="22"/>
      <c r="AD134" s="15"/>
      <c r="AE134" s="623"/>
      <c r="AF134" s="53"/>
      <c r="AG134" s="15"/>
    </row>
    <row r="135" spans="1:33" x14ac:dyDescent="0.35">
      <c r="A135" s="554"/>
      <c r="B135" s="295">
        <f t="shared" si="10"/>
        <v>116</v>
      </c>
      <c r="C135" s="620"/>
      <c r="F135" s="578"/>
      <c r="H135" s="15"/>
      <c r="I135" s="15"/>
      <c r="J135" s="214"/>
      <c r="K135" s="9"/>
      <c r="L135" s="15"/>
      <c r="M135" s="15"/>
      <c r="N135" s="227"/>
      <c r="O135" s="9"/>
      <c r="P135" s="9"/>
      <c r="Q135" s="9"/>
      <c r="R135" s="550"/>
      <c r="S135" s="550"/>
      <c r="T135" s="550"/>
      <c r="U135" s="213" t="b">
        <v>0</v>
      </c>
      <c r="V135" s="214" t="s">
        <v>165</v>
      </c>
      <c r="W135" s="225"/>
      <c r="Y135" s="15"/>
      <c r="Z135" s="550"/>
      <c r="AA135" s="15"/>
      <c r="AB135" s="15"/>
      <c r="AC135" s="15"/>
      <c r="AD135" s="15"/>
      <c r="AE135" s="623"/>
      <c r="AF135" s="53"/>
      <c r="AG135" s="15"/>
    </row>
    <row r="136" spans="1:33" ht="30" customHeight="1" x14ac:dyDescent="0.35">
      <c r="A136" s="554"/>
      <c r="B136" s="295">
        <f t="shared" si="10"/>
        <v>117</v>
      </c>
      <c r="C136" s="620"/>
      <c r="E136"/>
      <c r="H136" s="15"/>
      <c r="I136" s="15"/>
      <c r="J136" s="383"/>
      <c r="K136" s="222"/>
      <c r="L136" s="222"/>
      <c r="M136" s="222"/>
      <c r="N136" s="222"/>
      <c r="O136" s="9"/>
      <c r="P136" s="9"/>
      <c r="Q136" s="9"/>
      <c r="R136" s="212" t="b">
        <v>0</v>
      </c>
      <c r="S136" s="9" t="s">
        <v>367</v>
      </c>
      <c r="T136" s="9" t="s">
        <v>107</v>
      </c>
      <c r="U136" s="550"/>
      <c r="V136" s="550"/>
      <c r="Y136" s="15"/>
      <c r="Z136" s="378"/>
      <c r="AA136" s="15"/>
      <c r="AB136" s="15"/>
      <c r="AC136" s="15"/>
      <c r="AD136" s="15"/>
      <c r="AE136" s="15"/>
      <c r="AF136" s="53"/>
      <c r="AG136" s="15"/>
    </row>
    <row r="137" spans="1:33" x14ac:dyDescent="0.35">
      <c r="A137" s="554"/>
      <c r="B137" s="295">
        <f t="shared" si="10"/>
        <v>118</v>
      </c>
      <c r="C137" s="620"/>
      <c r="E137"/>
      <c r="H137" s="221"/>
      <c r="I137" s="15"/>
      <c r="J137" s="383"/>
      <c r="K137" s="222"/>
      <c r="L137" s="222"/>
      <c r="M137" s="222"/>
      <c r="N137" s="222"/>
      <c r="O137" s="9"/>
      <c r="P137" s="9"/>
      <c r="Q137" s="9"/>
      <c r="R137" s="550"/>
      <c r="S137" s="550"/>
      <c r="T137" s="550"/>
      <c r="U137" s="213" t="b">
        <v>0</v>
      </c>
      <c r="V137" s="9" t="s">
        <v>166</v>
      </c>
      <c r="W137" s="9"/>
      <c r="Y137" s="15"/>
      <c r="Z137" s="378"/>
      <c r="AA137" s="15"/>
      <c r="AB137" s="15"/>
      <c r="AC137" s="15"/>
      <c r="AD137" s="15"/>
      <c r="AE137" s="15"/>
      <c r="AF137" s="53"/>
      <c r="AG137" s="15"/>
    </row>
    <row r="138" spans="1:33" ht="30" customHeight="1" thickBot="1" x14ac:dyDescent="0.4">
      <c r="A138" s="555"/>
      <c r="B138" s="295">
        <f t="shared" si="10"/>
        <v>119</v>
      </c>
      <c r="C138" s="621"/>
      <c r="D138" s="55"/>
      <c r="E138" s="55"/>
      <c r="F138" s="55"/>
      <c r="G138" s="55"/>
      <c r="H138" s="56"/>
      <c r="I138" s="56"/>
      <c r="J138" s="384"/>
      <c r="K138" s="57"/>
      <c r="L138" s="57"/>
      <c r="M138" s="57"/>
      <c r="N138" s="57"/>
      <c r="O138" s="58"/>
      <c r="P138" s="58"/>
      <c r="Q138" s="58"/>
      <c r="R138" s="550"/>
      <c r="S138" s="550"/>
      <c r="T138" s="550"/>
      <c r="U138" s="550"/>
      <c r="V138" s="550"/>
      <c r="W138" s="58"/>
      <c r="X138" s="402"/>
      <c r="Y138" s="56"/>
      <c r="Z138" s="379"/>
      <c r="AA138" s="56"/>
      <c r="AB138" s="56"/>
      <c r="AC138" s="56"/>
      <c r="AD138" s="56"/>
      <c r="AE138" s="56"/>
      <c r="AF138" s="59"/>
      <c r="AG138" s="15"/>
    </row>
    <row r="139" spans="1:33" ht="15" hidden="1" customHeight="1" thickBot="1" x14ac:dyDescent="0.4">
      <c r="A139" s="87"/>
      <c r="B139" s="241"/>
      <c r="C139" s="391"/>
      <c r="D139" s="238"/>
      <c r="E139" s="238"/>
      <c r="F139" s="238"/>
      <c r="G139" s="238"/>
      <c r="H139" s="238"/>
      <c r="I139" s="238"/>
      <c r="J139" s="389"/>
      <c r="K139" s="238"/>
      <c r="L139" s="238"/>
      <c r="M139" s="238"/>
      <c r="N139" s="238"/>
      <c r="O139" s="238"/>
      <c r="P139" s="238"/>
      <c r="Q139" s="238"/>
      <c r="R139" s="238"/>
      <c r="S139" s="238"/>
      <c r="T139" s="238"/>
      <c r="U139" s="389"/>
      <c r="V139" s="238"/>
      <c r="W139" s="238"/>
      <c r="X139" s="389"/>
      <c r="Y139" s="238"/>
      <c r="Z139" s="390"/>
      <c r="AA139" s="238"/>
      <c r="AB139" s="238"/>
      <c r="AC139" s="238"/>
      <c r="AD139" s="238"/>
      <c r="AE139" s="311"/>
      <c r="AF139" s="396"/>
      <c r="AG139" s="15"/>
    </row>
    <row r="140" spans="1:33" ht="5" customHeight="1" thickBot="1" x14ac:dyDescent="0.4">
      <c r="A140" s="87"/>
      <c r="B140" s="241"/>
      <c r="C140" s="391"/>
      <c r="D140" s="238"/>
      <c r="E140" s="238"/>
      <c r="F140" s="238"/>
      <c r="G140" s="238"/>
      <c r="H140" s="238"/>
      <c r="I140" s="238"/>
      <c r="J140" s="389"/>
      <c r="K140" s="238"/>
      <c r="L140" s="238"/>
      <c r="M140" s="238"/>
      <c r="N140" s="238"/>
      <c r="O140" s="238"/>
      <c r="P140" s="238"/>
      <c r="Q140" s="238"/>
      <c r="R140" s="238"/>
      <c r="S140" s="238"/>
      <c r="T140" s="238"/>
      <c r="U140" s="389"/>
      <c r="V140" s="238"/>
      <c r="W140" s="238"/>
      <c r="X140" s="389"/>
      <c r="Y140" s="238"/>
      <c r="Z140" s="390"/>
      <c r="AA140" s="238"/>
      <c r="AB140" s="238"/>
      <c r="AC140" s="238"/>
      <c r="AD140" s="238"/>
      <c r="AE140" s="238"/>
      <c r="AF140" s="311"/>
      <c r="AG140" s="87"/>
    </row>
    <row r="141" spans="1:33" ht="15" hidden="1" customHeight="1" thickBot="1" x14ac:dyDescent="0.4">
      <c r="A141" s="87"/>
      <c r="B141" s="241"/>
      <c r="C141" s="391"/>
      <c r="D141" s="238"/>
      <c r="E141" s="238"/>
      <c r="F141" s="238"/>
      <c r="G141" s="238"/>
      <c r="H141" s="238"/>
      <c r="I141" s="238"/>
      <c r="J141" s="389"/>
      <c r="K141" s="238"/>
      <c r="L141" s="238"/>
      <c r="M141" s="238"/>
      <c r="N141" s="238"/>
      <c r="O141" s="238"/>
      <c r="P141" s="238"/>
      <c r="Q141" s="238"/>
      <c r="R141" s="238"/>
      <c r="S141" s="238"/>
      <c r="T141" s="238"/>
      <c r="U141" s="389"/>
      <c r="V141" s="238"/>
      <c r="W141" s="238"/>
      <c r="X141" s="389"/>
      <c r="Y141" s="238"/>
      <c r="Z141" s="390"/>
      <c r="AA141" s="238"/>
      <c r="AB141" s="238"/>
      <c r="AC141" s="238"/>
      <c r="AD141" s="238"/>
      <c r="AE141" s="238"/>
      <c r="AF141" s="311"/>
      <c r="AG141"/>
    </row>
    <row r="142" spans="1:33" ht="29" customHeight="1" x14ac:dyDescent="0.35">
      <c r="A142" s="553">
        <f>A130+1</f>
        <v>12</v>
      </c>
      <c r="B142" s="295">
        <f>B130+10</f>
        <v>121</v>
      </c>
      <c r="C142" s="619" t="str">
        <f>VLOOKUP(A142,INputs!$G$3:$O$22,7,FALSE)</f>
        <v>Please fill out Sensitivity Labels Tab</v>
      </c>
      <c r="D142" s="8"/>
      <c r="E142" s="8"/>
      <c r="F142" s="580" t="s">
        <v>108</v>
      </c>
      <c r="G142" s="580"/>
      <c r="H142" s="580" t="s">
        <v>108</v>
      </c>
      <c r="I142" s="580"/>
      <c r="J142" s="581" t="str">
        <f>J$10</f>
        <v>Select a check box</v>
      </c>
      <c r="K142" s="581"/>
      <c r="L142" s="581" t="s">
        <v>108</v>
      </c>
      <c r="M142" s="581"/>
      <c r="N142" s="581"/>
      <c r="O142" s="581" t="s">
        <v>108</v>
      </c>
      <c r="P142" s="581"/>
      <c r="Q142" s="581"/>
      <c r="R142" s="577" t="s">
        <v>147</v>
      </c>
      <c r="S142" s="577"/>
      <c r="T142" s="407" t="s">
        <v>107</v>
      </c>
      <c r="U142" s="551" t="s">
        <v>148</v>
      </c>
      <c r="V142" s="551"/>
      <c r="W142" s="50"/>
      <c r="X142" s="403"/>
      <c r="Y142" s="625" t="s">
        <v>108</v>
      </c>
      <c r="Z142" s="625"/>
      <c r="AA142" s="20"/>
      <c r="AB142" s="573"/>
      <c r="AC142" s="573"/>
      <c r="AD142" s="217"/>
      <c r="AE142" s="386" t="s">
        <v>361</v>
      </c>
      <c r="AF142" s="54"/>
      <c r="AG142" s="20"/>
    </row>
    <row r="143" spans="1:33" x14ac:dyDescent="0.35">
      <c r="A143" s="554"/>
      <c r="B143" s="295">
        <f>B142+1</f>
        <v>122</v>
      </c>
      <c r="C143" s="620"/>
      <c r="D143" s="8"/>
      <c r="E143" s="8"/>
      <c r="F143" s="217"/>
      <c r="G143" s="217"/>
      <c r="H143" s="217"/>
      <c r="I143" s="217"/>
      <c r="J143" s="386"/>
      <c r="K143" s="386"/>
      <c r="L143" s="386"/>
      <c r="M143" s="386"/>
      <c r="N143" s="386"/>
      <c r="O143" s="386"/>
      <c r="P143" s="386"/>
      <c r="Q143" s="386"/>
      <c r="R143" s="550"/>
      <c r="S143" s="550"/>
      <c r="T143" s="550"/>
      <c r="U143" s="406"/>
      <c r="V143" s="400" t="s">
        <v>109</v>
      </c>
      <c r="W143" s="225"/>
      <c r="X143" s="403"/>
      <c r="Y143" s="405"/>
      <c r="Z143" s="405"/>
      <c r="AA143" s="20"/>
      <c r="AB143" s="217"/>
      <c r="AC143" s="217" t="s">
        <v>108</v>
      </c>
      <c r="AD143" s="217"/>
      <c r="AE143" s="386"/>
      <c r="AF143" s="54"/>
      <c r="AG143" s="20"/>
    </row>
    <row r="144" spans="1:33" ht="30.5" x14ac:dyDescent="0.35">
      <c r="A144" s="554"/>
      <c r="B144" s="295">
        <f t="shared" ref="B144:B150" si="11">B143+1</f>
        <v>123</v>
      </c>
      <c r="C144" s="620"/>
      <c r="E144" s="209" t="b">
        <v>0</v>
      </c>
      <c r="F144" s="3" t="s">
        <v>333</v>
      </c>
      <c r="H144" s="209" t="b">
        <v>0</v>
      </c>
      <c r="I144" s="219" t="s">
        <v>150</v>
      </c>
      <c r="J144" s="408" t="b">
        <v>0</v>
      </c>
      <c r="K144" s="205" t="s">
        <v>151</v>
      </c>
      <c r="L144" s="212" t="b">
        <v>0</v>
      </c>
      <c r="M144" s="9" t="s">
        <v>152</v>
      </c>
      <c r="N144" s="222"/>
      <c r="O144" s="212" t="b">
        <v>0</v>
      </c>
      <c r="P144" s="9" t="s">
        <v>153</v>
      </c>
      <c r="Q144" s="9"/>
      <c r="R144" s="550"/>
      <c r="S144" s="550"/>
      <c r="T144" s="550"/>
      <c r="U144" s="550"/>
      <c r="V144" s="550"/>
      <c r="W144" s="225"/>
      <c r="X144" s="213" t="b">
        <v>0</v>
      </c>
      <c r="Y144" s="214" t="s">
        <v>154</v>
      </c>
      <c r="Z144" s="381"/>
      <c r="AA144" s="15"/>
      <c r="AB144" s="215" t="b">
        <v>0</v>
      </c>
      <c r="AC144" s="15" t="s">
        <v>155</v>
      </c>
      <c r="AD144" s="15"/>
      <c r="AE144" s="15"/>
      <c r="AF144" s="53"/>
      <c r="AG144" s="15"/>
    </row>
    <row r="145" spans="1:33" ht="35" customHeight="1" x14ac:dyDescent="0.35">
      <c r="A145" s="554"/>
      <c r="B145" s="295">
        <f t="shared" si="11"/>
        <v>124</v>
      </c>
      <c r="C145" s="620"/>
      <c r="E145" s="209" t="b">
        <v>0</v>
      </c>
      <c r="F145" s="205" t="s">
        <v>332</v>
      </c>
      <c r="H145" s="15"/>
      <c r="I145" s="219"/>
      <c r="J145" s="213" t="b">
        <v>0</v>
      </c>
      <c r="K145" s="576" t="s">
        <v>157</v>
      </c>
      <c r="L145" s="213" t="b">
        <v>0</v>
      </c>
      <c r="M145" s="214" t="s">
        <v>158</v>
      </c>
      <c r="N145" s="216">
        <v>44197</v>
      </c>
      <c r="O145" s="213" t="b">
        <v>0</v>
      </c>
      <c r="P145" s="214" t="s">
        <v>152</v>
      </c>
      <c r="Q145" s="9"/>
      <c r="R145" s="212" t="b">
        <v>0</v>
      </c>
      <c r="S145" s="9" t="s">
        <v>366</v>
      </c>
      <c r="T145" s="9" t="s">
        <v>107</v>
      </c>
      <c r="U145" s="213" t="b">
        <v>0</v>
      </c>
      <c r="V145" s="400" t="s">
        <v>164</v>
      </c>
      <c r="W145" s="224"/>
      <c r="X145" s="213" t="b">
        <v>0</v>
      </c>
      <c r="Y145" s="214" t="s">
        <v>159</v>
      </c>
      <c r="Z145" s="381"/>
      <c r="AA145" s="15"/>
      <c r="AB145" s="226"/>
      <c r="AC145" s="217" t="s">
        <v>109</v>
      </c>
      <c r="AD145" s="218"/>
      <c r="AE145" s="386" t="s">
        <v>362</v>
      </c>
      <c r="AF145" s="54"/>
      <c r="AG145" s="15"/>
    </row>
    <row r="146" spans="1:33" ht="14.5" customHeight="1" x14ac:dyDescent="0.35">
      <c r="A146" s="554"/>
      <c r="B146" s="295">
        <f t="shared" si="11"/>
        <v>125</v>
      </c>
      <c r="C146" s="620"/>
      <c r="E146" s="209" t="b">
        <v>0</v>
      </c>
      <c r="F146" s="578" t="s">
        <v>169</v>
      </c>
      <c r="H146" s="209" t="b">
        <v>0</v>
      </c>
      <c r="I146" s="219" t="s">
        <v>161</v>
      </c>
      <c r="J146" s="214"/>
      <c r="K146" s="576"/>
      <c r="L146" s="212" t="b">
        <v>0</v>
      </c>
      <c r="M146" s="44" t="s">
        <v>162</v>
      </c>
      <c r="N146" s="220">
        <v>6</v>
      </c>
      <c r="O146" s="212" t="b">
        <v>0</v>
      </c>
      <c r="P146" s="9" t="s">
        <v>162</v>
      </c>
      <c r="Q146" s="220">
        <v>0</v>
      </c>
      <c r="R146" s="550"/>
      <c r="S146" s="550"/>
      <c r="T146" s="550"/>
      <c r="U146" s="552" t="s">
        <v>108</v>
      </c>
      <c r="V146" s="552"/>
      <c r="W146" s="552"/>
      <c r="X146" s="213" t="b">
        <v>0</v>
      </c>
      <c r="Y146" s="9" t="s">
        <v>331</v>
      </c>
      <c r="Z146" s="550"/>
      <c r="AA146" s="15"/>
      <c r="AB146" s="226"/>
      <c r="AC146" s="22"/>
      <c r="AD146" s="15"/>
      <c r="AE146" s="623"/>
      <c r="AF146" s="53"/>
      <c r="AG146" s="15"/>
    </row>
    <row r="147" spans="1:33" x14ac:dyDescent="0.35">
      <c r="A147" s="554"/>
      <c r="B147" s="295">
        <f t="shared" si="11"/>
        <v>126</v>
      </c>
      <c r="C147" s="620"/>
      <c r="F147" s="578"/>
      <c r="H147" s="15"/>
      <c r="I147" s="15"/>
      <c r="J147" s="214"/>
      <c r="K147" s="9"/>
      <c r="L147" s="15"/>
      <c r="M147" s="15"/>
      <c r="N147" s="227"/>
      <c r="O147" s="9"/>
      <c r="P147" s="9"/>
      <c r="Q147" s="9"/>
      <c r="R147" s="550"/>
      <c r="S147" s="550"/>
      <c r="T147" s="550"/>
      <c r="U147" s="213" t="b">
        <v>0</v>
      </c>
      <c r="V147" s="214" t="s">
        <v>165</v>
      </c>
      <c r="W147" s="225"/>
      <c r="Y147" s="15"/>
      <c r="Z147" s="550"/>
      <c r="AA147" s="15"/>
      <c r="AB147" s="15"/>
      <c r="AC147" s="15"/>
      <c r="AD147" s="15"/>
      <c r="AE147" s="623"/>
      <c r="AF147" s="53"/>
      <c r="AG147" s="15"/>
    </row>
    <row r="148" spans="1:33" ht="30" customHeight="1" x14ac:dyDescent="0.35">
      <c r="A148" s="554"/>
      <c r="B148" s="295">
        <f t="shared" si="11"/>
        <v>127</v>
      </c>
      <c r="C148" s="620"/>
      <c r="E148"/>
      <c r="H148" s="15"/>
      <c r="I148" s="15"/>
      <c r="J148" s="383"/>
      <c r="K148" s="222"/>
      <c r="L148" s="222"/>
      <c r="M148" s="222"/>
      <c r="N148" s="222"/>
      <c r="O148" s="9"/>
      <c r="P148" s="9"/>
      <c r="Q148" s="9"/>
      <c r="R148" s="212" t="b">
        <v>0</v>
      </c>
      <c r="S148" s="9" t="s">
        <v>367</v>
      </c>
      <c r="T148" s="9" t="s">
        <v>107</v>
      </c>
      <c r="U148" s="550"/>
      <c r="V148" s="550"/>
      <c r="Y148" s="15"/>
      <c r="Z148" s="378"/>
      <c r="AA148" s="15"/>
      <c r="AB148" s="15"/>
      <c r="AC148" s="15"/>
      <c r="AD148" s="15"/>
      <c r="AE148" s="15"/>
      <c r="AF148" s="53"/>
      <c r="AG148" s="15"/>
    </row>
    <row r="149" spans="1:33" x14ac:dyDescent="0.35">
      <c r="A149" s="554"/>
      <c r="B149" s="295">
        <f t="shared" si="11"/>
        <v>128</v>
      </c>
      <c r="C149" s="620"/>
      <c r="E149"/>
      <c r="H149" s="221"/>
      <c r="I149" s="15"/>
      <c r="J149" s="383"/>
      <c r="K149" s="222"/>
      <c r="L149" s="222"/>
      <c r="M149" s="222"/>
      <c r="N149" s="222"/>
      <c r="O149" s="9"/>
      <c r="P149" s="9"/>
      <c r="Q149" s="9"/>
      <c r="R149" s="550"/>
      <c r="S149" s="550"/>
      <c r="T149" s="550"/>
      <c r="U149" s="213" t="b">
        <v>0</v>
      </c>
      <c r="V149" s="9" t="s">
        <v>166</v>
      </c>
      <c r="W149" s="9"/>
      <c r="Y149" s="15"/>
      <c r="Z149" s="378"/>
      <c r="AA149" s="15"/>
      <c r="AB149" s="15"/>
      <c r="AC149" s="15"/>
      <c r="AD149" s="15"/>
      <c r="AE149" s="15"/>
      <c r="AF149" s="53"/>
      <c r="AG149" s="15"/>
    </row>
    <row r="150" spans="1:33" ht="30" customHeight="1" thickBot="1" x14ac:dyDescent="0.4">
      <c r="A150" s="555"/>
      <c r="B150" s="295">
        <f t="shared" si="11"/>
        <v>129</v>
      </c>
      <c r="C150" s="621"/>
      <c r="D150" s="55"/>
      <c r="E150" s="55"/>
      <c r="F150" s="55"/>
      <c r="G150" s="55"/>
      <c r="H150" s="56"/>
      <c r="I150" s="56"/>
      <c r="J150" s="384"/>
      <c r="K150" s="57"/>
      <c r="L150" s="57"/>
      <c r="M150" s="57"/>
      <c r="N150" s="57"/>
      <c r="O150" s="58"/>
      <c r="P150" s="58"/>
      <c r="Q150" s="58"/>
      <c r="R150" s="550"/>
      <c r="S150" s="550"/>
      <c r="T150" s="550"/>
      <c r="U150" s="550"/>
      <c r="V150" s="550"/>
      <c r="W150" s="58"/>
      <c r="X150" s="402"/>
      <c r="Y150" s="56"/>
      <c r="Z150" s="379"/>
      <c r="AA150" s="56"/>
      <c r="AB150" s="56"/>
      <c r="AC150" s="56"/>
      <c r="AD150" s="56"/>
      <c r="AE150" s="56"/>
      <c r="AF150" s="59"/>
      <c r="AG150" s="15"/>
    </row>
    <row r="151" spans="1:33" ht="15" hidden="1" customHeight="1" thickBot="1" x14ac:dyDescent="0.4">
      <c r="A151" s="87"/>
      <c r="B151" s="241"/>
      <c r="C151" s="392"/>
      <c r="D151" s="393"/>
      <c r="E151" s="393"/>
      <c r="F151" s="393"/>
      <c r="G151" s="393"/>
      <c r="H151" s="393"/>
      <c r="I151" s="393"/>
      <c r="J151" s="394"/>
      <c r="K151" s="393"/>
      <c r="L151" s="393"/>
      <c r="M151" s="393"/>
      <c r="N151" s="393"/>
      <c r="O151" s="393"/>
      <c r="P151" s="393"/>
      <c r="Q151" s="393"/>
      <c r="R151" s="393"/>
      <c r="S151" s="393"/>
      <c r="T151" s="393"/>
      <c r="U151" s="394"/>
      <c r="V151" s="393"/>
      <c r="W151" s="393"/>
      <c r="X151" s="394"/>
      <c r="Y151" s="393"/>
      <c r="Z151" s="395"/>
      <c r="AA151" s="393"/>
      <c r="AB151" s="393"/>
      <c r="AC151" s="393"/>
      <c r="AD151" s="393"/>
      <c r="AE151" s="393"/>
      <c r="AF151" s="396"/>
      <c r="AG151" s="87"/>
    </row>
    <row r="152" spans="1:33" ht="5" customHeight="1" thickBot="1" x14ac:dyDescent="0.4">
      <c r="A152" s="87"/>
      <c r="B152" s="241"/>
      <c r="C152" s="391"/>
      <c r="D152" s="238"/>
      <c r="E152" s="238"/>
      <c r="F152" s="238"/>
      <c r="G152" s="238"/>
      <c r="H152" s="238"/>
      <c r="I152" s="238"/>
      <c r="J152" s="389"/>
      <c r="K152" s="238"/>
      <c r="L152" s="238"/>
      <c r="M152" s="238"/>
      <c r="N152" s="238"/>
      <c r="O152" s="238"/>
      <c r="P152" s="238"/>
      <c r="Q152" s="238"/>
      <c r="R152" s="238"/>
      <c r="S152" s="238"/>
      <c r="T152" s="238"/>
      <c r="U152" s="389"/>
      <c r="V152" s="238"/>
      <c r="W152" s="238"/>
      <c r="X152" s="389"/>
      <c r="Y152" s="238"/>
      <c r="Z152" s="390"/>
      <c r="AA152" s="238"/>
      <c r="AB152" s="238"/>
      <c r="AC152" s="238"/>
      <c r="AD152" s="238"/>
      <c r="AE152" s="238"/>
      <c r="AF152" s="311"/>
      <c r="AG152" s="87"/>
    </row>
    <row r="153" spans="1:33" ht="15" hidden="1" customHeight="1" thickBot="1" x14ac:dyDescent="0.4">
      <c r="A153" s="87"/>
      <c r="B153" s="241"/>
      <c r="C153" s="228"/>
      <c r="D153" s="229"/>
      <c r="E153" s="229"/>
      <c r="F153" s="229"/>
      <c r="G153" s="229"/>
      <c r="H153" s="229"/>
      <c r="I153" s="229"/>
      <c r="J153" s="382"/>
      <c r="K153" s="229"/>
      <c r="L153" s="229"/>
      <c r="M153" s="229"/>
      <c r="N153" s="229"/>
      <c r="O153" s="229"/>
      <c r="P153" s="229"/>
      <c r="Q153" s="229"/>
      <c r="R153" s="229"/>
      <c r="S153" s="229"/>
      <c r="T153" s="229"/>
      <c r="U153" s="382"/>
      <c r="V153" s="229"/>
      <c r="W153" s="229"/>
      <c r="X153" s="382"/>
      <c r="Y153" s="229"/>
      <c r="Z153" s="380"/>
      <c r="AA153" s="229"/>
      <c r="AB153" s="229"/>
      <c r="AC153" s="229"/>
      <c r="AD153" s="229"/>
      <c r="AE153" s="229"/>
      <c r="AF153" s="230"/>
      <c r="AG153" s="87"/>
    </row>
    <row r="154" spans="1:33" ht="29" customHeight="1" x14ac:dyDescent="0.35">
      <c r="A154" s="553">
        <f>A142+1</f>
        <v>13</v>
      </c>
      <c r="B154" s="295">
        <f>B142+10</f>
        <v>131</v>
      </c>
      <c r="C154" s="619" t="str">
        <f>VLOOKUP(A154,INputs!$G$3:$O$22,7,FALSE)</f>
        <v>Please fill out Sensitivity Labels Tab</v>
      </c>
      <c r="D154" s="47"/>
      <c r="E154" s="47"/>
      <c r="F154" s="573" t="s">
        <v>108</v>
      </c>
      <c r="G154" s="573"/>
      <c r="H154" s="573" t="s">
        <v>108</v>
      </c>
      <c r="I154" s="573"/>
      <c r="J154" s="575" t="str">
        <f>J$10</f>
        <v>Select a check box</v>
      </c>
      <c r="K154" s="575"/>
      <c r="L154" s="575" t="s">
        <v>108</v>
      </c>
      <c r="M154" s="575"/>
      <c r="N154" s="575"/>
      <c r="O154" s="575" t="s">
        <v>108</v>
      </c>
      <c r="P154" s="575"/>
      <c r="Q154" s="575"/>
      <c r="R154" s="577" t="s">
        <v>147</v>
      </c>
      <c r="S154" s="577"/>
      <c r="T154" s="407" t="s">
        <v>107</v>
      </c>
      <c r="U154" s="551" t="s">
        <v>148</v>
      </c>
      <c r="V154" s="551"/>
      <c r="W154" s="50"/>
      <c r="X154" s="401"/>
      <c r="Y154" s="574" t="s">
        <v>108</v>
      </c>
      <c r="Z154" s="574"/>
      <c r="AA154" s="51"/>
      <c r="AB154" s="573"/>
      <c r="AC154" s="573"/>
      <c r="AD154" s="48"/>
      <c r="AE154" s="49" t="s">
        <v>361</v>
      </c>
      <c r="AF154" s="52"/>
      <c r="AG154" s="20"/>
    </row>
    <row r="155" spans="1:33" x14ac:dyDescent="0.35">
      <c r="A155" s="554"/>
      <c r="B155" s="295">
        <f>B154+1</f>
        <v>132</v>
      </c>
      <c r="C155" s="620"/>
      <c r="D155" s="8"/>
      <c r="E155" s="8"/>
      <c r="F155" s="217"/>
      <c r="G155" s="217"/>
      <c r="H155" s="217"/>
      <c r="I155" s="217"/>
      <c r="J155" s="386"/>
      <c r="K155" s="386"/>
      <c r="L155" s="386"/>
      <c r="M155" s="386"/>
      <c r="N155" s="386"/>
      <c r="O155" s="386"/>
      <c r="P155" s="386"/>
      <c r="Q155" s="386"/>
      <c r="R155" s="550"/>
      <c r="S155" s="550"/>
      <c r="T155" s="550"/>
      <c r="U155" s="406"/>
      <c r="V155" s="400" t="s">
        <v>109</v>
      </c>
      <c r="W155" s="225"/>
      <c r="X155" s="403"/>
      <c r="Y155" s="405"/>
      <c r="Z155" s="405"/>
      <c r="AA155" s="20"/>
      <c r="AB155" s="217"/>
      <c r="AC155" s="217" t="s">
        <v>108</v>
      </c>
      <c r="AD155" s="217"/>
      <c r="AE155" s="386"/>
      <c r="AF155" s="54"/>
      <c r="AG155" s="20"/>
    </row>
    <row r="156" spans="1:33" ht="30.5" x14ac:dyDescent="0.35">
      <c r="A156" s="554"/>
      <c r="B156" s="295">
        <f t="shared" ref="B156:B162" si="12">B155+1</f>
        <v>133</v>
      </c>
      <c r="C156" s="620"/>
      <c r="E156" s="209" t="b">
        <v>0</v>
      </c>
      <c r="F156" s="3" t="s">
        <v>333</v>
      </c>
      <c r="H156" s="209" t="b">
        <v>0</v>
      </c>
      <c r="I156" s="219" t="s">
        <v>150</v>
      </c>
      <c r="J156" s="210" t="b">
        <v>0</v>
      </c>
      <c r="K156" s="211" t="s">
        <v>151</v>
      </c>
      <c r="L156" s="212" t="b">
        <v>0</v>
      </c>
      <c r="M156" s="9" t="s">
        <v>152</v>
      </c>
      <c r="N156" s="222"/>
      <c r="O156" s="212" t="b">
        <v>0</v>
      </c>
      <c r="P156" s="9" t="s">
        <v>153</v>
      </c>
      <c r="Q156" s="9"/>
      <c r="R156" s="550"/>
      <c r="S156" s="550"/>
      <c r="T156" s="550"/>
      <c r="U156" s="550"/>
      <c r="V156" s="550"/>
      <c r="W156" s="225"/>
      <c r="X156" s="213" t="b">
        <v>0</v>
      </c>
      <c r="Y156" s="214" t="s">
        <v>154</v>
      </c>
      <c r="Z156" s="381"/>
      <c r="AA156" s="15"/>
      <c r="AB156" s="215" t="b">
        <v>0</v>
      </c>
      <c r="AC156" s="15" t="s">
        <v>155</v>
      </c>
      <c r="AD156" s="15"/>
      <c r="AE156" s="15"/>
      <c r="AF156" s="53"/>
      <c r="AG156" s="15"/>
    </row>
    <row r="157" spans="1:33" ht="35" customHeight="1" x14ac:dyDescent="0.35">
      <c r="A157" s="554"/>
      <c r="B157" s="295">
        <f t="shared" si="12"/>
        <v>134</v>
      </c>
      <c r="C157" s="620"/>
      <c r="E157" s="209" t="b">
        <v>0</v>
      </c>
      <c r="F157" s="205" t="s">
        <v>332</v>
      </c>
      <c r="H157" s="15"/>
      <c r="I157" s="219"/>
      <c r="J157" s="213" t="b">
        <v>0</v>
      </c>
      <c r="K157" s="576" t="s">
        <v>157</v>
      </c>
      <c r="L157" s="213" t="b">
        <v>0</v>
      </c>
      <c r="M157" s="214" t="s">
        <v>158</v>
      </c>
      <c r="N157" s="397">
        <v>44197</v>
      </c>
      <c r="O157" s="213" t="b">
        <v>0</v>
      </c>
      <c r="P157" s="214" t="s">
        <v>152</v>
      </c>
      <c r="Q157" s="214"/>
      <c r="R157" s="212" t="b">
        <v>0</v>
      </c>
      <c r="S157" s="9" t="s">
        <v>366</v>
      </c>
      <c r="T157" s="9" t="s">
        <v>107</v>
      </c>
      <c r="U157" s="213" t="b">
        <v>0</v>
      </c>
      <c r="V157" s="400" t="s">
        <v>164</v>
      </c>
      <c r="W157" s="224"/>
      <c r="X157" s="213" t="b">
        <v>0</v>
      </c>
      <c r="Y157" s="214" t="s">
        <v>159</v>
      </c>
      <c r="Z157" s="381"/>
      <c r="AA157" s="15"/>
      <c r="AB157" s="226"/>
      <c r="AC157" s="217" t="s">
        <v>109</v>
      </c>
      <c r="AD157" s="218"/>
      <c r="AE157" s="386" t="s">
        <v>362</v>
      </c>
      <c r="AF157" s="54"/>
      <c r="AG157" s="15"/>
    </row>
    <row r="158" spans="1:33" ht="14.5" customHeight="1" x14ac:dyDescent="0.35">
      <c r="A158" s="554"/>
      <c r="B158" s="295">
        <f t="shared" si="12"/>
        <v>135</v>
      </c>
      <c r="C158" s="620"/>
      <c r="E158" s="209" t="b">
        <v>0</v>
      </c>
      <c r="F158" s="578" t="s">
        <v>169</v>
      </c>
      <c r="H158" s="209" t="b">
        <v>0</v>
      </c>
      <c r="I158" s="219" t="s">
        <v>161</v>
      </c>
      <c r="J158" s="214"/>
      <c r="K158" s="576"/>
      <c r="L158" s="212" t="b">
        <v>0</v>
      </c>
      <c r="M158" s="44" t="s">
        <v>162</v>
      </c>
      <c r="N158" s="220">
        <v>6</v>
      </c>
      <c r="O158" s="212" t="b">
        <v>0</v>
      </c>
      <c r="P158" s="9" t="s">
        <v>162</v>
      </c>
      <c r="Q158" s="220">
        <v>0</v>
      </c>
      <c r="R158" s="550"/>
      <c r="S158" s="550"/>
      <c r="T158" s="550"/>
      <c r="U158" s="552" t="s">
        <v>108</v>
      </c>
      <c r="V158" s="552"/>
      <c r="W158" s="552"/>
      <c r="X158" s="213" t="b">
        <v>0</v>
      </c>
      <c r="Y158" s="9" t="s">
        <v>331</v>
      </c>
      <c r="Z158" s="550"/>
      <c r="AA158" s="15"/>
      <c r="AB158" s="226"/>
      <c r="AC158" s="22"/>
      <c r="AD158" s="15"/>
      <c r="AE158" s="623"/>
      <c r="AF158" s="53"/>
      <c r="AG158" s="15"/>
    </row>
    <row r="159" spans="1:33" x14ac:dyDescent="0.35">
      <c r="A159" s="554"/>
      <c r="B159" s="295">
        <f t="shared" si="12"/>
        <v>136</v>
      </c>
      <c r="C159" s="620"/>
      <c r="F159" s="578"/>
      <c r="H159" s="15"/>
      <c r="I159" s="15"/>
      <c r="J159" s="214"/>
      <c r="K159" s="9"/>
      <c r="L159" s="15"/>
      <c r="M159" s="15"/>
      <c r="N159" s="227"/>
      <c r="O159" s="9"/>
      <c r="P159" s="9"/>
      <c r="Q159" s="9"/>
      <c r="R159" s="550"/>
      <c r="S159" s="550"/>
      <c r="T159" s="550"/>
      <c r="U159" s="213" t="b">
        <v>0</v>
      </c>
      <c r="V159" s="214" t="s">
        <v>165</v>
      </c>
      <c r="W159" s="225"/>
      <c r="Y159" s="15"/>
      <c r="Z159" s="550"/>
      <c r="AA159" s="15"/>
      <c r="AB159" s="15"/>
      <c r="AC159" s="15"/>
      <c r="AD159" s="15"/>
      <c r="AE159" s="623"/>
      <c r="AF159" s="53"/>
      <c r="AG159" s="15"/>
    </row>
    <row r="160" spans="1:33" ht="30" customHeight="1" x14ac:dyDescent="0.35">
      <c r="A160" s="554"/>
      <c r="B160" s="295">
        <f t="shared" si="12"/>
        <v>137</v>
      </c>
      <c r="C160" s="620"/>
      <c r="E160"/>
      <c r="H160" s="15"/>
      <c r="I160" s="15"/>
      <c r="J160" s="383"/>
      <c r="K160" s="222"/>
      <c r="L160" s="222"/>
      <c r="M160" s="222"/>
      <c r="N160" s="222"/>
      <c r="O160" s="9"/>
      <c r="P160" s="9"/>
      <c r="Q160" s="9"/>
      <c r="R160" s="212" t="b">
        <v>0</v>
      </c>
      <c r="S160" s="9" t="s">
        <v>367</v>
      </c>
      <c r="T160" s="9" t="s">
        <v>107</v>
      </c>
      <c r="U160" s="550"/>
      <c r="V160" s="550"/>
      <c r="Y160" s="15"/>
      <c r="Z160" s="378"/>
      <c r="AA160" s="15"/>
      <c r="AB160" s="15"/>
      <c r="AC160" s="15"/>
      <c r="AD160" s="15"/>
      <c r="AE160" s="15"/>
      <c r="AF160" s="53"/>
      <c r="AG160" s="15"/>
    </row>
    <row r="161" spans="1:33" x14ac:dyDescent="0.35">
      <c r="A161" s="554"/>
      <c r="B161" s="295">
        <f t="shared" si="12"/>
        <v>138</v>
      </c>
      <c r="C161" s="620"/>
      <c r="E161"/>
      <c r="H161" s="221"/>
      <c r="I161" s="15"/>
      <c r="J161" s="383"/>
      <c r="K161" s="222"/>
      <c r="L161" s="222"/>
      <c r="M161" s="222"/>
      <c r="N161" s="222"/>
      <c r="O161" s="9"/>
      <c r="P161" s="9"/>
      <c r="Q161" s="9"/>
      <c r="R161" s="550"/>
      <c r="S161" s="550"/>
      <c r="T161" s="550"/>
      <c r="U161" s="213" t="b">
        <v>0</v>
      </c>
      <c r="V161" s="9" t="s">
        <v>166</v>
      </c>
      <c r="W161" s="9"/>
      <c r="Y161" s="15"/>
      <c r="Z161" s="378"/>
      <c r="AA161" s="15"/>
      <c r="AB161" s="15"/>
      <c r="AC161" s="15"/>
      <c r="AD161" s="15"/>
      <c r="AE161" s="15"/>
      <c r="AF161" s="53"/>
      <c r="AG161" s="15"/>
    </row>
    <row r="162" spans="1:33" ht="30" customHeight="1" thickBot="1" x14ac:dyDescent="0.4">
      <c r="A162" s="555"/>
      <c r="B162" s="295">
        <f t="shared" si="12"/>
        <v>139</v>
      </c>
      <c r="C162" s="621"/>
      <c r="D162" s="55"/>
      <c r="E162" s="55"/>
      <c r="F162" s="55"/>
      <c r="G162" s="55"/>
      <c r="H162" s="56"/>
      <c r="I162" s="56"/>
      <c r="J162" s="384"/>
      <c r="K162" s="57"/>
      <c r="L162" s="57"/>
      <c r="M162" s="57"/>
      <c r="N162" s="57"/>
      <c r="O162" s="58"/>
      <c r="P162" s="58"/>
      <c r="Q162" s="58"/>
      <c r="R162" s="550"/>
      <c r="S162" s="550"/>
      <c r="T162" s="550"/>
      <c r="U162" s="550"/>
      <c r="V162" s="550"/>
      <c r="W162" s="58"/>
      <c r="X162" s="402"/>
      <c r="Y162" s="56"/>
      <c r="Z162" s="379"/>
      <c r="AA162" s="56"/>
      <c r="AB162" s="56"/>
      <c r="AC162" s="56"/>
      <c r="AD162" s="56"/>
      <c r="AE162" s="56"/>
      <c r="AF162" s="59"/>
      <c r="AG162" s="15"/>
    </row>
    <row r="163" spans="1:33" ht="15" hidden="1" customHeight="1" thickBot="1" x14ac:dyDescent="0.4">
      <c r="A163" s="87"/>
      <c r="B163" s="241"/>
      <c r="C163" s="392"/>
      <c r="D163" s="393"/>
      <c r="E163" s="393"/>
      <c r="F163" s="393"/>
      <c r="G163" s="393"/>
      <c r="H163" s="393"/>
      <c r="I163" s="393"/>
      <c r="J163" s="394"/>
      <c r="K163" s="393"/>
      <c r="L163" s="393"/>
      <c r="M163" s="393"/>
      <c r="N163" s="393"/>
      <c r="O163" s="393"/>
      <c r="P163" s="393"/>
      <c r="Q163" s="393"/>
      <c r="R163" s="393"/>
      <c r="S163" s="393"/>
      <c r="T163" s="393"/>
      <c r="U163" s="394"/>
      <c r="V163" s="393"/>
      <c r="W163" s="393"/>
      <c r="X163" s="394"/>
      <c r="Y163" s="393"/>
      <c r="Z163" s="395"/>
      <c r="AA163" s="393"/>
      <c r="AB163" s="393"/>
      <c r="AC163" s="393"/>
      <c r="AD163" s="393"/>
      <c r="AE163" s="393"/>
      <c r="AF163" s="396"/>
      <c r="AG163" s="87"/>
    </row>
    <row r="164" spans="1:33" ht="5" customHeight="1" thickBot="1" x14ac:dyDescent="0.4">
      <c r="A164" s="87"/>
      <c r="B164" s="241"/>
      <c r="C164" s="391"/>
      <c r="D164" s="238"/>
      <c r="E164" s="238"/>
      <c r="F164" s="238"/>
      <c r="G164" s="238"/>
      <c r="H164" s="238"/>
      <c r="I164" s="238"/>
      <c r="J164" s="389"/>
      <c r="K164" s="238"/>
      <c r="L164" s="238"/>
      <c r="M164" s="238"/>
      <c r="N164" s="238"/>
      <c r="O164" s="238"/>
      <c r="P164" s="238"/>
      <c r="Q164" s="238"/>
      <c r="R164" s="238"/>
      <c r="S164" s="238"/>
      <c r="T164" s="238"/>
      <c r="U164" s="389"/>
      <c r="V164" s="238"/>
      <c r="W164" s="238"/>
      <c r="X164" s="389"/>
      <c r="Y164" s="238"/>
      <c r="Z164" s="390"/>
      <c r="AA164" s="238"/>
      <c r="AB164" s="238"/>
      <c r="AC164" s="238"/>
      <c r="AD164" s="238"/>
      <c r="AE164" s="238"/>
      <c r="AF164" s="311"/>
      <c r="AG164" s="87"/>
    </row>
    <row r="165" spans="1:33" ht="15" hidden="1" customHeight="1" thickBot="1" x14ac:dyDescent="0.4">
      <c r="A165" s="87"/>
      <c r="B165" s="241"/>
      <c r="C165" s="228"/>
      <c r="D165" s="229"/>
      <c r="E165" s="229"/>
      <c r="F165" s="229"/>
      <c r="G165" s="229"/>
      <c r="H165" s="229"/>
      <c r="I165" s="229"/>
      <c r="J165" s="382"/>
      <c r="K165" s="229"/>
      <c r="L165" s="229"/>
      <c r="M165" s="229"/>
      <c r="N165" s="229"/>
      <c r="O165" s="229"/>
      <c r="P165" s="229"/>
      <c r="Q165" s="229"/>
      <c r="R165" s="229"/>
      <c r="S165" s="229"/>
      <c r="T165" s="229"/>
      <c r="U165" s="382"/>
      <c r="V165" s="229"/>
      <c r="W165" s="229"/>
      <c r="X165" s="382"/>
      <c r="Y165" s="229"/>
      <c r="Z165" s="380"/>
      <c r="AA165" s="229"/>
      <c r="AB165" s="229"/>
      <c r="AC165" s="229"/>
      <c r="AD165" s="229"/>
      <c r="AE165" s="229"/>
      <c r="AF165" s="230"/>
      <c r="AG165" s="87"/>
    </row>
    <row r="166" spans="1:33" ht="29" customHeight="1" x14ac:dyDescent="0.35">
      <c r="A166" s="553">
        <f>A154+1</f>
        <v>14</v>
      </c>
      <c r="B166" s="295">
        <f>B154+10</f>
        <v>141</v>
      </c>
      <c r="C166" s="619" t="str">
        <f>VLOOKUP(A166,INputs!$G$3:$O$22,7,FALSE)</f>
        <v>Please fill out Sensitivity Labels Tab</v>
      </c>
      <c r="D166" s="47"/>
      <c r="E166" s="47"/>
      <c r="F166" s="573" t="s">
        <v>108</v>
      </c>
      <c r="G166" s="573"/>
      <c r="H166" s="573" t="s">
        <v>108</v>
      </c>
      <c r="I166" s="573"/>
      <c r="J166" s="575" t="str">
        <f>J$10</f>
        <v>Select a check box</v>
      </c>
      <c r="K166" s="575"/>
      <c r="L166" s="575" t="s">
        <v>108</v>
      </c>
      <c r="M166" s="575"/>
      <c r="N166" s="575"/>
      <c r="O166" s="575" t="s">
        <v>108</v>
      </c>
      <c r="P166" s="575"/>
      <c r="Q166" s="575"/>
      <c r="R166" s="577" t="s">
        <v>147</v>
      </c>
      <c r="S166" s="577"/>
      <c r="T166" s="407" t="s">
        <v>107</v>
      </c>
      <c r="U166" s="551" t="s">
        <v>148</v>
      </c>
      <c r="V166" s="551"/>
      <c r="W166" s="50"/>
      <c r="X166" s="401"/>
      <c r="Y166" s="574" t="s">
        <v>108</v>
      </c>
      <c r="Z166" s="574"/>
      <c r="AA166" s="51"/>
      <c r="AB166" s="573"/>
      <c r="AC166" s="573"/>
      <c r="AD166" s="48"/>
      <c r="AE166" s="49" t="s">
        <v>361</v>
      </c>
      <c r="AF166" s="52"/>
      <c r="AG166" s="20"/>
    </row>
    <row r="167" spans="1:33" x14ac:dyDescent="0.35">
      <c r="A167" s="554"/>
      <c r="B167" s="295">
        <f>B166+1</f>
        <v>142</v>
      </c>
      <c r="C167" s="620"/>
      <c r="D167" s="8"/>
      <c r="E167" s="8"/>
      <c r="F167" s="217"/>
      <c r="G167" s="217"/>
      <c r="H167" s="217"/>
      <c r="I167" s="217"/>
      <c r="J167" s="386"/>
      <c r="K167" s="386"/>
      <c r="L167" s="386"/>
      <c r="M167" s="386"/>
      <c r="N167" s="386"/>
      <c r="O167" s="386"/>
      <c r="P167" s="386"/>
      <c r="Q167" s="386"/>
      <c r="R167" s="550"/>
      <c r="S167" s="550"/>
      <c r="T167" s="550"/>
      <c r="U167" s="406"/>
      <c r="V167" s="400" t="s">
        <v>109</v>
      </c>
      <c r="W167" s="225"/>
      <c r="X167" s="403"/>
      <c r="Y167" s="405"/>
      <c r="Z167" s="405"/>
      <c r="AA167" s="20"/>
      <c r="AB167" s="217"/>
      <c r="AC167" s="217" t="s">
        <v>108</v>
      </c>
      <c r="AD167" s="217"/>
      <c r="AE167" s="386"/>
      <c r="AF167" s="54"/>
      <c r="AG167" s="20"/>
    </row>
    <row r="168" spans="1:33" ht="30.5" x14ac:dyDescent="0.35">
      <c r="A168" s="554"/>
      <c r="B168" s="295">
        <f t="shared" ref="B168:B174" si="13">B167+1</f>
        <v>143</v>
      </c>
      <c r="C168" s="620"/>
      <c r="E168" s="209" t="b">
        <v>0</v>
      </c>
      <c r="F168" s="3" t="s">
        <v>333</v>
      </c>
      <c r="H168" s="209" t="b">
        <v>0</v>
      </c>
      <c r="I168" s="219" t="s">
        <v>150</v>
      </c>
      <c r="J168" s="210" t="b">
        <v>0</v>
      </c>
      <c r="K168" s="211" t="s">
        <v>151</v>
      </c>
      <c r="L168" s="212" t="b">
        <v>0</v>
      </c>
      <c r="M168" s="9" t="s">
        <v>152</v>
      </c>
      <c r="N168" s="222"/>
      <c r="O168" s="212" t="b">
        <v>0</v>
      </c>
      <c r="P168" s="9" t="s">
        <v>153</v>
      </c>
      <c r="Q168" s="9"/>
      <c r="R168" s="550"/>
      <c r="S168" s="550"/>
      <c r="T168" s="550"/>
      <c r="U168" s="550"/>
      <c r="V168" s="550"/>
      <c r="W168" s="225"/>
      <c r="X168" s="213" t="b">
        <v>0</v>
      </c>
      <c r="Y168" s="214" t="s">
        <v>154</v>
      </c>
      <c r="Z168" s="381"/>
      <c r="AA168" s="15"/>
      <c r="AB168" s="215" t="b">
        <v>0</v>
      </c>
      <c r="AC168" s="15" t="s">
        <v>155</v>
      </c>
      <c r="AD168" s="15"/>
      <c r="AE168" s="15"/>
      <c r="AF168" s="53"/>
      <c r="AG168" s="15"/>
    </row>
    <row r="169" spans="1:33" ht="35" customHeight="1" x14ac:dyDescent="0.35">
      <c r="A169" s="554"/>
      <c r="B169" s="295">
        <f t="shared" si="13"/>
        <v>144</v>
      </c>
      <c r="C169" s="620"/>
      <c r="E169" s="209" t="b">
        <v>0</v>
      </c>
      <c r="F169" s="205" t="s">
        <v>332</v>
      </c>
      <c r="H169" s="15"/>
      <c r="I169" s="219"/>
      <c r="J169" s="213" t="b">
        <v>0</v>
      </c>
      <c r="K169" s="576" t="s">
        <v>157</v>
      </c>
      <c r="L169" s="213" t="b">
        <v>0</v>
      </c>
      <c r="M169" s="214" t="s">
        <v>158</v>
      </c>
      <c r="N169" s="397">
        <v>44197</v>
      </c>
      <c r="O169" s="213" t="b">
        <v>0</v>
      </c>
      <c r="P169" s="214" t="s">
        <v>152</v>
      </c>
      <c r="Q169" s="214"/>
      <c r="R169" s="212" t="b">
        <v>0</v>
      </c>
      <c r="S169" s="9" t="s">
        <v>366</v>
      </c>
      <c r="T169" s="9" t="s">
        <v>107</v>
      </c>
      <c r="U169" s="213" t="b">
        <v>0</v>
      </c>
      <c r="V169" s="400" t="s">
        <v>164</v>
      </c>
      <c r="W169" s="224"/>
      <c r="X169" s="213" t="b">
        <v>0</v>
      </c>
      <c r="Y169" s="214" t="s">
        <v>159</v>
      </c>
      <c r="Z169" s="381"/>
      <c r="AA169" s="15"/>
      <c r="AB169" s="226"/>
      <c r="AC169" s="217" t="s">
        <v>109</v>
      </c>
      <c r="AD169" s="218"/>
      <c r="AE169" s="386" t="s">
        <v>362</v>
      </c>
      <c r="AF169" s="54"/>
      <c r="AG169" s="15"/>
    </row>
    <row r="170" spans="1:33" ht="14.5" customHeight="1" x14ac:dyDescent="0.35">
      <c r="A170" s="554"/>
      <c r="B170" s="295">
        <f t="shared" si="13"/>
        <v>145</v>
      </c>
      <c r="C170" s="620"/>
      <c r="E170" s="209" t="b">
        <v>0</v>
      </c>
      <c r="F170" s="578" t="s">
        <v>169</v>
      </c>
      <c r="H170" s="209" t="b">
        <v>0</v>
      </c>
      <c r="I170" s="219" t="s">
        <v>161</v>
      </c>
      <c r="J170" s="214"/>
      <c r="K170" s="576"/>
      <c r="L170" s="212" t="b">
        <v>0</v>
      </c>
      <c r="M170" s="44" t="s">
        <v>162</v>
      </c>
      <c r="N170" s="220">
        <v>6</v>
      </c>
      <c r="O170" s="212" t="b">
        <v>0</v>
      </c>
      <c r="P170" s="9" t="s">
        <v>162</v>
      </c>
      <c r="Q170" s="220">
        <v>0</v>
      </c>
      <c r="R170" s="550"/>
      <c r="S170" s="550"/>
      <c r="T170" s="550"/>
      <c r="U170" s="552" t="s">
        <v>108</v>
      </c>
      <c r="V170" s="552"/>
      <c r="W170" s="552"/>
      <c r="X170" s="213" t="b">
        <v>0</v>
      </c>
      <c r="Y170" s="9" t="s">
        <v>331</v>
      </c>
      <c r="Z170" s="550"/>
      <c r="AA170" s="15"/>
      <c r="AB170" s="226"/>
      <c r="AC170" s="22"/>
      <c r="AD170" s="15"/>
      <c r="AE170" s="623"/>
      <c r="AF170" s="53"/>
      <c r="AG170" s="15"/>
    </row>
    <row r="171" spans="1:33" x14ac:dyDescent="0.35">
      <c r="A171" s="554"/>
      <c r="B171" s="295">
        <f t="shared" si="13"/>
        <v>146</v>
      </c>
      <c r="C171" s="620"/>
      <c r="F171" s="578"/>
      <c r="H171" s="15"/>
      <c r="I171" s="15"/>
      <c r="J171" s="214"/>
      <c r="K171" s="9"/>
      <c r="L171" s="15"/>
      <c r="M171" s="15"/>
      <c r="N171" s="227"/>
      <c r="O171" s="9"/>
      <c r="P171" s="9"/>
      <c r="Q171" s="9"/>
      <c r="R171" s="550"/>
      <c r="S171" s="550"/>
      <c r="T171" s="550"/>
      <c r="U171" s="213" t="b">
        <v>0</v>
      </c>
      <c r="V171" s="214" t="s">
        <v>165</v>
      </c>
      <c r="W171" s="225"/>
      <c r="Y171" s="15"/>
      <c r="Z171" s="550"/>
      <c r="AA171" s="15"/>
      <c r="AB171" s="15"/>
      <c r="AC171" s="15"/>
      <c r="AD171" s="15"/>
      <c r="AE171" s="623"/>
      <c r="AF171" s="53"/>
      <c r="AG171" s="15"/>
    </row>
    <row r="172" spans="1:33" ht="30" customHeight="1" x14ac:dyDescent="0.35">
      <c r="A172" s="554"/>
      <c r="B172" s="295">
        <f t="shared" si="13"/>
        <v>147</v>
      </c>
      <c r="C172" s="620"/>
      <c r="E172"/>
      <c r="H172" s="15"/>
      <c r="I172" s="15"/>
      <c r="J172" s="383"/>
      <c r="K172" s="222"/>
      <c r="L172" s="222"/>
      <c r="M172" s="222"/>
      <c r="N172" s="222"/>
      <c r="O172" s="9"/>
      <c r="P172" s="9"/>
      <c r="Q172" s="9"/>
      <c r="R172" s="212" t="b">
        <v>0</v>
      </c>
      <c r="S172" s="9" t="s">
        <v>367</v>
      </c>
      <c r="T172" s="9" t="s">
        <v>107</v>
      </c>
      <c r="U172" s="550"/>
      <c r="V172" s="550"/>
      <c r="Y172" s="15"/>
      <c r="Z172" s="378"/>
      <c r="AA172" s="15"/>
      <c r="AB172" s="15"/>
      <c r="AC172" s="15"/>
      <c r="AD172" s="15"/>
      <c r="AE172" s="15"/>
      <c r="AF172" s="53"/>
      <c r="AG172" s="15"/>
    </row>
    <row r="173" spans="1:33" x14ac:dyDescent="0.35">
      <c r="A173" s="554"/>
      <c r="B173" s="295">
        <f t="shared" si="13"/>
        <v>148</v>
      </c>
      <c r="C173" s="620"/>
      <c r="E173"/>
      <c r="H173" s="221"/>
      <c r="I173" s="15"/>
      <c r="J173" s="383"/>
      <c r="K173" s="222"/>
      <c r="L173" s="222"/>
      <c r="M173" s="222"/>
      <c r="N173" s="222"/>
      <c r="O173" s="9"/>
      <c r="P173" s="9"/>
      <c r="Q173" s="9"/>
      <c r="R173" s="550"/>
      <c r="S173" s="550"/>
      <c r="T173" s="550"/>
      <c r="U173" s="213" t="b">
        <v>0</v>
      </c>
      <c r="V173" s="9" t="s">
        <v>166</v>
      </c>
      <c r="W173" s="9"/>
      <c r="Y173" s="15"/>
      <c r="Z173" s="378"/>
      <c r="AA173" s="15"/>
      <c r="AB173" s="15"/>
      <c r="AC173" s="15"/>
      <c r="AD173" s="15"/>
      <c r="AE173" s="15"/>
      <c r="AF173" s="53"/>
      <c r="AG173" s="15"/>
    </row>
    <row r="174" spans="1:33" ht="30" customHeight="1" thickBot="1" x14ac:dyDescent="0.4">
      <c r="A174" s="555"/>
      <c r="B174" s="295">
        <f t="shared" si="13"/>
        <v>149</v>
      </c>
      <c r="C174" s="621"/>
      <c r="D174" s="55"/>
      <c r="E174" s="55"/>
      <c r="F174" s="55"/>
      <c r="G174" s="55"/>
      <c r="H174" s="56"/>
      <c r="I174" s="56"/>
      <c r="J174" s="384"/>
      <c r="K174" s="57"/>
      <c r="L174" s="57"/>
      <c r="M174" s="57"/>
      <c r="N174" s="57"/>
      <c r="O174" s="58"/>
      <c r="P174" s="58"/>
      <c r="Q174" s="58"/>
      <c r="R174" s="550"/>
      <c r="S174" s="550"/>
      <c r="T174" s="550"/>
      <c r="U174" s="550"/>
      <c r="V174" s="550"/>
      <c r="W174" s="58"/>
      <c r="X174" s="402"/>
      <c r="Y174" s="56"/>
      <c r="Z174" s="379"/>
      <c r="AA174" s="56"/>
      <c r="AB174" s="56"/>
      <c r="AC174" s="56"/>
      <c r="AD174" s="56"/>
      <c r="AE174" s="56"/>
      <c r="AF174" s="59"/>
      <c r="AG174" s="15"/>
    </row>
    <row r="175" spans="1:33" ht="15" hidden="1" customHeight="1" thickBot="1" x14ac:dyDescent="0.4">
      <c r="A175" s="87"/>
      <c r="B175" s="241"/>
      <c r="C175" s="392"/>
      <c r="D175" s="393"/>
      <c r="E175" s="393"/>
      <c r="F175" s="393"/>
      <c r="G175" s="393"/>
      <c r="H175" s="393"/>
      <c r="I175" s="393"/>
      <c r="J175" s="394"/>
      <c r="K175" s="393"/>
      <c r="L175" s="393"/>
      <c r="M175" s="393"/>
      <c r="N175" s="393"/>
      <c r="O175" s="393"/>
      <c r="P175" s="393"/>
      <c r="Q175" s="393"/>
      <c r="R175" s="393"/>
      <c r="S175" s="393"/>
      <c r="T175" s="393"/>
      <c r="U175" s="394"/>
      <c r="V175" s="393"/>
      <c r="W175" s="393"/>
      <c r="X175" s="394"/>
      <c r="Y175" s="393"/>
      <c r="Z175" s="395"/>
      <c r="AA175" s="393"/>
      <c r="AB175" s="393"/>
      <c r="AC175" s="393"/>
      <c r="AD175" s="393"/>
      <c r="AE175" s="393"/>
      <c r="AF175" s="396"/>
      <c r="AG175" s="87"/>
    </row>
    <row r="176" spans="1:33" ht="5" customHeight="1" thickBot="1" x14ac:dyDescent="0.4">
      <c r="A176" s="87"/>
      <c r="B176" s="241"/>
      <c r="C176" s="391"/>
      <c r="D176" s="238"/>
      <c r="E176" s="238"/>
      <c r="F176" s="238"/>
      <c r="G176" s="238"/>
      <c r="H176" s="238"/>
      <c r="I176" s="238"/>
      <c r="J176" s="389"/>
      <c r="K176" s="238"/>
      <c r="L176" s="238"/>
      <c r="M176" s="238"/>
      <c r="N176" s="238"/>
      <c r="O176" s="238"/>
      <c r="P176" s="238"/>
      <c r="Q176" s="238"/>
      <c r="R176" s="238"/>
      <c r="S176" s="238"/>
      <c r="T176" s="238"/>
      <c r="U176" s="389"/>
      <c r="V176" s="238"/>
      <c r="W176" s="238"/>
      <c r="X176" s="389"/>
      <c r="Y176" s="238"/>
      <c r="Z176" s="390"/>
      <c r="AA176" s="238"/>
      <c r="AB176" s="238"/>
      <c r="AC176" s="238"/>
      <c r="AD176" s="238"/>
      <c r="AE176" s="238"/>
      <c r="AF176" s="311"/>
      <c r="AG176" s="87"/>
    </row>
    <row r="177" spans="1:33" ht="15" hidden="1" customHeight="1" thickBot="1" x14ac:dyDescent="0.4">
      <c r="A177" s="87"/>
      <c r="B177" s="241"/>
      <c r="C177" s="228"/>
      <c r="D177" s="229"/>
      <c r="E177" s="229"/>
      <c r="F177" s="229"/>
      <c r="G177" s="229"/>
      <c r="H177" s="229"/>
      <c r="I177" s="229"/>
      <c r="J177" s="382"/>
      <c r="K177" s="229"/>
      <c r="L177" s="229"/>
      <c r="M177" s="229"/>
      <c r="N177" s="229"/>
      <c r="O177" s="229"/>
      <c r="P177" s="229"/>
      <c r="Q177" s="229"/>
      <c r="R177" s="229"/>
      <c r="S177" s="229"/>
      <c r="T177" s="229"/>
      <c r="U177" s="382"/>
      <c r="V177" s="229"/>
      <c r="W177" s="229"/>
      <c r="X177" s="382"/>
      <c r="Y177" s="229"/>
      <c r="Z177" s="380"/>
      <c r="AA177" s="229"/>
      <c r="AB177" s="229"/>
      <c r="AC177" s="229"/>
      <c r="AD177" s="229"/>
      <c r="AE177" s="229"/>
      <c r="AF177" s="230"/>
      <c r="AG177" s="87"/>
    </row>
    <row r="178" spans="1:33" ht="29" customHeight="1" x14ac:dyDescent="0.35">
      <c r="A178" s="553">
        <f>A166+1</f>
        <v>15</v>
      </c>
      <c r="B178" s="295">
        <f>B166+10</f>
        <v>151</v>
      </c>
      <c r="C178" s="619" t="str">
        <f>VLOOKUP(A178,INputs!$G$3:$O$22,7,FALSE)</f>
        <v>Please fill out Sensitivity Labels Tab</v>
      </c>
      <c r="D178" s="47"/>
      <c r="E178" s="47"/>
      <c r="F178" s="573" t="s">
        <v>108</v>
      </c>
      <c r="G178" s="573"/>
      <c r="H178" s="573" t="s">
        <v>108</v>
      </c>
      <c r="I178" s="573"/>
      <c r="J178" s="575" t="str">
        <f>J$10</f>
        <v>Select a check box</v>
      </c>
      <c r="K178" s="575"/>
      <c r="L178" s="575" t="s">
        <v>108</v>
      </c>
      <c r="M178" s="575"/>
      <c r="N178" s="575"/>
      <c r="O178" s="575" t="s">
        <v>108</v>
      </c>
      <c r="P178" s="575"/>
      <c r="Q178" s="575"/>
      <c r="R178" s="577" t="s">
        <v>147</v>
      </c>
      <c r="S178" s="577"/>
      <c r="T178" s="407" t="s">
        <v>107</v>
      </c>
      <c r="U178" s="551" t="s">
        <v>148</v>
      </c>
      <c r="V178" s="551"/>
      <c r="W178" s="50"/>
      <c r="X178" s="401"/>
      <c r="Y178" s="574" t="s">
        <v>108</v>
      </c>
      <c r="Z178" s="574"/>
      <c r="AA178" s="51"/>
      <c r="AB178" s="573"/>
      <c r="AC178" s="573"/>
      <c r="AD178" s="48"/>
      <c r="AE178" s="49" t="s">
        <v>361</v>
      </c>
      <c r="AF178" s="52"/>
      <c r="AG178" s="20"/>
    </row>
    <row r="179" spans="1:33" x14ac:dyDescent="0.35">
      <c r="A179" s="554"/>
      <c r="B179" s="295">
        <f>B178+1</f>
        <v>152</v>
      </c>
      <c r="C179" s="620"/>
      <c r="D179" s="8"/>
      <c r="E179" s="8"/>
      <c r="F179" s="217"/>
      <c r="G179" s="217"/>
      <c r="H179" s="217"/>
      <c r="I179" s="217"/>
      <c r="J179" s="386"/>
      <c r="K179" s="386"/>
      <c r="L179" s="386"/>
      <c r="M179" s="386"/>
      <c r="N179" s="386"/>
      <c r="O179" s="386"/>
      <c r="P179" s="386"/>
      <c r="Q179" s="386"/>
      <c r="R179" s="550"/>
      <c r="S179" s="550"/>
      <c r="T179" s="550"/>
      <c r="U179" s="406"/>
      <c r="V179" s="400" t="s">
        <v>109</v>
      </c>
      <c r="W179" s="225"/>
      <c r="X179" s="403"/>
      <c r="Y179" s="405"/>
      <c r="Z179" s="405"/>
      <c r="AA179" s="20"/>
      <c r="AB179" s="217"/>
      <c r="AC179" s="217" t="s">
        <v>108</v>
      </c>
      <c r="AD179" s="217"/>
      <c r="AE179" s="386"/>
      <c r="AF179" s="54"/>
      <c r="AG179" s="20"/>
    </row>
    <row r="180" spans="1:33" ht="30.5" x14ac:dyDescent="0.35">
      <c r="A180" s="554"/>
      <c r="B180" s="295">
        <f t="shared" ref="B180:B186" si="14">B179+1</f>
        <v>153</v>
      </c>
      <c r="C180" s="620"/>
      <c r="E180" s="209" t="b">
        <v>0</v>
      </c>
      <c r="F180" s="3" t="s">
        <v>333</v>
      </c>
      <c r="H180" s="209" t="b">
        <v>0</v>
      </c>
      <c r="I180" s="219" t="s">
        <v>150</v>
      </c>
      <c r="J180" s="210" t="b">
        <v>0</v>
      </c>
      <c r="K180" s="211" t="s">
        <v>151</v>
      </c>
      <c r="L180" s="212" t="b">
        <v>0</v>
      </c>
      <c r="M180" s="9" t="s">
        <v>152</v>
      </c>
      <c r="N180" s="222"/>
      <c r="O180" s="212" t="b">
        <v>0</v>
      </c>
      <c r="P180" s="9" t="s">
        <v>153</v>
      </c>
      <c r="Q180" s="9"/>
      <c r="R180" s="550"/>
      <c r="S180" s="550"/>
      <c r="T180" s="550"/>
      <c r="U180" s="550"/>
      <c r="V180" s="550"/>
      <c r="W180" s="225"/>
      <c r="X180" s="213" t="b">
        <v>0</v>
      </c>
      <c r="Y180" s="214" t="s">
        <v>154</v>
      </c>
      <c r="Z180" s="381"/>
      <c r="AA180" s="15"/>
      <c r="AB180" s="215" t="b">
        <v>0</v>
      </c>
      <c r="AC180" s="15" t="s">
        <v>155</v>
      </c>
      <c r="AD180" s="15"/>
      <c r="AE180" s="15"/>
      <c r="AF180" s="53"/>
      <c r="AG180" s="15"/>
    </row>
    <row r="181" spans="1:33" ht="35" customHeight="1" x14ac:dyDescent="0.35">
      <c r="A181" s="554"/>
      <c r="B181" s="295">
        <f t="shared" si="14"/>
        <v>154</v>
      </c>
      <c r="C181" s="620"/>
      <c r="E181" s="209" t="b">
        <v>0</v>
      </c>
      <c r="F181" s="205" t="s">
        <v>332</v>
      </c>
      <c r="H181" s="15"/>
      <c r="I181" s="219"/>
      <c r="J181" s="213" t="b">
        <v>0</v>
      </c>
      <c r="K181" s="576" t="s">
        <v>157</v>
      </c>
      <c r="L181" s="213" t="b">
        <v>0</v>
      </c>
      <c r="M181" s="214" t="s">
        <v>158</v>
      </c>
      <c r="N181" s="397">
        <v>44197</v>
      </c>
      <c r="O181" s="213" t="b">
        <v>0</v>
      </c>
      <c r="P181" s="214" t="s">
        <v>152</v>
      </c>
      <c r="Q181" s="214"/>
      <c r="R181" s="212" t="b">
        <v>0</v>
      </c>
      <c r="S181" s="9" t="s">
        <v>366</v>
      </c>
      <c r="T181" s="9" t="s">
        <v>107</v>
      </c>
      <c r="U181" s="213" t="b">
        <v>0</v>
      </c>
      <c r="V181" s="400" t="s">
        <v>164</v>
      </c>
      <c r="W181" s="224"/>
      <c r="X181" s="213" t="b">
        <v>0</v>
      </c>
      <c r="Y181" s="214" t="s">
        <v>159</v>
      </c>
      <c r="Z181" s="381"/>
      <c r="AA181" s="15"/>
      <c r="AB181" s="226"/>
      <c r="AC181" s="217" t="s">
        <v>109</v>
      </c>
      <c r="AD181" s="218"/>
      <c r="AE181" s="386" t="s">
        <v>362</v>
      </c>
      <c r="AF181" s="54"/>
      <c r="AG181" s="15"/>
    </row>
    <row r="182" spans="1:33" ht="14.5" customHeight="1" x14ac:dyDescent="0.35">
      <c r="A182" s="554"/>
      <c r="B182" s="295">
        <f t="shared" si="14"/>
        <v>155</v>
      </c>
      <c r="C182" s="620"/>
      <c r="E182" s="209" t="b">
        <v>0</v>
      </c>
      <c r="F182" s="578" t="s">
        <v>169</v>
      </c>
      <c r="H182" s="209" t="b">
        <v>0</v>
      </c>
      <c r="I182" s="219" t="s">
        <v>161</v>
      </c>
      <c r="J182" s="214"/>
      <c r="K182" s="576"/>
      <c r="L182" s="212" t="b">
        <v>0</v>
      </c>
      <c r="M182" s="44" t="s">
        <v>162</v>
      </c>
      <c r="N182" s="220">
        <v>6</v>
      </c>
      <c r="O182" s="212" t="b">
        <v>0</v>
      </c>
      <c r="P182" s="9" t="s">
        <v>162</v>
      </c>
      <c r="Q182" s="220">
        <v>0</v>
      </c>
      <c r="R182" s="550"/>
      <c r="S182" s="550"/>
      <c r="T182" s="550"/>
      <c r="U182" s="552" t="s">
        <v>108</v>
      </c>
      <c r="V182" s="552"/>
      <c r="W182" s="552"/>
      <c r="X182" s="213" t="b">
        <v>0</v>
      </c>
      <c r="Y182" s="9" t="s">
        <v>331</v>
      </c>
      <c r="Z182" s="550"/>
      <c r="AA182" s="15"/>
      <c r="AB182" s="226"/>
      <c r="AC182" s="22"/>
      <c r="AD182" s="15"/>
      <c r="AE182" s="623"/>
      <c r="AF182" s="53"/>
      <c r="AG182" s="15"/>
    </row>
    <row r="183" spans="1:33" x14ac:dyDescent="0.35">
      <c r="A183" s="554"/>
      <c r="B183" s="295">
        <f t="shared" si="14"/>
        <v>156</v>
      </c>
      <c r="C183" s="620"/>
      <c r="F183" s="578"/>
      <c r="H183" s="15"/>
      <c r="I183" s="15"/>
      <c r="J183" s="214"/>
      <c r="K183" s="9"/>
      <c r="L183" s="15"/>
      <c r="M183" s="15"/>
      <c r="N183" s="227"/>
      <c r="O183" s="9"/>
      <c r="P183" s="9"/>
      <c r="Q183" s="9"/>
      <c r="R183" s="550"/>
      <c r="S183" s="550"/>
      <c r="T183" s="550"/>
      <c r="U183" s="213" t="b">
        <v>0</v>
      </c>
      <c r="V183" s="214" t="s">
        <v>165</v>
      </c>
      <c r="W183" s="225"/>
      <c r="Y183" s="15"/>
      <c r="Z183" s="550"/>
      <c r="AA183" s="15"/>
      <c r="AB183" s="15"/>
      <c r="AC183" s="15"/>
      <c r="AD183" s="15"/>
      <c r="AE183" s="623"/>
      <c r="AF183" s="53"/>
      <c r="AG183" s="15"/>
    </row>
    <row r="184" spans="1:33" ht="30" customHeight="1" x14ac:dyDescent="0.35">
      <c r="A184" s="554"/>
      <c r="B184" s="295">
        <f t="shared" si="14"/>
        <v>157</v>
      </c>
      <c r="C184" s="620"/>
      <c r="E184"/>
      <c r="H184" s="15"/>
      <c r="I184" s="15"/>
      <c r="J184" s="383"/>
      <c r="K184" s="222"/>
      <c r="L184" s="222"/>
      <c r="M184" s="222"/>
      <c r="N184" s="222"/>
      <c r="O184" s="9"/>
      <c r="P184" s="9"/>
      <c r="Q184" s="9"/>
      <c r="R184" s="212" t="b">
        <v>0</v>
      </c>
      <c r="S184" s="9" t="s">
        <v>367</v>
      </c>
      <c r="T184" s="9" t="s">
        <v>107</v>
      </c>
      <c r="U184" s="550"/>
      <c r="V184" s="550"/>
      <c r="Y184" s="15"/>
      <c r="Z184" s="378"/>
      <c r="AA184" s="15"/>
      <c r="AB184" s="15"/>
      <c r="AC184" s="15"/>
      <c r="AD184" s="15"/>
      <c r="AE184" s="15"/>
      <c r="AF184" s="53"/>
      <c r="AG184" s="15"/>
    </row>
    <row r="185" spans="1:33" x14ac:dyDescent="0.35">
      <c r="A185" s="554"/>
      <c r="B185" s="295">
        <f t="shared" si="14"/>
        <v>158</v>
      </c>
      <c r="C185" s="620"/>
      <c r="E185"/>
      <c r="H185" s="221"/>
      <c r="I185" s="15"/>
      <c r="J185" s="383"/>
      <c r="K185" s="222"/>
      <c r="L185" s="222"/>
      <c r="M185" s="222"/>
      <c r="N185" s="222"/>
      <c r="O185" s="9"/>
      <c r="P185" s="9"/>
      <c r="Q185" s="9"/>
      <c r="R185" s="550"/>
      <c r="S185" s="550"/>
      <c r="T185" s="550"/>
      <c r="U185" s="213" t="b">
        <v>0</v>
      </c>
      <c r="V185" s="9" t="s">
        <v>166</v>
      </c>
      <c r="W185" s="9"/>
      <c r="Y185" s="15"/>
      <c r="Z185" s="378"/>
      <c r="AA185" s="15"/>
      <c r="AB185" s="15"/>
      <c r="AC185" s="15"/>
      <c r="AD185" s="15"/>
      <c r="AE185" s="15"/>
      <c r="AF185" s="53"/>
      <c r="AG185" s="15"/>
    </row>
    <row r="186" spans="1:33" ht="30" customHeight="1" thickBot="1" x14ac:dyDescent="0.4">
      <c r="A186" s="555"/>
      <c r="B186" s="295">
        <f t="shared" si="14"/>
        <v>159</v>
      </c>
      <c r="C186" s="621"/>
      <c r="D186" s="55"/>
      <c r="E186" s="55"/>
      <c r="F186" s="55"/>
      <c r="G186" s="55"/>
      <c r="H186" s="56"/>
      <c r="I186" s="56"/>
      <c r="J186" s="384"/>
      <c r="K186" s="57"/>
      <c r="L186" s="57"/>
      <c r="M186" s="57"/>
      <c r="N186" s="57"/>
      <c r="O186" s="58"/>
      <c r="P186" s="58"/>
      <c r="Q186" s="58"/>
      <c r="R186" s="550"/>
      <c r="S186" s="550"/>
      <c r="T186" s="550"/>
      <c r="U186" s="550"/>
      <c r="V186" s="550"/>
      <c r="W186" s="58"/>
      <c r="X186" s="402"/>
      <c r="Y186" s="56"/>
      <c r="Z186" s="379"/>
      <c r="AA186" s="56"/>
      <c r="AB186" s="56"/>
      <c r="AC186" s="56"/>
      <c r="AD186" s="56"/>
      <c r="AE186" s="56"/>
      <c r="AF186" s="59"/>
      <c r="AG186" s="15"/>
    </row>
    <row r="187" spans="1:33" ht="15" hidden="1" customHeight="1" thickBot="1" x14ac:dyDescent="0.4">
      <c r="A187" s="87"/>
      <c r="B187" s="241"/>
      <c r="C187" s="392"/>
      <c r="D187" s="393"/>
      <c r="E187" s="393"/>
      <c r="F187" s="393"/>
      <c r="G187" s="393"/>
      <c r="H187" s="393"/>
      <c r="I187" s="393"/>
      <c r="J187" s="394"/>
      <c r="K187" s="393"/>
      <c r="L187" s="393"/>
      <c r="M187" s="393"/>
      <c r="N187" s="393"/>
      <c r="O187" s="393"/>
      <c r="P187" s="393"/>
      <c r="Q187" s="393"/>
      <c r="R187" s="393"/>
      <c r="S187" s="393"/>
      <c r="T187" s="393"/>
      <c r="U187" s="394"/>
      <c r="V187" s="393"/>
      <c r="W187" s="393"/>
      <c r="X187" s="394"/>
      <c r="Y187" s="393"/>
      <c r="Z187" s="395"/>
      <c r="AA187" s="393"/>
      <c r="AB187" s="393"/>
      <c r="AC187" s="393"/>
      <c r="AD187" s="393"/>
      <c r="AE187" s="393"/>
      <c r="AF187" s="396"/>
      <c r="AG187" s="87"/>
    </row>
    <row r="188" spans="1:33" ht="5" customHeight="1" thickBot="1" x14ac:dyDescent="0.4">
      <c r="A188" s="87"/>
      <c r="B188" s="241"/>
      <c r="C188" s="391"/>
      <c r="D188" s="238"/>
      <c r="E188" s="238"/>
      <c r="F188" s="238"/>
      <c r="G188" s="238"/>
      <c r="H188" s="238"/>
      <c r="I188" s="238"/>
      <c r="J188" s="389"/>
      <c r="K188" s="238"/>
      <c r="L188" s="238"/>
      <c r="M188" s="238"/>
      <c r="N188" s="238"/>
      <c r="O188" s="238"/>
      <c r="P188" s="238"/>
      <c r="Q188" s="238"/>
      <c r="R188" s="238"/>
      <c r="S188" s="238"/>
      <c r="T188" s="238"/>
      <c r="U188" s="389"/>
      <c r="V188" s="238"/>
      <c r="W188" s="238"/>
      <c r="X188" s="389"/>
      <c r="Y188" s="238"/>
      <c r="Z188" s="390"/>
      <c r="AA188" s="238"/>
      <c r="AB188" s="238"/>
      <c r="AC188" s="238"/>
      <c r="AD188" s="238"/>
      <c r="AE188" s="238"/>
      <c r="AF188" s="311"/>
      <c r="AG188" s="87"/>
    </row>
    <row r="189" spans="1:33" ht="15" hidden="1" customHeight="1" thickBot="1" x14ac:dyDescent="0.4">
      <c r="A189" s="87"/>
      <c r="B189" s="241"/>
      <c r="C189" s="228"/>
      <c r="D189" s="229"/>
      <c r="E189" s="229"/>
      <c r="F189" s="229"/>
      <c r="G189" s="229"/>
      <c r="H189" s="229"/>
      <c r="I189" s="229"/>
      <c r="J189" s="382"/>
      <c r="K189" s="229"/>
      <c r="L189" s="229"/>
      <c r="M189" s="229"/>
      <c r="N189" s="229"/>
      <c r="O189" s="229"/>
      <c r="P189" s="229"/>
      <c r="Q189" s="229"/>
      <c r="R189" s="229"/>
      <c r="S189" s="229"/>
      <c r="T189" s="229"/>
      <c r="U189" s="382"/>
      <c r="V189" s="229"/>
      <c r="W189" s="229"/>
      <c r="X189" s="382"/>
      <c r="Y189" s="229"/>
      <c r="Z189" s="380"/>
      <c r="AA189" s="229"/>
      <c r="AB189" s="229"/>
      <c r="AC189" s="229"/>
      <c r="AD189" s="229"/>
      <c r="AE189" s="229"/>
      <c r="AF189" s="230"/>
      <c r="AG189" s="87"/>
    </row>
    <row r="190" spans="1:33" ht="29" customHeight="1" x14ac:dyDescent="0.35">
      <c r="A190" s="553">
        <f>A178+1</f>
        <v>16</v>
      </c>
      <c r="B190" s="295">
        <f>B178+10</f>
        <v>161</v>
      </c>
      <c r="C190" s="619" t="str">
        <f>VLOOKUP(A190,INputs!$G$3:$O$22,7,FALSE)</f>
        <v>Please fill out Sensitivity Labels Tab</v>
      </c>
      <c r="D190" s="47"/>
      <c r="E190" s="47"/>
      <c r="F190" s="573" t="s">
        <v>108</v>
      </c>
      <c r="G190" s="573"/>
      <c r="H190" s="573" t="s">
        <v>108</v>
      </c>
      <c r="I190" s="573"/>
      <c r="J190" s="575" t="str">
        <f>J$10</f>
        <v>Select a check box</v>
      </c>
      <c r="K190" s="575"/>
      <c r="L190" s="575" t="s">
        <v>108</v>
      </c>
      <c r="M190" s="575"/>
      <c r="N190" s="575"/>
      <c r="O190" s="575" t="s">
        <v>108</v>
      </c>
      <c r="P190" s="575"/>
      <c r="Q190" s="575"/>
      <c r="R190" s="577" t="s">
        <v>147</v>
      </c>
      <c r="S190" s="577"/>
      <c r="T190" s="407" t="s">
        <v>107</v>
      </c>
      <c r="U190" s="551" t="s">
        <v>148</v>
      </c>
      <c r="V190" s="551"/>
      <c r="W190" s="50"/>
      <c r="X190" s="401"/>
      <c r="Y190" s="574" t="s">
        <v>108</v>
      </c>
      <c r="Z190" s="574"/>
      <c r="AA190" s="51"/>
      <c r="AB190" s="573"/>
      <c r="AC190" s="573"/>
      <c r="AD190" s="48"/>
      <c r="AE190" s="49" t="s">
        <v>361</v>
      </c>
      <c r="AF190" s="52"/>
      <c r="AG190" s="20"/>
    </row>
    <row r="191" spans="1:33" x14ac:dyDescent="0.35">
      <c r="A191" s="554"/>
      <c r="B191" s="295">
        <f>B190+1</f>
        <v>162</v>
      </c>
      <c r="C191" s="620"/>
      <c r="D191" s="8"/>
      <c r="E191" s="8"/>
      <c r="F191" s="217"/>
      <c r="G191" s="217"/>
      <c r="H191" s="217"/>
      <c r="I191" s="217"/>
      <c r="J191" s="386"/>
      <c r="K191" s="386"/>
      <c r="L191" s="386"/>
      <c r="M191" s="386"/>
      <c r="N191" s="386"/>
      <c r="O191" s="386"/>
      <c r="P191" s="386"/>
      <c r="Q191" s="386"/>
      <c r="R191" s="550"/>
      <c r="S191" s="550"/>
      <c r="T191" s="550"/>
      <c r="U191" s="406"/>
      <c r="V191" s="400" t="s">
        <v>109</v>
      </c>
      <c r="W191" s="225"/>
      <c r="X191" s="403"/>
      <c r="Y191" s="405"/>
      <c r="Z191" s="405"/>
      <c r="AA191" s="20"/>
      <c r="AB191" s="217"/>
      <c r="AC191" s="217" t="s">
        <v>108</v>
      </c>
      <c r="AD191" s="217"/>
      <c r="AE191" s="386"/>
      <c r="AF191" s="54"/>
      <c r="AG191" s="20"/>
    </row>
    <row r="192" spans="1:33" ht="30.5" x14ac:dyDescent="0.35">
      <c r="A192" s="554"/>
      <c r="B192" s="295">
        <f t="shared" ref="B192:B198" si="15">B191+1</f>
        <v>163</v>
      </c>
      <c r="C192" s="620"/>
      <c r="E192" s="209" t="b">
        <v>0</v>
      </c>
      <c r="F192" s="3" t="s">
        <v>333</v>
      </c>
      <c r="H192" s="209" t="b">
        <v>0</v>
      </c>
      <c r="I192" s="219" t="s">
        <v>150</v>
      </c>
      <c r="J192" s="210" t="b">
        <v>0</v>
      </c>
      <c r="K192" s="211" t="s">
        <v>151</v>
      </c>
      <c r="L192" s="212" t="b">
        <v>0</v>
      </c>
      <c r="M192" s="9" t="s">
        <v>152</v>
      </c>
      <c r="N192" s="222"/>
      <c r="O192" s="212" t="b">
        <v>0</v>
      </c>
      <c r="P192" s="9" t="s">
        <v>153</v>
      </c>
      <c r="Q192" s="9"/>
      <c r="R192" s="550"/>
      <c r="S192" s="550"/>
      <c r="T192" s="550"/>
      <c r="U192" s="550"/>
      <c r="V192" s="550"/>
      <c r="W192" s="225"/>
      <c r="X192" s="213" t="b">
        <v>0</v>
      </c>
      <c r="Y192" s="214" t="s">
        <v>154</v>
      </c>
      <c r="Z192" s="381"/>
      <c r="AA192" s="15"/>
      <c r="AB192" s="215" t="b">
        <v>0</v>
      </c>
      <c r="AC192" s="15" t="s">
        <v>155</v>
      </c>
      <c r="AD192" s="15"/>
      <c r="AE192" s="15"/>
      <c r="AF192" s="53"/>
      <c r="AG192" s="15"/>
    </row>
    <row r="193" spans="1:33" ht="35" customHeight="1" x14ac:dyDescent="0.35">
      <c r="A193" s="554"/>
      <c r="B193" s="295">
        <f t="shared" si="15"/>
        <v>164</v>
      </c>
      <c r="C193" s="620"/>
      <c r="E193" s="209" t="b">
        <v>0</v>
      </c>
      <c r="F193" s="205" t="s">
        <v>332</v>
      </c>
      <c r="H193" s="15"/>
      <c r="I193" s="219"/>
      <c r="J193" s="213" t="b">
        <v>0</v>
      </c>
      <c r="K193" s="576" t="s">
        <v>157</v>
      </c>
      <c r="L193" s="213" t="b">
        <v>0</v>
      </c>
      <c r="M193" s="214" t="s">
        <v>158</v>
      </c>
      <c r="N193" s="397">
        <v>44197</v>
      </c>
      <c r="O193" s="213" t="b">
        <v>0</v>
      </c>
      <c r="P193" s="214" t="s">
        <v>152</v>
      </c>
      <c r="Q193" s="214"/>
      <c r="R193" s="212" t="b">
        <v>0</v>
      </c>
      <c r="S193" s="9" t="s">
        <v>366</v>
      </c>
      <c r="T193" s="9" t="s">
        <v>107</v>
      </c>
      <c r="U193" s="213" t="b">
        <v>0</v>
      </c>
      <c r="V193" s="400" t="s">
        <v>164</v>
      </c>
      <c r="W193" s="224"/>
      <c r="X193" s="213" t="b">
        <v>0</v>
      </c>
      <c r="Y193" s="214" t="s">
        <v>159</v>
      </c>
      <c r="Z193" s="381"/>
      <c r="AA193" s="15"/>
      <c r="AB193" s="226"/>
      <c r="AC193" s="217" t="s">
        <v>109</v>
      </c>
      <c r="AD193" s="218"/>
      <c r="AE193" s="386" t="s">
        <v>362</v>
      </c>
      <c r="AF193" s="54"/>
      <c r="AG193" s="15"/>
    </row>
    <row r="194" spans="1:33" ht="14.5" customHeight="1" x14ac:dyDescent="0.35">
      <c r="A194" s="554"/>
      <c r="B194" s="295">
        <f t="shared" si="15"/>
        <v>165</v>
      </c>
      <c r="C194" s="620"/>
      <c r="E194" s="209" t="b">
        <v>0</v>
      </c>
      <c r="F194" s="578" t="s">
        <v>169</v>
      </c>
      <c r="H194" s="209" t="b">
        <v>0</v>
      </c>
      <c r="I194" s="219" t="s">
        <v>161</v>
      </c>
      <c r="J194" s="214"/>
      <c r="K194" s="576"/>
      <c r="L194" s="212" t="b">
        <v>0</v>
      </c>
      <c r="M194" s="44" t="s">
        <v>162</v>
      </c>
      <c r="N194" s="220">
        <v>6</v>
      </c>
      <c r="O194" s="212" t="b">
        <v>0</v>
      </c>
      <c r="P194" s="9" t="s">
        <v>162</v>
      </c>
      <c r="Q194" s="220">
        <v>0</v>
      </c>
      <c r="R194" s="550"/>
      <c r="S194" s="550"/>
      <c r="T194" s="550"/>
      <c r="U194" s="552" t="s">
        <v>108</v>
      </c>
      <c r="V194" s="552"/>
      <c r="W194" s="552"/>
      <c r="X194" s="213" t="b">
        <v>0</v>
      </c>
      <c r="Y194" s="9" t="s">
        <v>331</v>
      </c>
      <c r="Z194" s="550"/>
      <c r="AA194" s="15"/>
      <c r="AB194" s="226"/>
      <c r="AC194" s="22"/>
      <c r="AD194" s="15"/>
      <c r="AE194" s="623"/>
      <c r="AF194" s="53"/>
      <c r="AG194" s="15"/>
    </row>
    <row r="195" spans="1:33" x14ac:dyDescent="0.35">
      <c r="A195" s="554"/>
      <c r="B195" s="295">
        <f t="shared" si="15"/>
        <v>166</v>
      </c>
      <c r="C195" s="620"/>
      <c r="F195" s="578"/>
      <c r="H195" s="15"/>
      <c r="I195" s="15"/>
      <c r="J195" s="214"/>
      <c r="K195" s="9"/>
      <c r="L195" s="15"/>
      <c r="M195" s="15"/>
      <c r="N195" s="227"/>
      <c r="O195" s="9"/>
      <c r="P195" s="9"/>
      <c r="Q195" s="9"/>
      <c r="R195" s="550"/>
      <c r="S195" s="550"/>
      <c r="T195" s="550"/>
      <c r="U195" s="213" t="b">
        <v>0</v>
      </c>
      <c r="V195" s="214" t="s">
        <v>165</v>
      </c>
      <c r="W195" s="225"/>
      <c r="Y195" s="15"/>
      <c r="Z195" s="550"/>
      <c r="AA195" s="15"/>
      <c r="AB195" s="15"/>
      <c r="AC195" s="15"/>
      <c r="AD195" s="15"/>
      <c r="AE195" s="623"/>
      <c r="AF195" s="53"/>
      <c r="AG195" s="15"/>
    </row>
    <row r="196" spans="1:33" ht="30" customHeight="1" x14ac:dyDescent="0.35">
      <c r="A196" s="554"/>
      <c r="B196" s="295">
        <f t="shared" si="15"/>
        <v>167</v>
      </c>
      <c r="C196" s="620"/>
      <c r="E196"/>
      <c r="H196" s="15"/>
      <c r="I196" s="15"/>
      <c r="J196" s="383"/>
      <c r="K196" s="222"/>
      <c r="L196" s="222"/>
      <c r="M196" s="222"/>
      <c r="N196" s="222"/>
      <c r="O196" s="9"/>
      <c r="P196" s="9"/>
      <c r="Q196" s="9"/>
      <c r="R196" s="212" t="b">
        <v>0</v>
      </c>
      <c r="S196" s="9" t="s">
        <v>367</v>
      </c>
      <c r="T196" s="9" t="s">
        <v>107</v>
      </c>
      <c r="U196" s="550"/>
      <c r="V196" s="550"/>
      <c r="Y196" s="15"/>
      <c r="Z196" s="378"/>
      <c r="AA196" s="15"/>
      <c r="AB196" s="15"/>
      <c r="AC196" s="15"/>
      <c r="AD196" s="15"/>
      <c r="AE196" s="15"/>
      <c r="AF196" s="53"/>
      <c r="AG196" s="15"/>
    </row>
    <row r="197" spans="1:33" x14ac:dyDescent="0.35">
      <c r="A197" s="554"/>
      <c r="B197" s="295">
        <f t="shared" si="15"/>
        <v>168</v>
      </c>
      <c r="C197" s="620"/>
      <c r="E197"/>
      <c r="H197" s="221"/>
      <c r="I197" s="15"/>
      <c r="J197" s="383"/>
      <c r="K197" s="222"/>
      <c r="L197" s="222"/>
      <c r="M197" s="222"/>
      <c r="N197" s="222"/>
      <c r="O197" s="9"/>
      <c r="P197" s="9"/>
      <c r="Q197" s="9"/>
      <c r="R197" s="550"/>
      <c r="S197" s="550"/>
      <c r="T197" s="550"/>
      <c r="U197" s="213" t="b">
        <v>0</v>
      </c>
      <c r="V197" s="9" t="s">
        <v>166</v>
      </c>
      <c r="W197" s="9"/>
      <c r="Y197" s="15"/>
      <c r="Z197" s="378"/>
      <c r="AA197" s="15"/>
      <c r="AB197" s="15"/>
      <c r="AC197" s="15"/>
      <c r="AD197" s="15"/>
      <c r="AE197" s="15"/>
      <c r="AF197" s="53"/>
      <c r="AG197" s="15"/>
    </row>
    <row r="198" spans="1:33" ht="30" customHeight="1" thickBot="1" x14ac:dyDescent="0.4">
      <c r="A198" s="555"/>
      <c r="B198" s="295">
        <f t="shared" si="15"/>
        <v>169</v>
      </c>
      <c r="C198" s="621"/>
      <c r="D198" s="55"/>
      <c r="E198" s="55"/>
      <c r="F198" s="55"/>
      <c r="G198" s="55"/>
      <c r="H198" s="56"/>
      <c r="I198" s="56"/>
      <c r="J198" s="384"/>
      <c r="K198" s="57"/>
      <c r="L198" s="57"/>
      <c r="M198" s="57"/>
      <c r="N198" s="57"/>
      <c r="O198" s="58"/>
      <c r="P198" s="58"/>
      <c r="Q198" s="58"/>
      <c r="R198" s="550"/>
      <c r="S198" s="550"/>
      <c r="T198" s="550"/>
      <c r="U198" s="550"/>
      <c r="V198" s="550"/>
      <c r="W198" s="58"/>
      <c r="X198" s="402"/>
      <c r="Y198" s="56"/>
      <c r="Z198" s="379"/>
      <c r="AA198" s="56"/>
      <c r="AB198" s="56"/>
      <c r="AC198" s="56"/>
      <c r="AD198" s="56"/>
      <c r="AE198" s="56"/>
      <c r="AF198" s="59"/>
      <c r="AG198" s="15"/>
    </row>
    <row r="199" spans="1:33" ht="15" hidden="1" customHeight="1" thickBot="1" x14ac:dyDescent="0.4">
      <c r="A199" s="87"/>
      <c r="B199" s="241"/>
      <c r="C199" s="392"/>
      <c r="D199" s="393"/>
      <c r="E199" s="393"/>
      <c r="F199" s="393"/>
      <c r="G199" s="393"/>
      <c r="H199" s="393"/>
      <c r="I199" s="393"/>
      <c r="J199" s="394"/>
      <c r="K199" s="393"/>
      <c r="L199" s="393"/>
      <c r="M199" s="393"/>
      <c r="N199" s="393"/>
      <c r="O199" s="393"/>
      <c r="P199" s="393"/>
      <c r="Q199" s="393"/>
      <c r="R199" s="393"/>
      <c r="S199" s="393"/>
      <c r="T199" s="393"/>
      <c r="U199" s="394"/>
      <c r="V199" s="393"/>
      <c r="W199" s="393"/>
      <c r="X199" s="394"/>
      <c r="Y199" s="393"/>
      <c r="Z199" s="395"/>
      <c r="AA199" s="393"/>
      <c r="AB199" s="393"/>
      <c r="AC199" s="393"/>
      <c r="AD199" s="393"/>
      <c r="AE199" s="393"/>
      <c r="AF199" s="396"/>
      <c r="AG199" s="87"/>
    </row>
    <row r="200" spans="1:33" ht="5" customHeight="1" thickBot="1" x14ac:dyDescent="0.4">
      <c r="A200" s="87"/>
      <c r="B200" s="241"/>
      <c r="C200" s="391"/>
      <c r="D200" s="238"/>
      <c r="E200" s="238"/>
      <c r="F200" s="238"/>
      <c r="G200" s="238"/>
      <c r="H200" s="238"/>
      <c r="I200" s="238"/>
      <c r="J200" s="389"/>
      <c r="K200" s="238"/>
      <c r="L200" s="238"/>
      <c r="M200" s="238"/>
      <c r="N200" s="238"/>
      <c r="O200" s="238"/>
      <c r="P200" s="238"/>
      <c r="Q200" s="238"/>
      <c r="R200" s="238"/>
      <c r="S200" s="238"/>
      <c r="T200" s="238"/>
      <c r="U200" s="389"/>
      <c r="V200" s="238"/>
      <c r="W200" s="238"/>
      <c r="X200" s="389"/>
      <c r="Y200" s="238"/>
      <c r="Z200" s="390"/>
      <c r="AA200" s="238"/>
      <c r="AB200" s="238"/>
      <c r="AC200" s="238"/>
      <c r="AD200" s="238"/>
      <c r="AE200" s="238"/>
      <c r="AF200" s="311"/>
      <c r="AG200" s="87"/>
    </row>
    <row r="201" spans="1:33" ht="15" hidden="1" customHeight="1" thickBot="1" x14ac:dyDescent="0.4">
      <c r="A201" s="87"/>
      <c r="B201" s="241"/>
      <c r="C201" s="228"/>
      <c r="D201" s="229"/>
      <c r="E201" s="229"/>
      <c r="F201" s="229"/>
      <c r="G201" s="229"/>
      <c r="H201" s="229"/>
      <c r="I201" s="229"/>
      <c r="J201" s="382"/>
      <c r="K201" s="229"/>
      <c r="L201" s="229"/>
      <c r="M201" s="229"/>
      <c r="N201" s="229"/>
      <c r="O201" s="229"/>
      <c r="P201" s="229"/>
      <c r="Q201" s="229"/>
      <c r="R201" s="229"/>
      <c r="S201" s="229"/>
      <c r="T201" s="229"/>
      <c r="U201" s="382"/>
      <c r="V201" s="229"/>
      <c r="W201" s="229"/>
      <c r="X201" s="382"/>
      <c r="Y201" s="229"/>
      <c r="Z201" s="380"/>
      <c r="AA201" s="229"/>
      <c r="AB201" s="229"/>
      <c r="AC201" s="229"/>
      <c r="AD201" s="229"/>
      <c r="AE201" s="229"/>
      <c r="AF201" s="230"/>
      <c r="AG201" s="87"/>
    </row>
    <row r="202" spans="1:33" ht="29" customHeight="1" x14ac:dyDescent="0.35">
      <c r="A202" s="553">
        <f>A190+1</f>
        <v>17</v>
      </c>
      <c r="B202" s="295">
        <f>B190+10</f>
        <v>171</v>
      </c>
      <c r="C202" s="619" t="str">
        <f>VLOOKUP(A202,INputs!$G$3:$O$22,7,FALSE)</f>
        <v>Please fill out Sensitivity Labels Tab</v>
      </c>
      <c r="D202" s="47"/>
      <c r="E202" s="47"/>
      <c r="F202" s="573" t="s">
        <v>108</v>
      </c>
      <c r="G202" s="573"/>
      <c r="H202" s="573" t="s">
        <v>108</v>
      </c>
      <c r="I202" s="573"/>
      <c r="J202" s="575" t="str">
        <f>J$10</f>
        <v>Select a check box</v>
      </c>
      <c r="K202" s="575"/>
      <c r="L202" s="575" t="s">
        <v>108</v>
      </c>
      <c r="M202" s="575"/>
      <c r="N202" s="575"/>
      <c r="O202" s="575" t="s">
        <v>108</v>
      </c>
      <c r="P202" s="575"/>
      <c r="Q202" s="575"/>
      <c r="R202" s="577" t="s">
        <v>147</v>
      </c>
      <c r="S202" s="577"/>
      <c r="T202" s="407" t="s">
        <v>107</v>
      </c>
      <c r="U202" s="551" t="s">
        <v>148</v>
      </c>
      <c r="V202" s="551"/>
      <c r="W202" s="50"/>
      <c r="X202" s="401"/>
      <c r="Y202" s="574" t="s">
        <v>108</v>
      </c>
      <c r="Z202" s="574"/>
      <c r="AA202" s="51"/>
      <c r="AB202" s="573"/>
      <c r="AC202" s="573"/>
      <c r="AD202" s="48"/>
      <c r="AE202" s="49" t="s">
        <v>361</v>
      </c>
      <c r="AF202" s="52"/>
      <c r="AG202" s="20"/>
    </row>
    <row r="203" spans="1:33" x14ac:dyDescent="0.35">
      <c r="A203" s="554"/>
      <c r="B203" s="295">
        <f>B202+1</f>
        <v>172</v>
      </c>
      <c r="C203" s="620"/>
      <c r="D203" s="8"/>
      <c r="E203" s="8"/>
      <c r="F203" s="217"/>
      <c r="G203" s="217"/>
      <c r="H203" s="217"/>
      <c r="I203" s="217"/>
      <c r="J203" s="386"/>
      <c r="K203" s="386"/>
      <c r="L203" s="386"/>
      <c r="M203" s="386"/>
      <c r="N203" s="386"/>
      <c r="O203" s="386"/>
      <c r="P203" s="386"/>
      <c r="Q203" s="386"/>
      <c r="R203" s="550"/>
      <c r="S203" s="550"/>
      <c r="T203" s="550"/>
      <c r="U203" s="406"/>
      <c r="V203" s="400" t="s">
        <v>109</v>
      </c>
      <c r="W203" s="225"/>
      <c r="X203" s="403"/>
      <c r="Y203" s="405"/>
      <c r="Z203" s="405"/>
      <c r="AA203" s="20"/>
      <c r="AB203" s="217"/>
      <c r="AC203" s="217" t="s">
        <v>108</v>
      </c>
      <c r="AD203" s="217"/>
      <c r="AE203" s="386"/>
      <c r="AF203" s="54"/>
      <c r="AG203" s="20"/>
    </row>
    <row r="204" spans="1:33" ht="30.5" x14ac:dyDescent="0.35">
      <c r="A204" s="554"/>
      <c r="B204" s="295">
        <f t="shared" ref="B204:B210" si="16">B203+1</f>
        <v>173</v>
      </c>
      <c r="C204" s="620"/>
      <c r="E204" s="209" t="b">
        <v>0</v>
      </c>
      <c r="F204" s="3" t="s">
        <v>333</v>
      </c>
      <c r="H204" s="209" t="b">
        <v>0</v>
      </c>
      <c r="I204" s="219" t="s">
        <v>150</v>
      </c>
      <c r="J204" s="210" t="b">
        <v>0</v>
      </c>
      <c r="K204" s="211" t="s">
        <v>151</v>
      </c>
      <c r="L204" s="212" t="b">
        <v>0</v>
      </c>
      <c r="M204" s="9" t="s">
        <v>152</v>
      </c>
      <c r="N204" s="222"/>
      <c r="O204" s="212" t="b">
        <v>0</v>
      </c>
      <c r="P204" s="9" t="s">
        <v>153</v>
      </c>
      <c r="Q204" s="9"/>
      <c r="R204" s="550"/>
      <c r="S204" s="550"/>
      <c r="T204" s="550"/>
      <c r="U204" s="550"/>
      <c r="V204" s="550"/>
      <c r="W204" s="225"/>
      <c r="X204" s="213" t="b">
        <v>0</v>
      </c>
      <c r="Y204" s="214" t="s">
        <v>154</v>
      </c>
      <c r="Z204" s="381"/>
      <c r="AA204" s="15"/>
      <c r="AB204" s="215" t="b">
        <v>0</v>
      </c>
      <c r="AC204" s="15" t="s">
        <v>155</v>
      </c>
      <c r="AD204" s="15"/>
      <c r="AE204" s="15"/>
      <c r="AF204" s="53"/>
      <c r="AG204" s="15"/>
    </row>
    <row r="205" spans="1:33" ht="35" customHeight="1" x14ac:dyDescent="0.35">
      <c r="A205" s="554"/>
      <c r="B205" s="295">
        <f t="shared" si="16"/>
        <v>174</v>
      </c>
      <c r="C205" s="620"/>
      <c r="E205" s="209" t="b">
        <v>0</v>
      </c>
      <c r="F205" s="205" t="s">
        <v>332</v>
      </c>
      <c r="H205" s="15"/>
      <c r="I205" s="219"/>
      <c r="J205" s="213" t="b">
        <v>0</v>
      </c>
      <c r="K205" s="576" t="s">
        <v>157</v>
      </c>
      <c r="L205" s="213" t="b">
        <v>0</v>
      </c>
      <c r="M205" s="214" t="s">
        <v>158</v>
      </c>
      <c r="N205" s="397">
        <v>44197</v>
      </c>
      <c r="O205" s="213" t="b">
        <v>0</v>
      </c>
      <c r="P205" s="214" t="s">
        <v>152</v>
      </c>
      <c r="Q205" s="214"/>
      <c r="R205" s="212" t="b">
        <v>0</v>
      </c>
      <c r="S205" s="9" t="s">
        <v>366</v>
      </c>
      <c r="T205" s="9" t="s">
        <v>107</v>
      </c>
      <c r="U205" s="213" t="b">
        <v>0</v>
      </c>
      <c r="V205" s="400" t="s">
        <v>164</v>
      </c>
      <c r="W205" s="224"/>
      <c r="X205" s="213" t="b">
        <v>0</v>
      </c>
      <c r="Y205" s="214" t="s">
        <v>159</v>
      </c>
      <c r="Z205" s="381"/>
      <c r="AA205" s="15"/>
      <c r="AB205" s="226"/>
      <c r="AC205" s="217" t="s">
        <v>109</v>
      </c>
      <c r="AD205" s="218"/>
      <c r="AE205" s="386" t="s">
        <v>362</v>
      </c>
      <c r="AF205" s="54"/>
      <c r="AG205" s="15"/>
    </row>
    <row r="206" spans="1:33" ht="14.5" customHeight="1" x14ac:dyDescent="0.35">
      <c r="A206" s="554"/>
      <c r="B206" s="295">
        <f t="shared" si="16"/>
        <v>175</v>
      </c>
      <c r="C206" s="620"/>
      <c r="E206" s="209" t="b">
        <v>0</v>
      </c>
      <c r="F206" s="578" t="s">
        <v>169</v>
      </c>
      <c r="H206" s="209" t="b">
        <v>0</v>
      </c>
      <c r="I206" s="219" t="s">
        <v>161</v>
      </c>
      <c r="J206" s="214"/>
      <c r="K206" s="576"/>
      <c r="L206" s="212" t="b">
        <v>0</v>
      </c>
      <c r="M206" s="44" t="s">
        <v>162</v>
      </c>
      <c r="N206" s="220">
        <v>6</v>
      </c>
      <c r="O206" s="212" t="b">
        <v>0</v>
      </c>
      <c r="P206" s="9" t="s">
        <v>162</v>
      </c>
      <c r="Q206" s="220">
        <v>0</v>
      </c>
      <c r="R206" s="550"/>
      <c r="S206" s="550"/>
      <c r="T206" s="550"/>
      <c r="U206" s="552" t="s">
        <v>108</v>
      </c>
      <c r="V206" s="552"/>
      <c r="W206" s="552"/>
      <c r="X206" s="213" t="b">
        <v>0</v>
      </c>
      <c r="Y206" s="9" t="s">
        <v>331</v>
      </c>
      <c r="Z206" s="550"/>
      <c r="AA206" s="15"/>
      <c r="AB206" s="226"/>
      <c r="AC206" s="22"/>
      <c r="AD206" s="15"/>
      <c r="AE206" s="623"/>
      <c r="AF206" s="53"/>
      <c r="AG206" s="15"/>
    </row>
    <row r="207" spans="1:33" x14ac:dyDescent="0.35">
      <c r="A207" s="554"/>
      <c r="B207" s="295">
        <f t="shared" si="16"/>
        <v>176</v>
      </c>
      <c r="C207" s="620"/>
      <c r="F207" s="578"/>
      <c r="H207" s="15"/>
      <c r="I207" s="15"/>
      <c r="J207" s="214"/>
      <c r="K207" s="9"/>
      <c r="L207" s="15"/>
      <c r="M207" s="15"/>
      <c r="N207" s="227"/>
      <c r="O207" s="9"/>
      <c r="P207" s="9"/>
      <c r="Q207" s="9"/>
      <c r="R207" s="550"/>
      <c r="S207" s="550"/>
      <c r="T207" s="550"/>
      <c r="U207" s="213" t="b">
        <v>0</v>
      </c>
      <c r="V207" s="214" t="s">
        <v>165</v>
      </c>
      <c r="W207" s="225"/>
      <c r="Y207" s="15"/>
      <c r="Z207" s="550"/>
      <c r="AA207" s="15"/>
      <c r="AB207" s="15"/>
      <c r="AC207" s="15"/>
      <c r="AD207" s="15"/>
      <c r="AE207" s="623"/>
      <c r="AF207" s="53"/>
      <c r="AG207" s="15"/>
    </row>
    <row r="208" spans="1:33" ht="30" customHeight="1" x14ac:dyDescent="0.35">
      <c r="A208" s="554"/>
      <c r="B208" s="295">
        <f t="shared" si="16"/>
        <v>177</v>
      </c>
      <c r="C208" s="620"/>
      <c r="E208"/>
      <c r="H208" s="15"/>
      <c r="I208" s="15"/>
      <c r="J208" s="383"/>
      <c r="K208" s="222"/>
      <c r="L208" s="222"/>
      <c r="M208" s="222"/>
      <c r="N208" s="222"/>
      <c r="O208" s="9"/>
      <c r="P208" s="9"/>
      <c r="Q208" s="9"/>
      <c r="R208" s="212" t="b">
        <v>0</v>
      </c>
      <c r="S208" s="9" t="s">
        <v>367</v>
      </c>
      <c r="T208" s="9" t="s">
        <v>107</v>
      </c>
      <c r="U208" s="550"/>
      <c r="V208" s="550"/>
      <c r="Y208" s="15"/>
      <c r="Z208" s="378"/>
      <c r="AA208" s="15"/>
      <c r="AB208" s="15"/>
      <c r="AC208" s="15"/>
      <c r="AD208" s="15"/>
      <c r="AE208" s="15"/>
      <c r="AF208" s="53"/>
      <c r="AG208" s="15"/>
    </row>
    <row r="209" spans="1:33" x14ac:dyDescent="0.35">
      <c r="A209" s="554"/>
      <c r="B209" s="295">
        <f t="shared" si="16"/>
        <v>178</v>
      </c>
      <c r="C209" s="620"/>
      <c r="E209"/>
      <c r="H209" s="221"/>
      <c r="I209" s="15"/>
      <c r="J209" s="383"/>
      <c r="K209" s="222"/>
      <c r="L209" s="222"/>
      <c r="M209" s="222"/>
      <c r="N209" s="222"/>
      <c r="O209" s="9"/>
      <c r="P209" s="9"/>
      <c r="Q209" s="9"/>
      <c r="R209" s="550"/>
      <c r="S209" s="550"/>
      <c r="T209" s="550"/>
      <c r="U209" s="213" t="b">
        <v>0</v>
      </c>
      <c r="V209" s="9" t="s">
        <v>166</v>
      </c>
      <c r="W209" s="9"/>
      <c r="Y209" s="15"/>
      <c r="Z209" s="378"/>
      <c r="AA209" s="15"/>
      <c r="AB209" s="15"/>
      <c r="AC209" s="15"/>
      <c r="AD209" s="15"/>
      <c r="AE209" s="15"/>
      <c r="AF209" s="53"/>
      <c r="AG209" s="15"/>
    </row>
    <row r="210" spans="1:33" ht="30" customHeight="1" thickBot="1" x14ac:dyDescent="0.4">
      <c r="A210" s="555"/>
      <c r="B210" s="295">
        <f t="shared" si="16"/>
        <v>179</v>
      </c>
      <c r="C210" s="621"/>
      <c r="D210" s="55"/>
      <c r="E210" s="55"/>
      <c r="F210" s="55"/>
      <c r="G210" s="55"/>
      <c r="H210" s="56"/>
      <c r="I210" s="56"/>
      <c r="J210" s="384"/>
      <c r="K210" s="57"/>
      <c r="L210" s="57"/>
      <c r="M210" s="57"/>
      <c r="N210" s="57"/>
      <c r="O210" s="58"/>
      <c r="P210" s="58"/>
      <c r="Q210" s="58"/>
      <c r="R210" s="550"/>
      <c r="S210" s="550"/>
      <c r="T210" s="550"/>
      <c r="U210" s="550"/>
      <c r="V210" s="550"/>
      <c r="W210" s="58"/>
      <c r="X210" s="402"/>
      <c r="Y210" s="56"/>
      <c r="Z210" s="379"/>
      <c r="AA210" s="56"/>
      <c r="AB210" s="56"/>
      <c r="AC210" s="56"/>
      <c r="AD210" s="56"/>
      <c r="AE210" s="56"/>
      <c r="AF210" s="59"/>
      <c r="AG210" s="15"/>
    </row>
    <row r="211" spans="1:33" ht="15" hidden="1" customHeight="1" thickBot="1" x14ac:dyDescent="0.4">
      <c r="A211" s="87"/>
      <c r="B211" s="241"/>
      <c r="C211" s="392"/>
      <c r="D211" s="393"/>
      <c r="E211" s="393"/>
      <c r="F211" s="393"/>
      <c r="G211" s="393"/>
      <c r="H211" s="393"/>
      <c r="I211" s="393"/>
      <c r="J211" s="394"/>
      <c r="K211" s="393"/>
      <c r="L211" s="393"/>
      <c r="M211" s="393"/>
      <c r="N211" s="393"/>
      <c r="O211" s="393"/>
      <c r="P211" s="393"/>
      <c r="Q211" s="393"/>
      <c r="R211" s="393"/>
      <c r="S211" s="393"/>
      <c r="T211" s="393"/>
      <c r="U211" s="394"/>
      <c r="V211" s="393"/>
      <c r="W211" s="393"/>
      <c r="X211" s="394"/>
      <c r="Y211" s="393"/>
      <c r="Z211" s="395"/>
      <c r="AA211" s="393"/>
      <c r="AB211" s="393"/>
      <c r="AC211" s="393"/>
      <c r="AD211" s="393"/>
      <c r="AE211" s="393"/>
      <c r="AF211" s="396"/>
      <c r="AG211" s="15"/>
    </row>
    <row r="212" spans="1:33" ht="5" customHeight="1" thickBot="1" x14ac:dyDescent="0.4">
      <c r="A212" s="87"/>
      <c r="B212" s="241"/>
      <c r="C212" s="391"/>
      <c r="D212" s="238"/>
      <c r="E212" s="238"/>
      <c r="F212" s="238"/>
      <c r="G212" s="238"/>
      <c r="H212" s="238"/>
      <c r="I212" s="238"/>
      <c r="J212" s="389"/>
      <c r="K212" s="238"/>
      <c r="L212" s="238"/>
      <c r="M212" s="238"/>
      <c r="N212" s="238"/>
      <c r="O212" s="238"/>
      <c r="P212" s="238"/>
      <c r="Q212" s="238"/>
      <c r="R212" s="238"/>
      <c r="S212" s="238"/>
      <c r="T212" s="238"/>
      <c r="U212" s="389"/>
      <c r="V212" s="238"/>
      <c r="W212" s="238"/>
      <c r="X212" s="389"/>
      <c r="Y212" s="238"/>
      <c r="Z212" s="390"/>
      <c r="AA212" s="238"/>
      <c r="AB212" s="238"/>
      <c r="AC212" s="238"/>
      <c r="AD212" s="238"/>
      <c r="AE212" s="238"/>
      <c r="AF212" s="311"/>
      <c r="AG212" s="87"/>
    </row>
    <row r="213" spans="1:33" ht="15" hidden="1" customHeight="1" thickBot="1" x14ac:dyDescent="0.4">
      <c r="A213" s="87"/>
      <c r="B213" s="241"/>
      <c r="C213" s="391"/>
      <c r="D213" s="238"/>
      <c r="E213" s="238"/>
      <c r="F213" s="238"/>
      <c r="G213" s="238"/>
      <c r="H213" s="238"/>
      <c r="I213" s="238"/>
      <c r="J213" s="389"/>
      <c r="K213" s="238"/>
      <c r="L213" s="238"/>
      <c r="M213" s="238"/>
      <c r="N213" s="238"/>
      <c r="O213" s="238"/>
      <c r="P213" s="238"/>
      <c r="Q213" s="238"/>
      <c r="R213" s="238"/>
      <c r="S213" s="238"/>
      <c r="T213" s="238"/>
      <c r="U213" s="389"/>
      <c r="V213" s="238"/>
      <c r="W213" s="238"/>
      <c r="X213" s="389"/>
      <c r="Y213" s="238"/>
      <c r="Z213" s="390"/>
      <c r="AA213" s="238"/>
      <c r="AB213" s="238"/>
      <c r="AC213" s="238"/>
      <c r="AD213" s="238"/>
      <c r="AE213" s="238"/>
      <c r="AF213" s="311"/>
      <c r="AG213"/>
    </row>
    <row r="214" spans="1:33" ht="29" customHeight="1" x14ac:dyDescent="0.35">
      <c r="A214" s="553">
        <f>A202+1</f>
        <v>18</v>
      </c>
      <c r="B214" s="295">
        <f>B202+10</f>
        <v>181</v>
      </c>
      <c r="C214" s="619" t="str">
        <f>VLOOKUP(A214,INputs!$G$3:$O$22,7,FALSE)</f>
        <v>Please fill out Sensitivity Labels Tab</v>
      </c>
      <c r="D214" s="47"/>
      <c r="E214" s="47"/>
      <c r="F214" s="573" t="s">
        <v>108</v>
      </c>
      <c r="G214" s="573"/>
      <c r="H214" s="573" t="s">
        <v>108</v>
      </c>
      <c r="I214" s="573"/>
      <c r="J214" s="575" t="str">
        <f>J$10</f>
        <v>Select a check box</v>
      </c>
      <c r="K214" s="575"/>
      <c r="L214" s="575" t="s">
        <v>108</v>
      </c>
      <c r="M214" s="575"/>
      <c r="N214" s="575"/>
      <c r="O214" s="575" t="s">
        <v>108</v>
      </c>
      <c r="P214" s="575"/>
      <c r="Q214" s="575"/>
      <c r="R214" s="577" t="s">
        <v>147</v>
      </c>
      <c r="S214" s="577"/>
      <c r="T214" s="407" t="s">
        <v>107</v>
      </c>
      <c r="U214" s="551" t="s">
        <v>148</v>
      </c>
      <c r="V214" s="551"/>
      <c r="W214" s="50"/>
      <c r="X214" s="401"/>
      <c r="Y214" s="574" t="s">
        <v>108</v>
      </c>
      <c r="Z214" s="574"/>
      <c r="AA214" s="51"/>
      <c r="AB214" s="573"/>
      <c r="AC214" s="573"/>
      <c r="AD214" s="48"/>
      <c r="AE214" s="49" t="s">
        <v>361</v>
      </c>
      <c r="AF214" s="52"/>
      <c r="AG214" s="20"/>
    </row>
    <row r="215" spans="1:33" x14ac:dyDescent="0.35">
      <c r="A215" s="554"/>
      <c r="B215" s="295">
        <f>B214+1</f>
        <v>182</v>
      </c>
      <c r="C215" s="620"/>
      <c r="D215" s="8"/>
      <c r="E215" s="8"/>
      <c r="F215" s="217"/>
      <c r="G215" s="217"/>
      <c r="H215" s="217"/>
      <c r="I215" s="217"/>
      <c r="J215" s="386"/>
      <c r="K215" s="386"/>
      <c r="L215" s="386"/>
      <c r="M215" s="386"/>
      <c r="N215" s="386"/>
      <c r="O215" s="386"/>
      <c r="P215" s="386"/>
      <c r="Q215" s="386"/>
      <c r="R215" s="550"/>
      <c r="S215" s="550"/>
      <c r="T215" s="550"/>
      <c r="U215" s="406"/>
      <c r="V215" s="400" t="s">
        <v>109</v>
      </c>
      <c r="W215" s="225"/>
      <c r="X215" s="403"/>
      <c r="Y215" s="405"/>
      <c r="Z215" s="405"/>
      <c r="AA215" s="20"/>
      <c r="AB215" s="217"/>
      <c r="AC215" s="217" t="s">
        <v>108</v>
      </c>
      <c r="AD215" s="217"/>
      <c r="AE215" s="386"/>
      <c r="AF215" s="54"/>
      <c r="AG215" s="20"/>
    </row>
    <row r="216" spans="1:33" ht="30.5" x14ac:dyDescent="0.35">
      <c r="A216" s="554"/>
      <c r="B216" s="295">
        <f t="shared" ref="B216:B222" si="17">B215+1</f>
        <v>183</v>
      </c>
      <c r="C216" s="620"/>
      <c r="E216" s="209" t="b">
        <v>0</v>
      </c>
      <c r="F216" s="3" t="s">
        <v>333</v>
      </c>
      <c r="H216" s="209" t="b">
        <v>0</v>
      </c>
      <c r="I216" s="219" t="s">
        <v>150</v>
      </c>
      <c r="J216" s="210" t="b">
        <v>0</v>
      </c>
      <c r="K216" s="211" t="s">
        <v>151</v>
      </c>
      <c r="L216" s="212" t="b">
        <v>0</v>
      </c>
      <c r="M216" s="9" t="s">
        <v>152</v>
      </c>
      <c r="N216" s="222"/>
      <c r="O216" s="212" t="b">
        <v>0</v>
      </c>
      <c r="P216" s="9" t="s">
        <v>153</v>
      </c>
      <c r="Q216" s="9"/>
      <c r="R216" s="550"/>
      <c r="S216" s="550"/>
      <c r="T216" s="550"/>
      <c r="U216" s="550"/>
      <c r="V216" s="550"/>
      <c r="W216" s="225"/>
      <c r="X216" s="213" t="b">
        <v>0</v>
      </c>
      <c r="Y216" s="214" t="s">
        <v>154</v>
      </c>
      <c r="Z216" s="381"/>
      <c r="AA216" s="15"/>
      <c r="AB216" s="215" t="b">
        <v>0</v>
      </c>
      <c r="AC216" s="15" t="s">
        <v>155</v>
      </c>
      <c r="AD216" s="15"/>
      <c r="AE216" s="15"/>
      <c r="AF216" s="53"/>
      <c r="AG216" s="15"/>
    </row>
    <row r="217" spans="1:33" ht="35" customHeight="1" x14ac:dyDescent="0.35">
      <c r="A217" s="554"/>
      <c r="B217" s="295">
        <f t="shared" si="17"/>
        <v>184</v>
      </c>
      <c r="C217" s="620"/>
      <c r="E217" s="209" t="b">
        <v>0</v>
      </c>
      <c r="F217" s="205" t="s">
        <v>332</v>
      </c>
      <c r="H217" s="15"/>
      <c r="I217" s="219"/>
      <c r="J217" s="213" t="b">
        <v>0</v>
      </c>
      <c r="K217" s="576" t="s">
        <v>157</v>
      </c>
      <c r="L217" s="213" t="b">
        <v>0</v>
      </c>
      <c r="M217" s="214" t="s">
        <v>158</v>
      </c>
      <c r="N217" s="397">
        <v>44197</v>
      </c>
      <c r="O217" s="213" t="b">
        <v>0</v>
      </c>
      <c r="P217" s="214" t="s">
        <v>152</v>
      </c>
      <c r="Q217" s="214"/>
      <c r="R217" s="212" t="b">
        <v>0</v>
      </c>
      <c r="S217" s="9" t="s">
        <v>366</v>
      </c>
      <c r="T217" s="9" t="s">
        <v>107</v>
      </c>
      <c r="U217" s="213" t="b">
        <v>0</v>
      </c>
      <c r="V217" s="400" t="s">
        <v>164</v>
      </c>
      <c r="W217" s="224"/>
      <c r="X217" s="213" t="b">
        <v>0</v>
      </c>
      <c r="Y217" s="214" t="s">
        <v>159</v>
      </c>
      <c r="Z217" s="381"/>
      <c r="AA217" s="15"/>
      <c r="AB217" s="226"/>
      <c r="AC217" s="217" t="s">
        <v>109</v>
      </c>
      <c r="AD217" s="218"/>
      <c r="AE217" s="386" t="s">
        <v>362</v>
      </c>
      <c r="AF217" s="54"/>
      <c r="AG217" s="15"/>
    </row>
    <row r="218" spans="1:33" ht="14.5" customHeight="1" x14ac:dyDescent="0.35">
      <c r="A218" s="554"/>
      <c r="B218" s="295">
        <f t="shared" si="17"/>
        <v>185</v>
      </c>
      <c r="C218" s="620"/>
      <c r="E218" s="209" t="b">
        <v>0</v>
      </c>
      <c r="F218" s="578" t="s">
        <v>169</v>
      </c>
      <c r="H218" s="209" t="b">
        <v>0</v>
      </c>
      <c r="I218" s="219" t="s">
        <v>161</v>
      </c>
      <c r="J218" s="214"/>
      <c r="K218" s="576"/>
      <c r="L218" s="212" t="b">
        <v>0</v>
      </c>
      <c r="M218" s="44" t="s">
        <v>162</v>
      </c>
      <c r="N218" s="220">
        <v>6</v>
      </c>
      <c r="O218" s="212" t="b">
        <v>0</v>
      </c>
      <c r="P218" s="9" t="s">
        <v>162</v>
      </c>
      <c r="Q218" s="220">
        <v>0</v>
      </c>
      <c r="R218" s="550"/>
      <c r="S218" s="550"/>
      <c r="T218" s="550"/>
      <c r="U218" s="552" t="s">
        <v>108</v>
      </c>
      <c r="V218" s="552"/>
      <c r="W218" s="552"/>
      <c r="X218" s="213" t="b">
        <v>0</v>
      </c>
      <c r="Y218" s="9" t="s">
        <v>331</v>
      </c>
      <c r="Z218" s="550"/>
      <c r="AA218" s="15"/>
      <c r="AB218" s="226"/>
      <c r="AC218" s="22"/>
      <c r="AD218" s="15"/>
      <c r="AE218" s="623"/>
      <c r="AF218" s="53"/>
      <c r="AG218" s="15"/>
    </row>
    <row r="219" spans="1:33" x14ac:dyDescent="0.35">
      <c r="A219" s="554"/>
      <c r="B219" s="295">
        <f t="shared" si="17"/>
        <v>186</v>
      </c>
      <c r="C219" s="620"/>
      <c r="F219" s="578"/>
      <c r="H219" s="15"/>
      <c r="I219" s="15"/>
      <c r="J219" s="214"/>
      <c r="K219" s="9"/>
      <c r="L219" s="15"/>
      <c r="M219" s="15"/>
      <c r="N219" s="227"/>
      <c r="O219" s="9"/>
      <c r="P219" s="9"/>
      <c r="Q219" s="9"/>
      <c r="R219" s="550"/>
      <c r="S219" s="550"/>
      <c r="T219" s="550"/>
      <c r="U219" s="213" t="b">
        <v>0</v>
      </c>
      <c r="V219" s="214" t="s">
        <v>165</v>
      </c>
      <c r="W219" s="225"/>
      <c r="Y219" s="15"/>
      <c r="Z219" s="550"/>
      <c r="AA219" s="15"/>
      <c r="AB219" s="15"/>
      <c r="AC219" s="15"/>
      <c r="AD219" s="15"/>
      <c r="AE219" s="623"/>
      <c r="AF219" s="53"/>
      <c r="AG219" s="15"/>
    </row>
    <row r="220" spans="1:33" ht="30" customHeight="1" x14ac:dyDescent="0.35">
      <c r="A220" s="554"/>
      <c r="B220" s="295">
        <f t="shared" si="17"/>
        <v>187</v>
      </c>
      <c r="C220" s="620"/>
      <c r="E220"/>
      <c r="H220" s="15"/>
      <c r="I220" s="15"/>
      <c r="J220" s="383"/>
      <c r="K220" s="222"/>
      <c r="L220" s="222"/>
      <c r="M220" s="222"/>
      <c r="N220" s="222"/>
      <c r="O220" s="9"/>
      <c r="P220" s="9"/>
      <c r="Q220" s="9"/>
      <c r="R220" s="212" t="b">
        <v>0</v>
      </c>
      <c r="S220" s="9" t="s">
        <v>367</v>
      </c>
      <c r="T220" s="9" t="s">
        <v>107</v>
      </c>
      <c r="U220" s="550"/>
      <c r="V220" s="550"/>
      <c r="Y220" s="15"/>
      <c r="Z220" s="378"/>
      <c r="AA220" s="15"/>
      <c r="AB220" s="15"/>
      <c r="AC220" s="15"/>
      <c r="AD220" s="15"/>
      <c r="AE220" s="15"/>
      <c r="AF220" s="53"/>
      <c r="AG220" s="15"/>
    </row>
    <row r="221" spans="1:33" x14ac:dyDescent="0.35">
      <c r="A221" s="554"/>
      <c r="B221" s="295">
        <f t="shared" si="17"/>
        <v>188</v>
      </c>
      <c r="C221" s="620"/>
      <c r="E221"/>
      <c r="H221" s="221"/>
      <c r="I221" s="15"/>
      <c r="J221" s="383"/>
      <c r="K221" s="222"/>
      <c r="L221" s="222"/>
      <c r="M221" s="222"/>
      <c r="N221" s="222"/>
      <c r="O221" s="9"/>
      <c r="P221" s="9"/>
      <c r="Q221" s="9"/>
      <c r="R221" s="550"/>
      <c r="S221" s="550"/>
      <c r="T221" s="550"/>
      <c r="U221" s="213" t="b">
        <v>0</v>
      </c>
      <c r="V221" s="9" t="s">
        <v>166</v>
      </c>
      <c r="W221" s="9"/>
      <c r="Y221" s="15"/>
      <c r="Z221" s="378"/>
      <c r="AA221" s="15"/>
      <c r="AB221" s="15"/>
      <c r="AC221" s="15"/>
      <c r="AD221" s="15"/>
      <c r="AE221" s="15"/>
      <c r="AF221" s="53"/>
      <c r="AG221" s="15"/>
    </row>
    <row r="222" spans="1:33" ht="30" customHeight="1" thickBot="1" x14ac:dyDescent="0.4">
      <c r="A222" s="555"/>
      <c r="B222" s="295">
        <f t="shared" si="17"/>
        <v>189</v>
      </c>
      <c r="C222" s="621"/>
      <c r="D222" s="55"/>
      <c r="E222" s="55"/>
      <c r="F222" s="55"/>
      <c r="G222" s="55"/>
      <c r="H222" s="56"/>
      <c r="I222" s="56"/>
      <c r="J222" s="384"/>
      <c r="K222" s="57"/>
      <c r="L222" s="57"/>
      <c r="M222" s="57"/>
      <c r="N222" s="57"/>
      <c r="O222" s="58"/>
      <c r="P222" s="58"/>
      <c r="Q222" s="58"/>
      <c r="R222" s="550"/>
      <c r="S222" s="550"/>
      <c r="T222" s="550"/>
      <c r="U222" s="550"/>
      <c r="V222" s="550"/>
      <c r="W222" s="58"/>
      <c r="X222" s="402"/>
      <c r="Y222" s="56"/>
      <c r="Z222" s="379"/>
      <c r="AA222" s="56"/>
      <c r="AB222" s="56"/>
      <c r="AC222" s="56"/>
      <c r="AD222" s="56"/>
      <c r="AE222" s="56"/>
      <c r="AF222" s="59"/>
      <c r="AG222" s="15"/>
    </row>
    <row r="223" spans="1:33" ht="15" hidden="1" customHeight="1" thickBot="1" x14ac:dyDescent="0.4">
      <c r="A223" s="87"/>
      <c r="B223" s="241"/>
      <c r="C223" s="392"/>
      <c r="D223" s="393"/>
      <c r="E223" s="393"/>
      <c r="F223" s="393"/>
      <c r="G223" s="393"/>
      <c r="H223" s="393"/>
      <c r="I223" s="393"/>
      <c r="J223" s="394"/>
      <c r="K223" s="393"/>
      <c r="L223" s="393"/>
      <c r="M223" s="393"/>
      <c r="N223" s="393"/>
      <c r="O223" s="393"/>
      <c r="P223" s="393"/>
      <c r="Q223" s="393"/>
      <c r="R223" s="393"/>
      <c r="S223" s="393"/>
      <c r="T223" s="393"/>
      <c r="U223" s="394"/>
      <c r="V223" s="393"/>
      <c r="W223" s="393"/>
      <c r="X223" s="394"/>
      <c r="Y223" s="393"/>
      <c r="Z223" s="395"/>
      <c r="AA223" s="393"/>
      <c r="AB223" s="393"/>
      <c r="AC223" s="393"/>
      <c r="AD223" s="393"/>
      <c r="AE223" s="393"/>
      <c r="AF223" s="396"/>
      <c r="AG223" s="87"/>
    </row>
    <row r="224" spans="1:33" ht="5" customHeight="1" thickBot="1" x14ac:dyDescent="0.4">
      <c r="A224" s="87"/>
      <c r="B224" s="241"/>
      <c r="C224" s="391"/>
      <c r="D224" s="238"/>
      <c r="E224" s="238"/>
      <c r="F224" s="238"/>
      <c r="G224" s="238"/>
      <c r="H224" s="238"/>
      <c r="I224" s="238"/>
      <c r="J224" s="389"/>
      <c r="K224" s="238"/>
      <c r="L224" s="238"/>
      <c r="M224" s="238"/>
      <c r="N224" s="238"/>
      <c r="O224" s="238"/>
      <c r="P224" s="238"/>
      <c r="Q224" s="238"/>
      <c r="R224" s="238"/>
      <c r="S224" s="238"/>
      <c r="T224" s="238"/>
      <c r="U224" s="389"/>
      <c r="V224" s="238"/>
      <c r="W224" s="238"/>
      <c r="X224" s="389"/>
      <c r="Y224" s="238"/>
      <c r="Z224" s="390"/>
      <c r="AA224" s="238"/>
      <c r="AB224" s="238"/>
      <c r="AC224" s="238"/>
      <c r="AD224" s="238"/>
      <c r="AE224" s="238"/>
      <c r="AF224" s="311"/>
      <c r="AG224" s="87"/>
    </row>
    <row r="225" spans="1:33" ht="15" hidden="1" customHeight="1" thickBot="1" x14ac:dyDescent="0.4">
      <c r="A225" s="87"/>
      <c r="B225" s="241"/>
      <c r="C225" s="228"/>
      <c r="D225" s="229"/>
      <c r="E225" s="229"/>
      <c r="F225" s="229"/>
      <c r="G225" s="229"/>
      <c r="H225" s="229"/>
      <c r="I225" s="229"/>
      <c r="J225" s="382"/>
      <c r="K225" s="229"/>
      <c r="L225" s="229"/>
      <c r="M225" s="229"/>
      <c r="N225" s="229"/>
      <c r="O225" s="229"/>
      <c r="P225" s="229"/>
      <c r="Q225" s="229"/>
      <c r="R225" s="229"/>
      <c r="S225" s="229"/>
      <c r="T225" s="229"/>
      <c r="U225" s="382"/>
      <c r="V225" s="229"/>
      <c r="W225" s="229"/>
      <c r="X225" s="382"/>
      <c r="Y225" s="229"/>
      <c r="Z225" s="380"/>
      <c r="AA225" s="229"/>
      <c r="AB225" s="229"/>
      <c r="AC225" s="229"/>
      <c r="AD225" s="229"/>
      <c r="AE225" s="229"/>
      <c r="AF225" s="230"/>
      <c r="AG225" s="87"/>
    </row>
    <row r="226" spans="1:33" ht="29" customHeight="1" x14ac:dyDescent="0.35">
      <c r="A226" s="553">
        <f>A214+1</f>
        <v>19</v>
      </c>
      <c r="B226" s="295">
        <f>B214+10</f>
        <v>191</v>
      </c>
      <c r="C226" s="619" t="str">
        <f>VLOOKUP(A226,INputs!$G$3:$O$22,7,FALSE)</f>
        <v>Please fill out Sensitivity Labels Tab</v>
      </c>
      <c r="D226" s="47"/>
      <c r="E226" s="47"/>
      <c r="F226" s="573" t="s">
        <v>108</v>
      </c>
      <c r="G226" s="573"/>
      <c r="H226" s="573" t="s">
        <v>108</v>
      </c>
      <c r="I226" s="573"/>
      <c r="J226" s="575" t="str">
        <f>J$10</f>
        <v>Select a check box</v>
      </c>
      <c r="K226" s="575"/>
      <c r="L226" s="575" t="s">
        <v>108</v>
      </c>
      <c r="M226" s="575"/>
      <c r="N226" s="575"/>
      <c r="O226" s="575" t="s">
        <v>108</v>
      </c>
      <c r="P226" s="575"/>
      <c r="Q226" s="575"/>
      <c r="R226" s="577" t="s">
        <v>147</v>
      </c>
      <c r="S226" s="577"/>
      <c r="T226" s="407" t="s">
        <v>107</v>
      </c>
      <c r="U226" s="551" t="s">
        <v>148</v>
      </c>
      <c r="V226" s="551"/>
      <c r="W226" s="50"/>
      <c r="X226" s="401"/>
      <c r="Y226" s="574" t="s">
        <v>108</v>
      </c>
      <c r="Z226" s="574"/>
      <c r="AA226" s="51"/>
      <c r="AB226" s="573"/>
      <c r="AC226" s="573"/>
      <c r="AD226" s="48"/>
      <c r="AE226" s="49" t="s">
        <v>361</v>
      </c>
      <c r="AF226" s="52"/>
      <c r="AG226" s="20"/>
    </row>
    <row r="227" spans="1:33" x14ac:dyDescent="0.35">
      <c r="A227" s="554"/>
      <c r="B227" s="295">
        <f>B226+1</f>
        <v>192</v>
      </c>
      <c r="C227" s="620"/>
      <c r="D227" s="8"/>
      <c r="E227" s="8"/>
      <c r="F227" s="217"/>
      <c r="G227" s="217"/>
      <c r="H227" s="217"/>
      <c r="I227" s="217"/>
      <c r="J227" s="386"/>
      <c r="K227" s="386"/>
      <c r="L227" s="386"/>
      <c r="M227" s="386"/>
      <c r="N227" s="386"/>
      <c r="O227" s="386"/>
      <c r="P227" s="386"/>
      <c r="Q227" s="386"/>
      <c r="R227" s="550"/>
      <c r="S227" s="550"/>
      <c r="T227" s="550"/>
      <c r="U227" s="406"/>
      <c r="V227" s="400" t="s">
        <v>109</v>
      </c>
      <c r="W227" s="225"/>
      <c r="X227" s="403"/>
      <c r="Y227" s="405"/>
      <c r="Z227" s="405"/>
      <c r="AA227" s="20"/>
      <c r="AB227" s="217"/>
      <c r="AC227" s="217" t="s">
        <v>108</v>
      </c>
      <c r="AD227" s="217"/>
      <c r="AE227" s="386"/>
      <c r="AF227" s="54"/>
      <c r="AG227" s="20"/>
    </row>
    <row r="228" spans="1:33" ht="30.5" x14ac:dyDescent="0.35">
      <c r="A228" s="554"/>
      <c r="B228" s="295">
        <f t="shared" ref="B228:B234" si="18">B227+1</f>
        <v>193</v>
      </c>
      <c r="C228" s="620"/>
      <c r="E228" s="209" t="b">
        <v>0</v>
      </c>
      <c r="F228" s="3" t="s">
        <v>333</v>
      </c>
      <c r="H228" s="209" t="b">
        <v>0</v>
      </c>
      <c r="I228" s="219" t="s">
        <v>150</v>
      </c>
      <c r="J228" s="210" t="b">
        <v>0</v>
      </c>
      <c r="K228" s="211" t="s">
        <v>151</v>
      </c>
      <c r="L228" s="212" t="b">
        <v>0</v>
      </c>
      <c r="M228" s="9" t="s">
        <v>152</v>
      </c>
      <c r="N228" s="222"/>
      <c r="O228" s="212" t="b">
        <v>0</v>
      </c>
      <c r="P228" s="9" t="s">
        <v>153</v>
      </c>
      <c r="Q228" s="9"/>
      <c r="R228" s="550"/>
      <c r="S228" s="550"/>
      <c r="T228" s="550"/>
      <c r="U228" s="550"/>
      <c r="V228" s="550"/>
      <c r="W228" s="225"/>
      <c r="X228" s="213" t="b">
        <v>0</v>
      </c>
      <c r="Y228" s="214" t="s">
        <v>154</v>
      </c>
      <c r="Z228" s="381"/>
      <c r="AA228" s="15"/>
      <c r="AB228" s="215" t="b">
        <v>0</v>
      </c>
      <c r="AC228" s="15" t="s">
        <v>155</v>
      </c>
      <c r="AD228" s="15"/>
      <c r="AE228" s="15"/>
      <c r="AF228" s="53"/>
      <c r="AG228" s="15"/>
    </row>
    <row r="229" spans="1:33" ht="35" customHeight="1" x14ac:dyDescent="0.35">
      <c r="A229" s="554"/>
      <c r="B229" s="295">
        <f t="shared" si="18"/>
        <v>194</v>
      </c>
      <c r="C229" s="620"/>
      <c r="E229" s="209" t="b">
        <v>0</v>
      </c>
      <c r="F229" s="205" t="s">
        <v>332</v>
      </c>
      <c r="H229" s="15"/>
      <c r="I229" s="219"/>
      <c r="J229" s="213" t="b">
        <v>0</v>
      </c>
      <c r="K229" s="576" t="s">
        <v>157</v>
      </c>
      <c r="L229" s="213" t="b">
        <v>0</v>
      </c>
      <c r="M229" s="214" t="s">
        <v>158</v>
      </c>
      <c r="N229" s="397">
        <v>44197</v>
      </c>
      <c r="O229" s="213" t="b">
        <v>0</v>
      </c>
      <c r="P229" s="214" t="s">
        <v>152</v>
      </c>
      <c r="Q229" s="214"/>
      <c r="R229" s="212" t="b">
        <v>0</v>
      </c>
      <c r="S229" s="9" t="s">
        <v>366</v>
      </c>
      <c r="T229" s="9" t="s">
        <v>107</v>
      </c>
      <c r="U229" s="213" t="b">
        <v>0</v>
      </c>
      <c r="V229" s="400" t="s">
        <v>164</v>
      </c>
      <c r="W229" s="224"/>
      <c r="X229" s="213" t="b">
        <v>0</v>
      </c>
      <c r="Y229" s="214" t="s">
        <v>159</v>
      </c>
      <c r="Z229" s="381"/>
      <c r="AA229" s="15"/>
      <c r="AB229" s="226"/>
      <c r="AC229" s="217" t="s">
        <v>109</v>
      </c>
      <c r="AD229" s="218"/>
      <c r="AE229" s="386" t="s">
        <v>362</v>
      </c>
      <c r="AF229" s="54"/>
      <c r="AG229" s="15"/>
    </row>
    <row r="230" spans="1:33" ht="14.5" customHeight="1" x14ac:dyDescent="0.35">
      <c r="A230" s="554"/>
      <c r="B230" s="295">
        <f t="shared" si="18"/>
        <v>195</v>
      </c>
      <c r="C230" s="620"/>
      <c r="E230" s="209" t="b">
        <v>0</v>
      </c>
      <c r="F230" s="578" t="s">
        <v>169</v>
      </c>
      <c r="H230" s="209" t="b">
        <v>0</v>
      </c>
      <c r="I230" s="219" t="s">
        <v>161</v>
      </c>
      <c r="J230" s="214"/>
      <c r="K230" s="576"/>
      <c r="L230" s="212" t="b">
        <v>0</v>
      </c>
      <c r="M230" s="44" t="s">
        <v>162</v>
      </c>
      <c r="N230" s="220">
        <v>6</v>
      </c>
      <c r="O230" s="212" t="b">
        <v>0</v>
      </c>
      <c r="P230" s="9" t="s">
        <v>162</v>
      </c>
      <c r="Q230" s="220">
        <v>0</v>
      </c>
      <c r="R230" s="550"/>
      <c r="S230" s="550"/>
      <c r="T230" s="550"/>
      <c r="U230" s="552" t="s">
        <v>108</v>
      </c>
      <c r="V230" s="552"/>
      <c r="W230" s="552"/>
      <c r="X230" s="213" t="b">
        <v>0</v>
      </c>
      <c r="Y230" s="9" t="s">
        <v>331</v>
      </c>
      <c r="Z230" s="550"/>
      <c r="AA230" s="15"/>
      <c r="AB230" s="226"/>
      <c r="AC230" s="22"/>
      <c r="AD230" s="15"/>
      <c r="AE230" s="623"/>
      <c r="AF230" s="53"/>
      <c r="AG230" s="15"/>
    </row>
    <row r="231" spans="1:33" x14ac:dyDescent="0.35">
      <c r="A231" s="554"/>
      <c r="B231" s="295">
        <f t="shared" si="18"/>
        <v>196</v>
      </c>
      <c r="C231" s="620"/>
      <c r="F231" s="578"/>
      <c r="H231" s="15"/>
      <c r="I231" s="15"/>
      <c r="J231" s="214"/>
      <c r="K231" s="9"/>
      <c r="L231" s="15"/>
      <c r="M231" s="15"/>
      <c r="N231" s="227"/>
      <c r="O231" s="9"/>
      <c r="P231" s="9"/>
      <c r="Q231" s="9"/>
      <c r="R231" s="550"/>
      <c r="S231" s="550"/>
      <c r="T231" s="550"/>
      <c r="U231" s="213" t="b">
        <v>0</v>
      </c>
      <c r="V231" s="214" t="s">
        <v>165</v>
      </c>
      <c r="W231" s="225"/>
      <c r="Y231" s="15"/>
      <c r="Z231" s="550"/>
      <c r="AA231" s="15"/>
      <c r="AB231" s="15"/>
      <c r="AC231" s="15"/>
      <c r="AD231" s="15"/>
      <c r="AE231" s="623"/>
      <c r="AF231" s="53"/>
      <c r="AG231" s="15"/>
    </row>
    <row r="232" spans="1:33" ht="30" customHeight="1" x14ac:dyDescent="0.35">
      <c r="A232" s="554"/>
      <c r="B232" s="295">
        <f t="shared" si="18"/>
        <v>197</v>
      </c>
      <c r="C232" s="620"/>
      <c r="E232"/>
      <c r="H232" s="15"/>
      <c r="I232" s="15"/>
      <c r="J232" s="383"/>
      <c r="K232" s="222"/>
      <c r="L232" s="222"/>
      <c r="M232" s="222"/>
      <c r="N232" s="222"/>
      <c r="O232" s="9"/>
      <c r="P232" s="9"/>
      <c r="Q232" s="9"/>
      <c r="R232" s="212" t="b">
        <v>0</v>
      </c>
      <c r="S232" s="9" t="s">
        <v>367</v>
      </c>
      <c r="T232" s="9" t="s">
        <v>107</v>
      </c>
      <c r="U232" s="550"/>
      <c r="V232" s="550"/>
      <c r="Y232" s="15"/>
      <c r="Z232" s="378"/>
      <c r="AA232" s="15"/>
      <c r="AB232" s="15"/>
      <c r="AC232" s="15"/>
      <c r="AD232" s="15"/>
      <c r="AE232" s="15"/>
      <c r="AF232" s="53"/>
      <c r="AG232" s="15"/>
    </row>
    <row r="233" spans="1:33" x14ac:dyDescent="0.35">
      <c r="A233" s="554"/>
      <c r="B233" s="295">
        <f t="shared" si="18"/>
        <v>198</v>
      </c>
      <c r="C233" s="620"/>
      <c r="E233"/>
      <c r="H233" s="221"/>
      <c r="I233" s="15"/>
      <c r="J233" s="383"/>
      <c r="K233" s="222"/>
      <c r="L233" s="222"/>
      <c r="M233" s="222"/>
      <c r="N233" s="222"/>
      <c r="O233" s="9"/>
      <c r="P233" s="9"/>
      <c r="Q233" s="9"/>
      <c r="R233" s="550"/>
      <c r="S233" s="550"/>
      <c r="T233" s="550"/>
      <c r="U233" s="213" t="b">
        <v>0</v>
      </c>
      <c r="V233" s="9" t="s">
        <v>166</v>
      </c>
      <c r="W233" s="9"/>
      <c r="Y233" s="15"/>
      <c r="Z233" s="378"/>
      <c r="AA233" s="15"/>
      <c r="AB233" s="15"/>
      <c r="AC233" s="15"/>
      <c r="AD233" s="15"/>
      <c r="AE233" s="15"/>
      <c r="AF233" s="53"/>
      <c r="AG233" s="15"/>
    </row>
    <row r="234" spans="1:33" ht="30" customHeight="1" thickBot="1" x14ac:dyDescent="0.4">
      <c r="A234" s="555"/>
      <c r="B234" s="295">
        <f t="shared" si="18"/>
        <v>199</v>
      </c>
      <c r="C234" s="621"/>
      <c r="D234" s="55"/>
      <c r="E234" s="55"/>
      <c r="F234" s="55"/>
      <c r="G234" s="55"/>
      <c r="H234" s="56"/>
      <c r="I234" s="56"/>
      <c r="J234" s="384"/>
      <c r="K234" s="57"/>
      <c r="L234" s="57"/>
      <c r="M234" s="57"/>
      <c r="N234" s="57"/>
      <c r="O234" s="58"/>
      <c r="P234" s="58"/>
      <c r="Q234" s="58"/>
      <c r="R234" s="550"/>
      <c r="S234" s="550"/>
      <c r="T234" s="550"/>
      <c r="U234" s="550"/>
      <c r="V234" s="550"/>
      <c r="W234" s="58"/>
      <c r="X234" s="402"/>
      <c r="Y234" s="56"/>
      <c r="Z234" s="379"/>
      <c r="AA234" s="56"/>
      <c r="AB234" s="56"/>
      <c r="AC234" s="56"/>
      <c r="AD234" s="56"/>
      <c r="AE234" s="56"/>
      <c r="AF234" s="59"/>
      <c r="AG234" s="15"/>
    </row>
    <row r="235" spans="1:33" ht="15" hidden="1" customHeight="1" thickBot="1" x14ac:dyDescent="0.4">
      <c r="A235" s="87"/>
      <c r="B235" s="241"/>
      <c r="C235" s="392"/>
      <c r="D235" s="393"/>
      <c r="E235" s="393"/>
      <c r="F235" s="393"/>
      <c r="G235" s="393"/>
      <c r="H235" s="393"/>
      <c r="I235" s="393"/>
      <c r="J235" s="394"/>
      <c r="K235" s="393"/>
      <c r="L235" s="393"/>
      <c r="M235" s="393"/>
      <c r="N235" s="393"/>
      <c r="O235" s="393"/>
      <c r="P235" s="393"/>
      <c r="Q235" s="393"/>
      <c r="R235" s="393"/>
      <c r="S235" s="393"/>
      <c r="T235" s="393"/>
      <c r="U235" s="394"/>
      <c r="V235" s="393"/>
      <c r="W235" s="393"/>
      <c r="X235" s="394"/>
      <c r="Y235" s="393"/>
      <c r="Z235" s="395"/>
      <c r="AA235" s="393"/>
      <c r="AB235" s="393"/>
      <c r="AC235" s="393"/>
      <c r="AD235" s="393"/>
      <c r="AE235" s="393"/>
      <c r="AF235" s="396"/>
      <c r="AG235" s="15"/>
    </row>
    <row r="236" spans="1:33" ht="5" customHeight="1" thickBot="1" x14ac:dyDescent="0.4">
      <c r="A236" s="87"/>
      <c r="B236" s="241"/>
      <c r="C236" s="391"/>
      <c r="D236" s="238"/>
      <c r="E236" s="238"/>
      <c r="F236" s="238"/>
      <c r="G236" s="238"/>
      <c r="H236" s="238"/>
      <c r="I236" s="238"/>
      <c r="J236" s="389"/>
      <c r="K236" s="238"/>
      <c r="L236" s="238"/>
      <c r="M236" s="238"/>
      <c r="N236" s="238"/>
      <c r="O236" s="238"/>
      <c r="P236" s="238"/>
      <c r="Q236" s="238"/>
      <c r="R236" s="238"/>
      <c r="S236" s="238"/>
      <c r="T236" s="238"/>
      <c r="U236" s="389"/>
      <c r="V236" s="238"/>
      <c r="W236" s="238"/>
      <c r="X236" s="389"/>
      <c r="Y236" s="238"/>
      <c r="Z236" s="390"/>
      <c r="AA236" s="238"/>
      <c r="AB236" s="238"/>
      <c r="AC236" s="238"/>
      <c r="AD236" s="238"/>
      <c r="AE236" s="238"/>
      <c r="AF236" s="311"/>
      <c r="AG236" s="87"/>
    </row>
    <row r="237" spans="1:33" ht="15" hidden="1" customHeight="1" thickBot="1" x14ac:dyDescent="0.4">
      <c r="A237" s="87"/>
      <c r="B237" s="241"/>
      <c r="C237" s="228"/>
      <c r="D237" s="229"/>
      <c r="E237" s="229"/>
      <c r="F237" s="229"/>
      <c r="G237" s="229"/>
      <c r="H237" s="229"/>
      <c r="I237" s="229"/>
      <c r="J237" s="382"/>
      <c r="K237" s="229"/>
      <c r="L237" s="229"/>
      <c r="M237" s="229"/>
      <c r="N237" s="229"/>
      <c r="O237" s="229"/>
      <c r="P237" s="229"/>
      <c r="Q237" s="229"/>
      <c r="R237" s="229"/>
      <c r="S237" s="229"/>
      <c r="T237" s="229"/>
      <c r="U237" s="382"/>
      <c r="V237" s="229"/>
      <c r="W237" s="229"/>
      <c r="X237" s="382"/>
      <c r="Y237" s="229"/>
      <c r="Z237" s="380"/>
      <c r="AA237" s="229"/>
      <c r="AB237" s="229"/>
      <c r="AC237" s="229"/>
      <c r="AD237" s="229"/>
      <c r="AE237" s="229"/>
      <c r="AF237" s="230"/>
      <c r="AG237"/>
    </row>
    <row r="238" spans="1:33" ht="29" customHeight="1" x14ac:dyDescent="0.35">
      <c r="A238" s="553">
        <f>A226+1</f>
        <v>20</v>
      </c>
      <c r="B238" s="295">
        <f>B226+10</f>
        <v>201</v>
      </c>
      <c r="C238" s="619" t="str">
        <f>VLOOKUP(A238,INputs!$G$3:$O$22,7,FALSE)</f>
        <v>Please fill out Sensitivity Labels Tab</v>
      </c>
      <c r="D238" s="47"/>
      <c r="E238" s="47"/>
      <c r="F238" s="573" t="s">
        <v>108</v>
      </c>
      <c r="G238" s="573"/>
      <c r="H238" s="573" t="s">
        <v>108</v>
      </c>
      <c r="I238" s="573"/>
      <c r="J238" s="575" t="str">
        <f>J$10</f>
        <v>Select a check box</v>
      </c>
      <c r="K238" s="575"/>
      <c r="L238" s="575" t="s">
        <v>108</v>
      </c>
      <c r="M238" s="575"/>
      <c r="N238" s="575"/>
      <c r="O238" s="575" t="s">
        <v>108</v>
      </c>
      <c r="P238" s="575"/>
      <c r="Q238" s="575"/>
      <c r="R238" s="577" t="s">
        <v>147</v>
      </c>
      <c r="S238" s="577"/>
      <c r="T238" s="407" t="s">
        <v>107</v>
      </c>
      <c r="U238" s="551" t="s">
        <v>148</v>
      </c>
      <c r="V238" s="551"/>
      <c r="W238" s="50"/>
      <c r="X238" s="401"/>
      <c r="Y238" s="574" t="s">
        <v>108</v>
      </c>
      <c r="Z238" s="574"/>
      <c r="AA238" s="51"/>
      <c r="AB238" s="573"/>
      <c r="AC238" s="573"/>
      <c r="AD238" s="48"/>
      <c r="AE238" s="49" t="s">
        <v>361</v>
      </c>
      <c r="AF238" s="52"/>
      <c r="AG238" s="20"/>
    </row>
    <row r="239" spans="1:33" x14ac:dyDescent="0.35">
      <c r="A239" s="554"/>
      <c r="B239" s="295">
        <f>B238+1</f>
        <v>202</v>
      </c>
      <c r="C239" s="620"/>
      <c r="D239" s="8"/>
      <c r="E239" s="8"/>
      <c r="F239" s="217"/>
      <c r="G239" s="217"/>
      <c r="H239" s="217"/>
      <c r="I239" s="217"/>
      <c r="J239" s="386"/>
      <c r="K239" s="386"/>
      <c r="L239" s="386"/>
      <c r="M239" s="386"/>
      <c r="N239" s="386"/>
      <c r="O239" s="386"/>
      <c r="P239" s="386"/>
      <c r="Q239" s="386"/>
      <c r="R239" s="550"/>
      <c r="S239" s="550"/>
      <c r="T239" s="550"/>
      <c r="U239" s="406"/>
      <c r="V239" s="400" t="s">
        <v>109</v>
      </c>
      <c r="W239" s="225"/>
      <c r="X239" s="403"/>
      <c r="Y239" s="405"/>
      <c r="Z239" s="405"/>
      <c r="AA239" s="20"/>
      <c r="AB239" s="217"/>
      <c r="AC239" s="217" t="s">
        <v>108</v>
      </c>
      <c r="AD239" s="217"/>
      <c r="AE239" s="386"/>
      <c r="AF239" s="54"/>
      <c r="AG239" s="20"/>
    </row>
    <row r="240" spans="1:33" ht="30.5" x14ac:dyDescent="0.35">
      <c r="A240" s="554"/>
      <c r="B240" s="295">
        <f t="shared" ref="B240:B246" si="19">B239+1</f>
        <v>203</v>
      </c>
      <c r="C240" s="620"/>
      <c r="E240" s="209" t="b">
        <v>0</v>
      </c>
      <c r="F240" s="3" t="s">
        <v>333</v>
      </c>
      <c r="H240" s="209" t="b">
        <v>0</v>
      </c>
      <c r="I240" s="219" t="s">
        <v>150</v>
      </c>
      <c r="J240" s="210" t="b">
        <v>0</v>
      </c>
      <c r="K240" s="211" t="s">
        <v>151</v>
      </c>
      <c r="L240" s="212" t="b">
        <v>0</v>
      </c>
      <c r="M240" s="9" t="s">
        <v>152</v>
      </c>
      <c r="N240" s="222"/>
      <c r="O240" s="212" t="b">
        <v>0</v>
      </c>
      <c r="P240" s="9" t="s">
        <v>153</v>
      </c>
      <c r="Q240" s="9"/>
      <c r="R240" s="550"/>
      <c r="S240" s="550"/>
      <c r="T240" s="550"/>
      <c r="U240" s="550"/>
      <c r="V240" s="550"/>
      <c r="W240" s="225"/>
      <c r="X240" s="213" t="b">
        <v>0</v>
      </c>
      <c r="Y240" s="214" t="s">
        <v>154</v>
      </c>
      <c r="Z240" s="381"/>
      <c r="AA240" s="15"/>
      <c r="AB240" s="215" t="b">
        <v>0</v>
      </c>
      <c r="AC240" s="15" t="s">
        <v>155</v>
      </c>
      <c r="AD240" s="15"/>
      <c r="AE240" s="15"/>
      <c r="AF240" s="53"/>
      <c r="AG240" s="15"/>
    </row>
    <row r="241" spans="1:33" ht="35" customHeight="1" x14ac:dyDescent="0.35">
      <c r="A241" s="554"/>
      <c r="B241" s="295">
        <f t="shared" si="19"/>
        <v>204</v>
      </c>
      <c r="C241" s="620"/>
      <c r="E241" s="209" t="b">
        <v>0</v>
      </c>
      <c r="F241" s="205" t="s">
        <v>332</v>
      </c>
      <c r="H241" s="15"/>
      <c r="I241" s="219"/>
      <c r="J241" s="213" t="b">
        <v>0</v>
      </c>
      <c r="K241" s="576" t="s">
        <v>157</v>
      </c>
      <c r="L241" s="213" t="b">
        <v>0</v>
      </c>
      <c r="M241" s="214" t="s">
        <v>158</v>
      </c>
      <c r="N241" s="397">
        <v>44197</v>
      </c>
      <c r="O241" s="213" t="b">
        <v>0</v>
      </c>
      <c r="P241" s="214" t="s">
        <v>152</v>
      </c>
      <c r="Q241" s="214"/>
      <c r="R241" s="212" t="b">
        <v>0</v>
      </c>
      <c r="S241" s="9" t="s">
        <v>366</v>
      </c>
      <c r="T241" s="9" t="s">
        <v>107</v>
      </c>
      <c r="U241" s="213" t="b">
        <v>0</v>
      </c>
      <c r="V241" s="400" t="s">
        <v>164</v>
      </c>
      <c r="W241" s="224"/>
      <c r="X241" s="213" t="b">
        <v>0</v>
      </c>
      <c r="Y241" s="214" t="s">
        <v>159</v>
      </c>
      <c r="Z241" s="381"/>
      <c r="AA241" s="15"/>
      <c r="AB241" s="226"/>
      <c r="AC241" s="217" t="s">
        <v>109</v>
      </c>
      <c r="AD241" s="218"/>
      <c r="AE241" s="386" t="s">
        <v>362</v>
      </c>
      <c r="AF241" s="54"/>
      <c r="AG241" s="15"/>
    </row>
    <row r="242" spans="1:33" ht="17" customHeight="1" x14ac:dyDescent="0.35">
      <c r="A242" s="554"/>
      <c r="B242" s="295">
        <f t="shared" si="19"/>
        <v>205</v>
      </c>
      <c r="C242" s="620"/>
      <c r="E242" s="209" t="b">
        <v>0</v>
      </c>
      <c r="F242" s="578" t="s">
        <v>169</v>
      </c>
      <c r="H242" s="209" t="b">
        <v>0</v>
      </c>
      <c r="I242" s="219" t="s">
        <v>161</v>
      </c>
      <c r="J242" s="214"/>
      <c r="K242" s="576"/>
      <c r="L242" s="212" t="b">
        <v>0</v>
      </c>
      <c r="M242" s="44" t="s">
        <v>162</v>
      </c>
      <c r="N242" s="220">
        <v>6</v>
      </c>
      <c r="O242" s="212" t="b">
        <v>0</v>
      </c>
      <c r="P242" s="9" t="s">
        <v>162</v>
      </c>
      <c r="Q242" s="220">
        <v>1</v>
      </c>
      <c r="R242" s="550"/>
      <c r="S242" s="550"/>
      <c r="T242" s="550"/>
      <c r="U242" s="552" t="s">
        <v>108</v>
      </c>
      <c r="V242" s="552"/>
      <c r="W242" s="552"/>
      <c r="X242" s="213" t="b">
        <v>0</v>
      </c>
      <c r="Y242" s="9" t="s">
        <v>331</v>
      </c>
      <c r="Z242" s="550"/>
      <c r="AA242" s="15"/>
      <c r="AB242" s="226"/>
      <c r="AC242" s="22"/>
      <c r="AD242" s="15"/>
      <c r="AE242" s="623"/>
      <c r="AF242" s="53"/>
      <c r="AG242" s="15"/>
    </row>
    <row r="243" spans="1:33" ht="29.5" customHeight="1" x14ac:dyDescent="0.35">
      <c r="A243" s="554"/>
      <c r="B243" s="295">
        <f t="shared" si="19"/>
        <v>206</v>
      </c>
      <c r="C243" s="620"/>
      <c r="F243" s="578"/>
      <c r="H243" s="15"/>
      <c r="I243" s="15"/>
      <c r="J243" s="214"/>
      <c r="K243" s="9"/>
      <c r="L243" s="15"/>
      <c r="M243" s="15"/>
      <c r="N243" s="227"/>
      <c r="O243" s="9"/>
      <c r="P243" s="9"/>
      <c r="Q243" s="9"/>
      <c r="R243" s="550"/>
      <c r="S243" s="550"/>
      <c r="T243" s="550"/>
      <c r="U243" s="213" t="b">
        <v>0</v>
      </c>
      <c r="V243" s="214" t="s">
        <v>165</v>
      </c>
      <c r="W243" s="225"/>
      <c r="Y243" s="15"/>
      <c r="Z243" s="550"/>
      <c r="AA243" s="15"/>
      <c r="AB243" s="15"/>
      <c r="AC243" s="15"/>
      <c r="AD243" s="15"/>
      <c r="AE243" s="623"/>
      <c r="AF243" s="53"/>
      <c r="AG243" s="15"/>
    </row>
    <row r="244" spans="1:33" ht="30" customHeight="1" x14ac:dyDescent="0.35">
      <c r="A244" s="554"/>
      <c r="B244" s="295">
        <f t="shared" si="19"/>
        <v>207</v>
      </c>
      <c r="C244" s="620"/>
      <c r="E244"/>
      <c r="H244" s="15"/>
      <c r="I244" s="15"/>
      <c r="J244" s="383"/>
      <c r="K244" s="222"/>
      <c r="L244" s="222"/>
      <c r="M244" s="222"/>
      <c r="N244" s="222"/>
      <c r="O244" s="9"/>
      <c r="P244" s="9"/>
      <c r="Q244" s="9"/>
      <c r="R244" s="212" t="b">
        <v>0</v>
      </c>
      <c r="S244" s="9" t="s">
        <v>367</v>
      </c>
      <c r="T244" s="9" t="s">
        <v>107</v>
      </c>
      <c r="U244" s="550"/>
      <c r="V244" s="550"/>
      <c r="Y244" s="15"/>
      <c r="Z244" s="378"/>
      <c r="AA244" s="15"/>
      <c r="AB244" s="15"/>
      <c r="AC244" s="15"/>
      <c r="AD244" s="15"/>
      <c r="AE244" s="15"/>
      <c r="AF244" s="53"/>
      <c r="AG244" s="15"/>
    </row>
    <row r="245" spans="1:33" ht="14.5" customHeight="1" x14ac:dyDescent="0.35">
      <c r="A245" s="554"/>
      <c r="B245" s="295">
        <f t="shared" si="19"/>
        <v>208</v>
      </c>
      <c r="C245" s="620"/>
      <c r="E245"/>
      <c r="H245" s="221"/>
      <c r="I245" s="15"/>
      <c r="J245" s="383"/>
      <c r="K245" s="222"/>
      <c r="L245" s="222"/>
      <c r="M245" s="222"/>
      <c r="N245" s="222"/>
      <c r="O245" s="9"/>
      <c r="P245" s="9"/>
      <c r="Q245" s="9"/>
      <c r="R245" s="550"/>
      <c r="S245" s="550"/>
      <c r="T245" s="550"/>
      <c r="U245" s="213" t="b">
        <v>0</v>
      </c>
      <c r="V245" s="9" t="s">
        <v>166</v>
      </c>
      <c r="W245" s="9"/>
      <c r="Y245" s="15"/>
      <c r="Z245" s="378"/>
      <c r="AA245" s="15"/>
      <c r="AB245" s="15"/>
      <c r="AC245" s="15"/>
      <c r="AD245" s="15"/>
      <c r="AE245" s="15"/>
      <c r="AF245" s="53"/>
      <c r="AG245" s="15"/>
    </row>
    <row r="246" spans="1:33" ht="30" customHeight="1" thickBot="1" x14ac:dyDescent="0.4">
      <c r="A246" s="555"/>
      <c r="B246" s="295">
        <f t="shared" si="19"/>
        <v>209</v>
      </c>
      <c r="C246" s="621"/>
      <c r="D246" s="55"/>
      <c r="E246" s="55"/>
      <c r="F246" s="55"/>
      <c r="G246" s="55"/>
      <c r="H246" s="56"/>
      <c r="I246" s="56"/>
      <c r="J246" s="384"/>
      <c r="K246" s="57"/>
      <c r="L246" s="57"/>
      <c r="M246" s="57"/>
      <c r="N246" s="57"/>
      <c r="O246" s="58"/>
      <c r="P246" s="58"/>
      <c r="Q246" s="58"/>
      <c r="R246" s="550"/>
      <c r="S246" s="550"/>
      <c r="T246" s="550"/>
      <c r="U246" s="550"/>
      <c r="V246" s="550"/>
      <c r="W246" s="58"/>
      <c r="X246" s="402"/>
      <c r="Y246" s="56"/>
      <c r="Z246" s="379"/>
      <c r="AA246" s="56"/>
      <c r="AB246" s="56"/>
      <c r="AC246" s="56"/>
      <c r="AD246" s="56"/>
      <c r="AE246" s="56"/>
      <c r="AF246" s="59"/>
      <c r="AG246" s="15"/>
    </row>
    <row r="247" spans="1:33" ht="5" customHeight="1" thickBot="1" x14ac:dyDescent="0.4">
      <c r="A247" s="87"/>
      <c r="B247" s="241"/>
      <c r="C247" s="391"/>
      <c r="D247" s="238"/>
      <c r="E247" s="238"/>
      <c r="F247" s="238"/>
      <c r="G247" s="238"/>
      <c r="H247" s="238"/>
      <c r="I247" s="238"/>
      <c r="J247" s="389"/>
      <c r="K247" s="238"/>
      <c r="L247" s="238"/>
      <c r="M247" s="238"/>
      <c r="N247" s="238"/>
      <c r="O247" s="238"/>
      <c r="P247" s="238"/>
      <c r="Q247" s="238"/>
      <c r="R247" s="238"/>
      <c r="S247" s="238"/>
      <c r="T247" s="238"/>
      <c r="U247" s="389"/>
      <c r="V247" s="238"/>
      <c r="W247" s="238"/>
      <c r="X247" s="389"/>
      <c r="Y247" s="238"/>
      <c r="Z247" s="390"/>
      <c r="AA247" s="238"/>
      <c r="AB247" s="238"/>
      <c r="AC247" s="238"/>
      <c r="AD247" s="238"/>
      <c r="AE247" s="238"/>
      <c r="AF247" s="311"/>
      <c r="AG247" s="87"/>
    </row>
    <row r="248" spans="1:33" hidden="1" x14ac:dyDescent="0.35">
      <c r="A248" s="87"/>
      <c r="B248" s="241"/>
      <c r="C248" s="196"/>
      <c r="D248" s="30"/>
      <c r="E248" s="30"/>
      <c r="F248" s="30"/>
      <c r="G248" s="30"/>
      <c r="H248" s="30"/>
      <c r="I248" s="30"/>
      <c r="J248" s="31"/>
      <c r="K248" s="30"/>
      <c r="L248" s="30"/>
      <c r="M248" s="30"/>
      <c r="N248" s="30"/>
      <c r="O248" s="30"/>
      <c r="P248" s="30"/>
      <c r="Q248" s="30"/>
      <c r="R248" s="30"/>
      <c r="S248" s="30"/>
      <c r="T248" s="30"/>
      <c r="U248" s="31"/>
      <c r="V248" s="30"/>
      <c r="W248" s="30"/>
      <c r="X248" s="31"/>
      <c r="Y248" s="30"/>
      <c r="Z248" s="196"/>
      <c r="AA248" s="30"/>
      <c r="AB248" s="30"/>
      <c r="AC248" s="30"/>
      <c r="AD248" s="30"/>
      <c r="AE248" s="30"/>
      <c r="AF248" s="30"/>
      <c r="AG248"/>
    </row>
  </sheetData>
  <mergeCells count="505">
    <mergeCell ref="R83:T84"/>
    <mergeCell ref="R86:T87"/>
    <mergeCell ref="R95:T96"/>
    <mergeCell ref="R98:T99"/>
    <mergeCell ref="R107:T108"/>
    <mergeCell ref="R239:T240"/>
    <mergeCell ref="R242:T243"/>
    <mergeCell ref="R179:T180"/>
    <mergeCell ref="R182:T183"/>
    <mergeCell ref="R191:T192"/>
    <mergeCell ref="R194:T195"/>
    <mergeCell ref="R203:T204"/>
    <mergeCell ref="R206:T207"/>
    <mergeCell ref="R215:T216"/>
    <mergeCell ref="R218:T219"/>
    <mergeCell ref="R227:T228"/>
    <mergeCell ref="R233:T234"/>
    <mergeCell ref="R122:T123"/>
    <mergeCell ref="R131:T132"/>
    <mergeCell ref="R106:S106"/>
    <mergeCell ref="R110:T111"/>
    <mergeCell ref="R119:T120"/>
    <mergeCell ref="R214:S214"/>
    <mergeCell ref="R158:T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AE74:AE75"/>
    <mergeCell ref="AE86:AE87"/>
    <mergeCell ref="AE98:AE99"/>
    <mergeCell ref="Z98:Z99"/>
    <mergeCell ref="Z110:Z111"/>
    <mergeCell ref="Z122:Z123"/>
    <mergeCell ref="Z134:Z135"/>
    <mergeCell ref="Z194:Z195"/>
    <mergeCell ref="Z206:Z207"/>
    <mergeCell ref="Y82:Z82"/>
    <mergeCell ref="AB82:AC82"/>
    <mergeCell ref="Z86:Z87"/>
    <mergeCell ref="AB106:AC106"/>
    <mergeCell ref="Y118:Z118"/>
    <mergeCell ref="AB118:AC118"/>
    <mergeCell ref="AB166:AC166"/>
    <mergeCell ref="AB202:AC202"/>
    <mergeCell ref="AB190:AC190"/>
    <mergeCell ref="AB154:AC154"/>
    <mergeCell ref="AB130:AC130"/>
    <mergeCell ref="Y142:Z142"/>
    <mergeCell ref="AB142:AC142"/>
    <mergeCell ref="Y130:Z130"/>
    <mergeCell ref="AB178:AC178"/>
    <mergeCell ref="AE14:AE15"/>
    <mergeCell ref="AE26:AE27"/>
    <mergeCell ref="AE38:AE39"/>
    <mergeCell ref="AE50:AE51"/>
    <mergeCell ref="Z14:Z15"/>
    <mergeCell ref="Z26:Z27"/>
    <mergeCell ref="Z38:Z39"/>
    <mergeCell ref="Z50:Z51"/>
    <mergeCell ref="Z62:Z63"/>
    <mergeCell ref="AE62:AE63"/>
    <mergeCell ref="AB58:AC58"/>
    <mergeCell ref="AB46:AC46"/>
    <mergeCell ref="Y46:Z46"/>
    <mergeCell ref="AB34:AC34"/>
    <mergeCell ref="Y34:Z34"/>
    <mergeCell ref="AB22:AC22"/>
    <mergeCell ref="Y58:Z58"/>
    <mergeCell ref="Y22:Z22"/>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2:S82"/>
    <mergeCell ref="R226:S226"/>
    <mergeCell ref="R154:S154"/>
    <mergeCell ref="R155:T156"/>
    <mergeCell ref="C226:C234"/>
    <mergeCell ref="C238:C246"/>
    <mergeCell ref="C118:C126"/>
    <mergeCell ref="C130:C138"/>
    <mergeCell ref="C142:C150"/>
    <mergeCell ref="C154:C162"/>
    <mergeCell ref="C166:C174"/>
    <mergeCell ref="C178:C186"/>
    <mergeCell ref="C190:C198"/>
    <mergeCell ref="C202:C210"/>
    <mergeCell ref="C214:C222"/>
    <mergeCell ref="R17:T18"/>
    <mergeCell ref="C10:C18"/>
    <mergeCell ref="C22:C30"/>
    <mergeCell ref="C34:C42"/>
    <mergeCell ref="R29:T30"/>
    <mergeCell ref="R41:T42"/>
    <mergeCell ref="H10:I10"/>
    <mergeCell ref="K37:K38"/>
    <mergeCell ref="K25:K26"/>
    <mergeCell ref="F26:F27"/>
    <mergeCell ref="R22:S22"/>
    <mergeCell ref="R34:S34"/>
    <mergeCell ref="R11:T12"/>
    <mergeCell ref="R14:T15"/>
    <mergeCell ref="R23:T24"/>
    <mergeCell ref="R26:T27"/>
    <mergeCell ref="R35:T36"/>
    <mergeCell ref="R38:T39"/>
    <mergeCell ref="C94:C102"/>
    <mergeCell ref="C106:C114"/>
    <mergeCell ref="AB94:AC94"/>
    <mergeCell ref="K97:K98"/>
    <mergeCell ref="F98:F99"/>
    <mergeCell ref="F94:G94"/>
    <mergeCell ref="H94:I94"/>
    <mergeCell ref="J94:K94"/>
    <mergeCell ref="L94:N94"/>
    <mergeCell ref="O94:Q94"/>
    <mergeCell ref="Y94:Z94"/>
    <mergeCell ref="F106:G106"/>
    <mergeCell ref="H106:I106"/>
    <mergeCell ref="J106:K106"/>
    <mergeCell ref="L106:N106"/>
    <mergeCell ref="O106:Q106"/>
    <mergeCell ref="Y106:Z106"/>
    <mergeCell ref="U112:V112"/>
    <mergeCell ref="U114:V114"/>
    <mergeCell ref="F110:F111"/>
    <mergeCell ref="R94:S94"/>
    <mergeCell ref="U94:V94"/>
    <mergeCell ref="U96:V96"/>
    <mergeCell ref="U98:W98"/>
    <mergeCell ref="F82:G82"/>
    <mergeCell ref="H82:I82"/>
    <mergeCell ref="J82:K82"/>
    <mergeCell ref="L82:N82"/>
    <mergeCell ref="O82:Q82"/>
    <mergeCell ref="C46:C54"/>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50:T51"/>
    <mergeCell ref="R59:T60"/>
    <mergeCell ref="R62:T63"/>
    <mergeCell ref="R71:T72"/>
    <mergeCell ref="R74:T75"/>
    <mergeCell ref="AB70:AC70"/>
    <mergeCell ref="Y70:Z70"/>
    <mergeCell ref="U58:V58"/>
    <mergeCell ref="U60:V60"/>
    <mergeCell ref="U62:W62"/>
    <mergeCell ref="U64:V64"/>
    <mergeCell ref="U66:V66"/>
    <mergeCell ref="K49:K50"/>
    <mergeCell ref="F50:F51"/>
    <mergeCell ref="U70:V70"/>
    <mergeCell ref="F58:G58"/>
    <mergeCell ref="H58:I58"/>
    <mergeCell ref="J58:K58"/>
    <mergeCell ref="L58:N58"/>
    <mergeCell ref="O58:Q58"/>
    <mergeCell ref="U52:V52"/>
    <mergeCell ref="U54:V54"/>
    <mergeCell ref="U26:W26"/>
    <mergeCell ref="U28:V28"/>
    <mergeCell ref="F38:F39"/>
    <mergeCell ref="F34:G34"/>
    <mergeCell ref="H34:I34"/>
    <mergeCell ref="J34:K34"/>
    <mergeCell ref="L34:N34"/>
    <mergeCell ref="O34:Q34"/>
    <mergeCell ref="F22:G22"/>
    <mergeCell ref="H22:I22"/>
    <mergeCell ref="J22:K22"/>
    <mergeCell ref="L22:N22"/>
    <mergeCell ref="O22:Q22"/>
    <mergeCell ref="U24:V24"/>
    <mergeCell ref="U22:V22"/>
    <mergeCell ref="U30:V30"/>
    <mergeCell ref="U34:V34"/>
    <mergeCell ref="U36:V36"/>
    <mergeCell ref="U38:W38"/>
    <mergeCell ref="AB10:AC10"/>
    <mergeCell ref="Y10:Z10"/>
    <mergeCell ref="X4:Z4"/>
    <mergeCell ref="U4:V4"/>
    <mergeCell ref="L5:N5"/>
    <mergeCell ref="O5:Q5"/>
    <mergeCell ref="X5:Z5"/>
    <mergeCell ref="U5:V5"/>
    <mergeCell ref="L6:N6"/>
    <mergeCell ref="O6:Q6"/>
    <mergeCell ref="U6:V6"/>
    <mergeCell ref="R4:S4"/>
    <mergeCell ref="R5:S5"/>
    <mergeCell ref="R6:S6"/>
    <mergeCell ref="R7:S7"/>
    <mergeCell ref="R8:S8"/>
    <mergeCell ref="R9:S9"/>
    <mergeCell ref="U10:V10"/>
    <mergeCell ref="A5:A9"/>
    <mergeCell ref="E5:F5"/>
    <mergeCell ref="E6:F6"/>
    <mergeCell ref="E7:F7"/>
    <mergeCell ref="E8:F8"/>
    <mergeCell ref="E9:F9"/>
    <mergeCell ref="H5:I5"/>
    <mergeCell ref="H6:I6"/>
    <mergeCell ref="X3:Z3"/>
    <mergeCell ref="L3:N3"/>
    <mergeCell ref="O3:Q3"/>
    <mergeCell ref="U3:V3"/>
    <mergeCell ref="X8:Z8"/>
    <mergeCell ref="H9:I9"/>
    <mergeCell ref="J5:K5"/>
    <mergeCell ref="J6:K6"/>
    <mergeCell ref="J7:K7"/>
    <mergeCell ref="J8:K8"/>
    <mergeCell ref="J9:K9"/>
    <mergeCell ref="L9:N9"/>
    <mergeCell ref="R3:T3"/>
    <mergeCell ref="H3:I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R142:S142"/>
    <mergeCell ref="U142:V142"/>
    <mergeCell ref="U144:V144"/>
    <mergeCell ref="U146:W146"/>
    <mergeCell ref="R134:T135"/>
    <mergeCell ref="R143:T144"/>
    <mergeCell ref="R146:T147"/>
    <mergeCell ref="U170:W170"/>
    <mergeCell ref="U172:V172"/>
    <mergeCell ref="R170:T171"/>
    <mergeCell ref="F158:F159"/>
    <mergeCell ref="R166:S166"/>
    <mergeCell ref="U166:V166"/>
    <mergeCell ref="U168:V168"/>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U214:V214"/>
    <mergeCell ref="U216:V216"/>
    <mergeCell ref="J214:K214"/>
    <mergeCell ref="L214:N214"/>
    <mergeCell ref="O214:Q214"/>
    <mergeCell ref="L190:N190"/>
    <mergeCell ref="O190:Q190"/>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182:W182"/>
    <mergeCell ref="U184:V184"/>
    <mergeCell ref="U186:V186"/>
    <mergeCell ref="R190:S190"/>
    <mergeCell ref="U190:V190"/>
    <mergeCell ref="U192:V192"/>
    <mergeCell ref="R178:S178"/>
    <mergeCell ref="U178:V178"/>
    <mergeCell ref="U72:V72"/>
    <mergeCell ref="U74:W74"/>
    <mergeCell ref="U76:V76"/>
    <mergeCell ref="U78:V78"/>
    <mergeCell ref="U82:V82"/>
    <mergeCell ref="U84:V84"/>
    <mergeCell ref="U86:W86"/>
    <mergeCell ref="U88:V88"/>
    <mergeCell ref="U90:V90"/>
    <mergeCell ref="A10:A18"/>
    <mergeCell ref="A22:A30"/>
    <mergeCell ref="A34:A42"/>
    <mergeCell ref="A82:A90"/>
    <mergeCell ref="AB3:AF3"/>
    <mergeCell ref="AB4:AF4"/>
    <mergeCell ref="AB5:AF5"/>
    <mergeCell ref="AB6:AF6"/>
    <mergeCell ref="AB7:AF7"/>
    <mergeCell ref="AB8:AF8"/>
    <mergeCell ref="AB9:AF9"/>
    <mergeCell ref="O9:Q9"/>
    <mergeCell ref="U9:V9"/>
    <mergeCell ref="X9:Z9"/>
    <mergeCell ref="X6:Z6"/>
    <mergeCell ref="L7:N7"/>
    <mergeCell ref="O7:Q7"/>
    <mergeCell ref="U7:V7"/>
    <mergeCell ref="X7:Z7"/>
    <mergeCell ref="L8:N8"/>
    <mergeCell ref="O8:Q8"/>
    <mergeCell ref="Z74:Z75"/>
    <mergeCell ref="U16:V16"/>
    <mergeCell ref="U18:V18"/>
    <mergeCell ref="U40:V40"/>
    <mergeCell ref="U42:V42"/>
    <mergeCell ref="U46:V46"/>
    <mergeCell ref="U48:V48"/>
    <mergeCell ref="U50:W50"/>
    <mergeCell ref="A238:A246"/>
    <mergeCell ref="A94:A102"/>
    <mergeCell ref="A106:A114"/>
    <mergeCell ref="A118:A126"/>
    <mergeCell ref="A130:A138"/>
    <mergeCell ref="A142:A150"/>
    <mergeCell ref="A154:A162"/>
    <mergeCell ref="A166:A174"/>
    <mergeCell ref="A178:A186"/>
    <mergeCell ref="A190:A198"/>
    <mergeCell ref="A46:A54"/>
    <mergeCell ref="A58:A66"/>
    <mergeCell ref="A70:A78"/>
    <mergeCell ref="A202:A210"/>
    <mergeCell ref="A214:A222"/>
    <mergeCell ref="A226:A234"/>
    <mergeCell ref="U238:V238"/>
    <mergeCell ref="U240:V240"/>
    <mergeCell ref="U242:W242"/>
  </mergeCells>
  <conditionalFormatting sqref="H12">
    <cfRule type="expression" dxfId="2956" priority="1880">
      <formula>$H$14=TRUE</formula>
    </cfRule>
  </conditionalFormatting>
  <conditionalFormatting sqref="H24">
    <cfRule type="expression" dxfId="2955" priority="1875">
      <formula>$H$26=TRUE</formula>
    </cfRule>
  </conditionalFormatting>
  <conditionalFormatting sqref="H36">
    <cfRule type="expression" dxfId="2954" priority="1874">
      <formula>$H$38=TRUE</formula>
    </cfRule>
  </conditionalFormatting>
  <conditionalFormatting sqref="H38">
    <cfRule type="expression" dxfId="2953" priority="1872">
      <formula>$H$36=TRUE</formula>
    </cfRule>
  </conditionalFormatting>
  <conditionalFormatting sqref="H48">
    <cfRule type="expression" dxfId="2952" priority="1867">
      <formula>$H$50=TRUE</formula>
    </cfRule>
  </conditionalFormatting>
  <conditionalFormatting sqref="H60">
    <cfRule type="expression" dxfId="2951" priority="1863">
      <formula>$H$62=TRUE</formula>
    </cfRule>
  </conditionalFormatting>
  <conditionalFormatting sqref="H72">
    <cfRule type="expression" dxfId="2950" priority="1859">
      <formula>$H$74=TRUE</formula>
    </cfRule>
  </conditionalFormatting>
  <conditionalFormatting sqref="H84">
    <cfRule type="expression" dxfId="2949" priority="1857">
      <formula>$H$86=TRUE</formula>
    </cfRule>
  </conditionalFormatting>
  <conditionalFormatting sqref="H96">
    <cfRule type="expression" dxfId="2948" priority="1851">
      <formula>$H$98=TRUE</formula>
    </cfRule>
  </conditionalFormatting>
  <conditionalFormatting sqref="H108">
    <cfRule type="expression" dxfId="2947" priority="1847">
      <formula>$H$110=TRUE</formula>
    </cfRule>
  </conditionalFormatting>
  <conditionalFormatting sqref="H120">
    <cfRule type="expression" dxfId="2946" priority="1843">
      <formula>$H$122=TRUE</formula>
    </cfRule>
  </conditionalFormatting>
  <conditionalFormatting sqref="H132">
    <cfRule type="expression" dxfId="2945" priority="1841">
      <formula>$H$134=TRUE</formula>
    </cfRule>
  </conditionalFormatting>
  <conditionalFormatting sqref="H144">
    <cfRule type="expression" dxfId="2944" priority="1835">
      <formula>$H$146=TRUE</formula>
    </cfRule>
  </conditionalFormatting>
  <conditionalFormatting sqref="H156">
    <cfRule type="expression" dxfId="2943" priority="1830">
      <formula>$H$158=TRUE</formula>
    </cfRule>
  </conditionalFormatting>
  <conditionalFormatting sqref="H168">
    <cfRule type="expression" dxfId="2942" priority="1826">
      <formula>$H$170=TRUE</formula>
    </cfRule>
  </conditionalFormatting>
  <conditionalFormatting sqref="H180">
    <cfRule type="expression" dxfId="2941" priority="1824">
      <formula>$H$182=TRUE</formula>
    </cfRule>
  </conditionalFormatting>
  <conditionalFormatting sqref="H192">
    <cfRule type="expression" dxfId="2940" priority="1820">
      <formula>$H$194=TRUE</formula>
    </cfRule>
  </conditionalFormatting>
  <conditionalFormatting sqref="H204">
    <cfRule type="expression" dxfId="2939" priority="1815">
      <formula>$H$206=TRUE</formula>
    </cfRule>
  </conditionalFormatting>
  <conditionalFormatting sqref="H216">
    <cfRule type="expression" dxfId="2938" priority="1812">
      <formula>$H$218=TRUE</formula>
    </cfRule>
  </conditionalFormatting>
  <conditionalFormatting sqref="H228">
    <cfRule type="expression" dxfId="2937" priority="1808">
      <formula>$H$230=TRUE</formula>
    </cfRule>
  </conditionalFormatting>
  <conditionalFormatting sqref="H240">
    <cfRule type="expression" dxfId="2936" priority="1804">
      <formula>$H$242=TRUE</formula>
    </cfRule>
  </conditionalFormatting>
  <conditionalFormatting sqref="H10:I18">
    <cfRule type="expression" dxfId="2935" priority="1667">
      <formula>$E$12=FALSE</formula>
    </cfRule>
  </conditionalFormatting>
  <conditionalFormatting sqref="H14:I14">
    <cfRule type="expression" dxfId="2934" priority="1879">
      <formula>$H$12=TRUE</formula>
    </cfRule>
  </conditionalFormatting>
  <conditionalFormatting sqref="H22:I26">
    <cfRule type="expression" dxfId="2933" priority="1387">
      <formula>$E$24=FALSE</formula>
    </cfRule>
  </conditionalFormatting>
  <conditionalFormatting sqref="H26:I26">
    <cfRule type="expression" dxfId="2932" priority="1877">
      <formula>$H$24=TRUE</formula>
    </cfRule>
  </conditionalFormatting>
  <conditionalFormatting sqref="H34:I38">
    <cfRule type="expression" dxfId="2931" priority="1385">
      <formula>$E$36=FALSE</formula>
    </cfRule>
  </conditionalFormatting>
  <conditionalFormatting sqref="H46:I50">
    <cfRule type="expression" dxfId="2930" priority="1382">
      <formula>$E$48=FALSE</formula>
    </cfRule>
  </conditionalFormatting>
  <conditionalFormatting sqref="H50:I50">
    <cfRule type="expression" dxfId="2929" priority="1869">
      <formula>$H$48=TRUE</formula>
    </cfRule>
  </conditionalFormatting>
  <conditionalFormatting sqref="H58:I62">
    <cfRule type="expression" dxfId="2928" priority="1380">
      <formula>$E$60=FALSE</formula>
    </cfRule>
  </conditionalFormatting>
  <conditionalFormatting sqref="H62:I62">
    <cfRule type="expression" dxfId="2927" priority="1865">
      <formula>$H$60=TRUE</formula>
    </cfRule>
  </conditionalFormatting>
  <conditionalFormatting sqref="H70:I74">
    <cfRule type="expression" dxfId="2926" priority="1378">
      <formula>$E$72=FALSE</formula>
    </cfRule>
  </conditionalFormatting>
  <conditionalFormatting sqref="H74:I74">
    <cfRule type="expression" dxfId="2925" priority="1861">
      <formula>$H$72=TRUE</formula>
    </cfRule>
  </conditionalFormatting>
  <conditionalFormatting sqref="H82:I86">
    <cfRule type="expression" dxfId="2924" priority="6372">
      <formula>$E$84=FALSE</formula>
    </cfRule>
  </conditionalFormatting>
  <conditionalFormatting sqref="H86:I86">
    <cfRule type="expression" dxfId="2923" priority="1855">
      <formula>$H$84=TRUE</formula>
    </cfRule>
  </conditionalFormatting>
  <conditionalFormatting sqref="H94:I98">
    <cfRule type="expression" dxfId="2922" priority="1374">
      <formula>$E$96=FALSE</formula>
    </cfRule>
  </conditionalFormatting>
  <conditionalFormatting sqref="H98:I98">
    <cfRule type="expression" dxfId="2921" priority="1853">
      <formula>$H$96=TRUE</formula>
    </cfRule>
  </conditionalFormatting>
  <conditionalFormatting sqref="H106:I110">
    <cfRule type="expression" dxfId="2920" priority="1372">
      <formula>$E$108=FALSE</formula>
    </cfRule>
  </conditionalFormatting>
  <conditionalFormatting sqref="H110:I110">
    <cfRule type="expression" dxfId="2919" priority="1849">
      <formula>$H$108=TRUE</formula>
    </cfRule>
  </conditionalFormatting>
  <conditionalFormatting sqref="H118:I122">
    <cfRule type="expression" dxfId="2918" priority="1370">
      <formula>$E$120=FALSE</formula>
    </cfRule>
  </conditionalFormatting>
  <conditionalFormatting sqref="H122:I122">
    <cfRule type="expression" dxfId="2917" priority="1845">
      <formula>$H$120=TRUE</formula>
    </cfRule>
  </conditionalFormatting>
  <conditionalFormatting sqref="H130:I134">
    <cfRule type="expression" dxfId="2916" priority="1368">
      <formula>$E$132=FALSE</formula>
    </cfRule>
  </conditionalFormatting>
  <conditionalFormatting sqref="H134:I134">
    <cfRule type="expression" dxfId="2915" priority="1839">
      <formula>$H$132=TRUE</formula>
    </cfRule>
  </conditionalFormatting>
  <conditionalFormatting sqref="H142:I146">
    <cfRule type="expression" dxfId="2914" priority="1366">
      <formula>$E$144=FALSE</formula>
    </cfRule>
  </conditionalFormatting>
  <conditionalFormatting sqref="H146:I146">
    <cfRule type="expression" dxfId="2913" priority="1837">
      <formula>$H$144=TRUE</formula>
    </cfRule>
  </conditionalFormatting>
  <conditionalFormatting sqref="H154:I158">
    <cfRule type="expression" dxfId="2912" priority="1364">
      <formula>$E$156=FALSE</formula>
    </cfRule>
  </conditionalFormatting>
  <conditionalFormatting sqref="H158:I158">
    <cfRule type="expression" dxfId="2911" priority="1832">
      <formula>$H$156=TRUE</formula>
    </cfRule>
  </conditionalFormatting>
  <conditionalFormatting sqref="H166:I170">
    <cfRule type="expression" dxfId="2910" priority="1362">
      <formula>$E$168=FALSE</formula>
    </cfRule>
  </conditionalFormatting>
  <conditionalFormatting sqref="H170:I170">
    <cfRule type="expression" dxfId="2909" priority="1828">
      <formula>$H$168=TRUE</formula>
    </cfRule>
  </conditionalFormatting>
  <conditionalFormatting sqref="H178:I182">
    <cfRule type="expression" dxfId="2908" priority="1360">
      <formula>$E$180=FALSE</formula>
    </cfRule>
  </conditionalFormatting>
  <conditionalFormatting sqref="H182:I182">
    <cfRule type="expression" dxfId="2907" priority="1822">
      <formula>$H$180=TRUE</formula>
    </cfRule>
  </conditionalFormatting>
  <conditionalFormatting sqref="H190:I194">
    <cfRule type="expression" dxfId="2906" priority="1357">
      <formula>$E$192=FALSE</formula>
    </cfRule>
  </conditionalFormatting>
  <conditionalFormatting sqref="H194:I194">
    <cfRule type="expression" dxfId="2905" priority="1818">
      <formula>$H$192=TRUE</formula>
    </cfRule>
  </conditionalFormatting>
  <conditionalFormatting sqref="H202:I206">
    <cfRule type="expression" dxfId="2904" priority="1355">
      <formula>$E$204=FALSE</formula>
    </cfRule>
  </conditionalFormatting>
  <conditionalFormatting sqref="H206:I206">
    <cfRule type="expression" dxfId="2903" priority="1816">
      <formula>$H$204=TRUE</formula>
    </cfRule>
  </conditionalFormatting>
  <conditionalFormatting sqref="H214:I218">
    <cfRule type="expression" dxfId="2902" priority="1353">
      <formula>$E$216=FALSE</formula>
    </cfRule>
  </conditionalFormatting>
  <conditionalFormatting sqref="H218:I218">
    <cfRule type="expression" dxfId="2901" priority="1810">
      <formula>$H$216=TRUE</formula>
    </cfRule>
  </conditionalFormatting>
  <conditionalFormatting sqref="H226:I230">
    <cfRule type="expression" dxfId="2900" priority="1351">
      <formula>$E$228=FALSE</formula>
    </cfRule>
  </conditionalFormatting>
  <conditionalFormatting sqref="H230:I230">
    <cfRule type="expression" dxfId="2899" priority="1806">
      <formula>$H$228=TRUE</formula>
    </cfRule>
  </conditionalFormatting>
  <conditionalFormatting sqref="H238:I242">
    <cfRule type="expression" dxfId="2898" priority="1329">
      <formula>$E$240=FALSE</formula>
    </cfRule>
  </conditionalFormatting>
  <conditionalFormatting sqref="H242:I242">
    <cfRule type="expression" dxfId="2897" priority="1802">
      <formula>$H$240=TRUE</formula>
    </cfRule>
  </conditionalFormatting>
  <conditionalFormatting sqref="I12:I13">
    <cfRule type="expression" dxfId="2896" priority="1881">
      <formula>$H$14=TRUE</formula>
    </cfRule>
  </conditionalFormatting>
  <conditionalFormatting sqref="I24:I25">
    <cfRule type="expression" dxfId="2895" priority="1876">
      <formula>$H$26=TRUE</formula>
    </cfRule>
  </conditionalFormatting>
  <conditionalFormatting sqref="I36:I37">
    <cfRule type="expression" dxfId="2894" priority="2109">
      <formula>$H$38=TRUE</formula>
    </cfRule>
  </conditionalFormatting>
  <conditionalFormatting sqref="I38">
    <cfRule type="expression" dxfId="2893" priority="1871">
      <formula>TRUE=$H$36</formula>
    </cfRule>
  </conditionalFormatting>
  <conditionalFormatting sqref="I48:I49">
    <cfRule type="expression" dxfId="2892" priority="1868">
      <formula>$H$50=TRUE</formula>
    </cfRule>
  </conditionalFormatting>
  <conditionalFormatting sqref="I60:I61">
    <cfRule type="expression" dxfId="2891" priority="1864">
      <formula>$H$62=TRUE</formula>
    </cfRule>
  </conditionalFormatting>
  <conditionalFormatting sqref="I72:I73">
    <cfRule type="expression" dxfId="2890" priority="1860">
      <formula>$H$74=TRUE</formula>
    </cfRule>
  </conditionalFormatting>
  <conditionalFormatting sqref="I84:I85">
    <cfRule type="expression" dxfId="2889" priority="1858">
      <formula>$H$86=TRUE</formula>
    </cfRule>
  </conditionalFormatting>
  <conditionalFormatting sqref="I96:I97">
    <cfRule type="expression" dxfId="2888" priority="1852">
      <formula>$H$98=TRUE</formula>
    </cfRule>
  </conditionalFormatting>
  <conditionalFormatting sqref="I108:I109">
    <cfRule type="expression" dxfId="2887" priority="1848">
      <formula>$H$110=TRUE</formula>
    </cfRule>
  </conditionalFormatting>
  <conditionalFormatting sqref="I120:I121">
    <cfRule type="expression" dxfId="2886" priority="1844">
      <formula>$H$122=TRUE</formula>
    </cfRule>
  </conditionalFormatting>
  <conditionalFormatting sqref="I132:I133">
    <cfRule type="expression" dxfId="2885" priority="1842">
      <formula>$H$134=TRUE</formula>
    </cfRule>
  </conditionalFormatting>
  <conditionalFormatting sqref="I144:I145">
    <cfRule type="expression" dxfId="2884" priority="1836">
      <formula>$H$146=TRUE</formula>
    </cfRule>
  </conditionalFormatting>
  <conditionalFormatting sqref="I156:I157">
    <cfRule type="expression" dxfId="2883" priority="1831">
      <formula>$H$158=TRUE</formula>
    </cfRule>
  </conditionalFormatting>
  <conditionalFormatting sqref="I168:I169">
    <cfRule type="expression" dxfId="2882" priority="1827">
      <formula>$H$170=TRUE</formula>
    </cfRule>
  </conditionalFormatting>
  <conditionalFormatting sqref="I180:I181">
    <cfRule type="expression" dxfId="2881" priority="1825">
      <formula>$H$182=TRUE</formula>
    </cfRule>
  </conditionalFormatting>
  <conditionalFormatting sqref="I192:I193">
    <cfRule type="expression" dxfId="2880" priority="1821">
      <formula>$H$194=TRUE</formula>
    </cfRule>
  </conditionalFormatting>
  <conditionalFormatting sqref="I204:I205">
    <cfRule type="expression" dxfId="2879" priority="1814">
      <formula>$H$206=TRUE</formula>
    </cfRule>
  </conditionalFormatting>
  <conditionalFormatting sqref="I216:I217">
    <cfRule type="expression" dxfId="2878" priority="1813">
      <formula>$H$218=TRUE</formula>
    </cfRule>
  </conditionalFormatting>
  <conditionalFormatting sqref="I228:I229">
    <cfRule type="expression" dxfId="2877" priority="1809">
      <formula>$H$230=TRUE</formula>
    </cfRule>
  </conditionalFormatting>
  <conditionalFormatting sqref="I240:I241">
    <cfRule type="expression" dxfId="2876" priority="1805">
      <formula>$H$242=TRUE</formula>
    </cfRule>
  </conditionalFormatting>
  <conditionalFormatting sqref="J12">
    <cfRule type="expression" dxfId="2875" priority="3581">
      <formula>H14=TRUE</formula>
    </cfRule>
  </conditionalFormatting>
  <conditionalFormatting sqref="J13">
    <cfRule type="expression" dxfId="2874" priority="1958">
      <formula>$J$12=TRUE</formula>
    </cfRule>
    <cfRule type="expression" dxfId="2873" priority="3582">
      <formula>H14=TRUE</formula>
    </cfRule>
  </conditionalFormatting>
  <conditionalFormatting sqref="J24">
    <cfRule type="expression" dxfId="2872" priority="3514">
      <formula>H26=TRUE</formula>
    </cfRule>
  </conditionalFormatting>
  <conditionalFormatting sqref="J25">
    <cfRule type="expression" dxfId="2871" priority="1955">
      <formula>$J$24=TRUE</formula>
    </cfRule>
    <cfRule type="expression" dxfId="2870" priority="3515">
      <formula>H26=TRUE</formula>
    </cfRule>
  </conditionalFormatting>
  <conditionalFormatting sqref="J36">
    <cfRule type="expression" dxfId="2869" priority="3451">
      <formula>H38=TRUE</formula>
    </cfRule>
  </conditionalFormatting>
  <conditionalFormatting sqref="J37">
    <cfRule type="expression" dxfId="2868" priority="3452">
      <formula>H38=TRUE</formula>
    </cfRule>
    <cfRule type="expression" dxfId="2867" priority="1953">
      <formula>$J$36=TRUE</formula>
    </cfRule>
  </conditionalFormatting>
  <conditionalFormatting sqref="J48">
    <cfRule type="expression" dxfId="2866" priority="3389">
      <formula>H50=TRUE</formula>
    </cfRule>
  </conditionalFormatting>
  <conditionalFormatting sqref="J49">
    <cfRule type="expression" dxfId="2865" priority="1951">
      <formula>$J$48=TRUE</formula>
    </cfRule>
    <cfRule type="expression" dxfId="2864" priority="3390">
      <formula>H50=TRUE</formula>
    </cfRule>
  </conditionalFormatting>
  <conditionalFormatting sqref="J60">
    <cfRule type="expression" dxfId="2863" priority="3327">
      <formula>H62=TRUE</formula>
    </cfRule>
  </conditionalFormatting>
  <conditionalFormatting sqref="J61">
    <cfRule type="expression" dxfId="2862" priority="1949">
      <formula>$J$60=TRUE</formula>
    </cfRule>
    <cfRule type="expression" dxfId="2861" priority="3328">
      <formula>H62=TRUE</formula>
    </cfRule>
  </conditionalFormatting>
  <conditionalFormatting sqref="J72">
    <cfRule type="expression" dxfId="2860" priority="3265">
      <formula>H74=TRUE</formula>
    </cfRule>
  </conditionalFormatting>
  <conditionalFormatting sqref="J73">
    <cfRule type="expression" dxfId="2859" priority="1947">
      <formula>$J$72=TRUE</formula>
    </cfRule>
    <cfRule type="expression" dxfId="2858" priority="3266">
      <formula>H74=TRUE</formula>
    </cfRule>
  </conditionalFormatting>
  <conditionalFormatting sqref="J84">
    <cfRule type="expression" dxfId="2857" priority="3203">
      <formula>H86=TRUE</formula>
    </cfRule>
  </conditionalFormatting>
  <conditionalFormatting sqref="J85">
    <cfRule type="expression" dxfId="2856" priority="1945">
      <formula>$J$84=TRUE</formula>
    </cfRule>
    <cfRule type="expression" dxfId="2855" priority="3204">
      <formula>H86=TRUE</formula>
    </cfRule>
  </conditionalFormatting>
  <conditionalFormatting sqref="J96">
    <cfRule type="expression" dxfId="2854" priority="3141">
      <formula>H98=TRUE</formula>
    </cfRule>
  </conditionalFormatting>
  <conditionalFormatting sqref="J97">
    <cfRule type="expression" dxfId="2853" priority="3142">
      <formula>H98=TRUE</formula>
    </cfRule>
    <cfRule type="expression" dxfId="2852" priority="1943">
      <formula>$J$96=TRUE</formula>
    </cfRule>
  </conditionalFormatting>
  <conditionalFormatting sqref="J108">
    <cfRule type="expression" dxfId="2851" priority="3053">
      <formula>H110=TRUE</formula>
    </cfRule>
  </conditionalFormatting>
  <conditionalFormatting sqref="J109">
    <cfRule type="expression" dxfId="2850" priority="3054">
      <formula>H110=TRUE</formula>
    </cfRule>
    <cfRule type="expression" dxfId="2849" priority="1941">
      <formula>$J$108=TRUE</formula>
    </cfRule>
  </conditionalFormatting>
  <conditionalFormatting sqref="J120">
    <cfRule type="expression" dxfId="2848" priority="2991">
      <formula>H122=TRUE</formula>
    </cfRule>
  </conditionalFormatting>
  <conditionalFormatting sqref="J121">
    <cfRule type="expression" dxfId="2847" priority="2992">
      <formula>H122=TRUE</formula>
    </cfRule>
    <cfRule type="expression" dxfId="2846" priority="1939">
      <formula>$J$120=TRUE</formula>
    </cfRule>
  </conditionalFormatting>
  <conditionalFormatting sqref="J132">
    <cfRule type="expression" dxfId="2845" priority="2929">
      <formula>H134=TRUE</formula>
    </cfRule>
  </conditionalFormatting>
  <conditionalFormatting sqref="J133">
    <cfRule type="expression" dxfId="2844" priority="2930">
      <formula>H134=TRUE</formula>
    </cfRule>
    <cfRule type="expression" dxfId="2843" priority="1937">
      <formula>$J$132=TRUE</formula>
    </cfRule>
  </conditionalFormatting>
  <conditionalFormatting sqref="J145">
    <cfRule type="expression" dxfId="2842" priority="2868">
      <formula>H146=TRUE</formula>
    </cfRule>
    <cfRule type="expression" dxfId="2841" priority="1935">
      <formula>$J$144=TRUE</formula>
    </cfRule>
  </conditionalFormatting>
  <conditionalFormatting sqref="J156">
    <cfRule type="expression" dxfId="2840" priority="2805">
      <formula>H158=TRUE</formula>
    </cfRule>
  </conditionalFormatting>
  <conditionalFormatting sqref="J157">
    <cfRule type="expression" dxfId="2839" priority="2806">
      <formula>H158=TRUE</formula>
    </cfRule>
    <cfRule type="expression" dxfId="2838" priority="1933">
      <formula>$J$156=TRUE</formula>
    </cfRule>
  </conditionalFormatting>
  <conditionalFormatting sqref="J168">
    <cfRule type="expression" dxfId="2837" priority="2743">
      <formula>H170=TRUE</formula>
    </cfRule>
  </conditionalFormatting>
  <conditionalFormatting sqref="J169">
    <cfRule type="expression" dxfId="2836" priority="2744">
      <formula>H170=TRUE</formula>
    </cfRule>
    <cfRule type="expression" dxfId="2835" priority="1931">
      <formula>$J$168=TRUE</formula>
    </cfRule>
  </conditionalFormatting>
  <conditionalFormatting sqref="J180">
    <cfRule type="expression" dxfId="2834" priority="2681">
      <formula>H182=TRUE</formula>
    </cfRule>
  </conditionalFormatting>
  <conditionalFormatting sqref="J181">
    <cfRule type="expression" dxfId="2833" priority="1929">
      <formula>$J$180=TRUE</formula>
    </cfRule>
    <cfRule type="expression" dxfId="2832" priority="2682">
      <formula>H182=TRUE</formula>
    </cfRule>
  </conditionalFormatting>
  <conditionalFormatting sqref="J192">
    <cfRule type="expression" dxfId="2831" priority="2619">
      <formula>H194=TRUE</formula>
    </cfRule>
  </conditionalFormatting>
  <conditionalFormatting sqref="J193">
    <cfRule type="expression" dxfId="2830" priority="1927">
      <formula>$J$192=TRUE</formula>
    </cfRule>
    <cfRule type="expression" dxfId="2829" priority="2620">
      <formula>H194=TRUE</formula>
    </cfRule>
  </conditionalFormatting>
  <conditionalFormatting sqref="J204">
    <cfRule type="expression" dxfId="2828" priority="2557">
      <formula>H206=TRUE</formula>
    </cfRule>
  </conditionalFormatting>
  <conditionalFormatting sqref="J205">
    <cfRule type="expression" dxfId="2827" priority="1926">
      <formula>$J$204=TRUE</formula>
    </cfRule>
    <cfRule type="expression" dxfId="2826" priority="2558">
      <formula>H206=TRUE</formula>
    </cfRule>
  </conditionalFormatting>
  <conditionalFormatting sqref="J216">
    <cfRule type="expression" dxfId="2825" priority="2495">
      <formula>H218=TRUE</formula>
    </cfRule>
  </conditionalFormatting>
  <conditionalFormatting sqref="J217">
    <cfRule type="expression" dxfId="2824" priority="2496">
      <formula>H218=TRUE</formula>
    </cfRule>
    <cfRule type="expression" dxfId="2823" priority="1923">
      <formula>$J$216=TRUE</formula>
    </cfRule>
  </conditionalFormatting>
  <conditionalFormatting sqref="J228">
    <cfRule type="expression" dxfId="2822" priority="2433">
      <formula>H230=TRUE</formula>
    </cfRule>
  </conditionalFormatting>
  <conditionalFormatting sqref="J229">
    <cfRule type="expression" dxfId="2821" priority="2434">
      <formula>H230=TRUE</formula>
    </cfRule>
    <cfRule type="expression" dxfId="2820" priority="1921">
      <formula>$J$228=TRUE</formula>
    </cfRule>
  </conditionalFormatting>
  <conditionalFormatting sqref="J240">
    <cfRule type="expression" dxfId="2819" priority="2371">
      <formula>H242=TRUE</formula>
    </cfRule>
  </conditionalFormatting>
  <conditionalFormatting sqref="J241">
    <cfRule type="expression" dxfId="2818" priority="1919">
      <formula>$J$240=TRUE</formula>
    </cfRule>
    <cfRule type="expression" dxfId="2817" priority="2372">
      <formula>H242=TRUE</formula>
    </cfRule>
  </conditionalFormatting>
  <conditionalFormatting sqref="J3:K3">
    <cfRule type="expression" dxfId="2816" priority="6374">
      <formula>OR(H14,H26,H38,H50,H62,H74,H86,H98,H110,H122,H134,H146,H158,H170,H182,H194,H206,H218,H230,H242)</formula>
    </cfRule>
  </conditionalFormatting>
  <conditionalFormatting sqref="J12:K12">
    <cfRule type="expression" dxfId="2815" priority="1917">
      <formula>$J$13=TRUE</formula>
    </cfRule>
  </conditionalFormatting>
  <conditionalFormatting sqref="J22:K23">
    <cfRule type="expression" dxfId="2814" priority="3471">
      <formula>H26=TRUE</formula>
    </cfRule>
  </conditionalFormatting>
  <conditionalFormatting sqref="J24:K24">
    <cfRule type="expression" dxfId="2813" priority="1915">
      <formula>$J$25=TRUE</formula>
    </cfRule>
  </conditionalFormatting>
  <conditionalFormatting sqref="J34:K35">
    <cfRule type="expression" dxfId="2812" priority="3409">
      <formula>H38=TRUE</formula>
    </cfRule>
  </conditionalFormatting>
  <conditionalFormatting sqref="J36:K36">
    <cfRule type="expression" dxfId="2811" priority="1913">
      <formula>$J$37=TRUE</formula>
    </cfRule>
  </conditionalFormatting>
  <conditionalFormatting sqref="J46:K47">
    <cfRule type="expression" dxfId="2810" priority="3347">
      <formula>H50=TRUE</formula>
    </cfRule>
  </conditionalFormatting>
  <conditionalFormatting sqref="J48:K48">
    <cfRule type="expression" dxfId="2809" priority="1911">
      <formula>$J$49=TRUE</formula>
    </cfRule>
  </conditionalFormatting>
  <conditionalFormatting sqref="J58:K59">
    <cfRule type="expression" dxfId="2808" priority="3285">
      <formula>H62=TRUE</formula>
    </cfRule>
  </conditionalFormatting>
  <conditionalFormatting sqref="J60:K60">
    <cfRule type="expression" dxfId="2807" priority="1909">
      <formula>$J$61=TRUE</formula>
    </cfRule>
  </conditionalFormatting>
  <conditionalFormatting sqref="J70:K71">
    <cfRule type="expression" dxfId="2806" priority="3223">
      <formula>H74=TRUE</formula>
    </cfRule>
  </conditionalFormatting>
  <conditionalFormatting sqref="J72:K72">
    <cfRule type="expression" dxfId="2805" priority="1907">
      <formula>$J$73=TRUE</formula>
    </cfRule>
  </conditionalFormatting>
  <conditionalFormatting sqref="J82:K83 J10:K11">
    <cfRule type="expression" dxfId="2804" priority="3472">
      <formula>H14=TRUE</formula>
    </cfRule>
  </conditionalFormatting>
  <conditionalFormatting sqref="J84:K84">
    <cfRule type="expression" dxfId="2803" priority="3">
      <formula>$J$85=TRUE</formula>
    </cfRule>
  </conditionalFormatting>
  <conditionalFormatting sqref="J94:K95">
    <cfRule type="expression" dxfId="2802" priority="3099">
      <formula>H98=TRUE</formula>
    </cfRule>
  </conditionalFormatting>
  <conditionalFormatting sqref="J96:K96">
    <cfRule type="expression" dxfId="2801" priority="1905">
      <formula>$J$97=TRUE</formula>
    </cfRule>
  </conditionalFormatting>
  <conditionalFormatting sqref="J106:K107">
    <cfRule type="expression" dxfId="2800" priority="3017">
      <formula>H110=TRUE</formula>
    </cfRule>
  </conditionalFormatting>
  <conditionalFormatting sqref="J108:K108">
    <cfRule type="expression" dxfId="2799" priority="1903">
      <formula>$J$109=TRUE</formula>
    </cfRule>
  </conditionalFormatting>
  <conditionalFormatting sqref="J118:K119">
    <cfRule type="expression" dxfId="2798" priority="2955">
      <formula>H122=TRUE</formula>
    </cfRule>
  </conditionalFormatting>
  <conditionalFormatting sqref="J120:K120">
    <cfRule type="expression" dxfId="2797" priority="1901">
      <formula>$J$121=TRUE</formula>
    </cfRule>
  </conditionalFormatting>
  <conditionalFormatting sqref="J130:K131">
    <cfRule type="expression" dxfId="2796" priority="2893">
      <formula>H134=TRUE</formula>
    </cfRule>
  </conditionalFormatting>
  <conditionalFormatting sqref="J132:K132">
    <cfRule type="expression" dxfId="2795" priority="1899">
      <formula>$J$133=TRUE</formula>
    </cfRule>
  </conditionalFormatting>
  <conditionalFormatting sqref="J142:K143">
    <cfRule type="expression" dxfId="2794" priority="2831">
      <formula>H146=TRUE</formula>
    </cfRule>
  </conditionalFormatting>
  <conditionalFormatting sqref="J144:K144">
    <cfRule type="expression" dxfId="2793" priority="22">
      <formula>$H$146=FALSE</formula>
    </cfRule>
    <cfRule type="expression" dxfId="2792" priority="2867">
      <formula>$J$145=TRUE</formula>
    </cfRule>
  </conditionalFormatting>
  <conditionalFormatting sqref="J154:K155">
    <cfRule type="expression" dxfId="2791" priority="2769">
      <formula>H158=TRUE</formula>
    </cfRule>
  </conditionalFormatting>
  <conditionalFormatting sqref="J156:K156">
    <cfRule type="expression" dxfId="2790" priority="1897">
      <formula>$J$157=TRUE</formula>
    </cfRule>
  </conditionalFormatting>
  <conditionalFormatting sqref="J166:K167">
    <cfRule type="expression" dxfId="2789" priority="2707">
      <formula>H170=TRUE</formula>
    </cfRule>
  </conditionalFormatting>
  <conditionalFormatting sqref="J168:K168">
    <cfRule type="expression" dxfId="2788" priority="1895">
      <formula>$J$169=TRUE</formula>
    </cfRule>
  </conditionalFormatting>
  <conditionalFormatting sqref="J178:K179">
    <cfRule type="expression" dxfId="2787" priority="2645">
      <formula>H182=TRUE</formula>
    </cfRule>
  </conditionalFormatting>
  <conditionalFormatting sqref="J180:K180">
    <cfRule type="expression" dxfId="2786" priority="1893">
      <formula>$J$181=TRUE</formula>
    </cfRule>
  </conditionalFormatting>
  <conditionalFormatting sqref="J190:K191">
    <cfRule type="expression" dxfId="2785" priority="2583">
      <formula>H194=TRUE</formula>
    </cfRule>
  </conditionalFormatting>
  <conditionalFormatting sqref="J192:K192">
    <cfRule type="expression" dxfId="2784" priority="1891">
      <formula>$J$193=TRUE</formula>
    </cfRule>
  </conditionalFormatting>
  <conditionalFormatting sqref="J202:K203">
    <cfRule type="expression" dxfId="2783" priority="2521">
      <formula>H206=TRUE</formula>
    </cfRule>
  </conditionalFormatting>
  <conditionalFormatting sqref="J204:K204">
    <cfRule type="expression" dxfId="2782" priority="1889">
      <formula>$J$205=TRUE</formula>
    </cfRule>
  </conditionalFormatting>
  <conditionalFormatting sqref="J214:K215">
    <cfRule type="expression" dxfId="2781" priority="2459">
      <formula>H218=TRUE</formula>
    </cfRule>
  </conditionalFormatting>
  <conditionalFormatting sqref="J216:K216">
    <cfRule type="expression" dxfId="2780" priority="1887">
      <formula>$J$217=TRUE</formula>
    </cfRule>
  </conditionalFormatting>
  <conditionalFormatting sqref="J226:K227">
    <cfRule type="expression" dxfId="2779" priority="2397">
      <formula>H230=TRUE</formula>
    </cfRule>
  </conditionalFormatting>
  <conditionalFormatting sqref="J228:K228">
    <cfRule type="expression" dxfId="2778" priority="1885">
      <formula>$J$229=TRUE</formula>
    </cfRule>
  </conditionalFormatting>
  <conditionalFormatting sqref="J238:K239">
    <cfRule type="expression" dxfId="2777" priority="2335">
      <formula>H242=TRUE</formula>
    </cfRule>
  </conditionalFormatting>
  <conditionalFormatting sqref="J240:K240">
    <cfRule type="expression" dxfId="2776" priority="1883">
      <formula>$J$241=TRUE</formula>
    </cfRule>
  </conditionalFormatting>
  <conditionalFormatting sqref="K12">
    <cfRule type="expression" dxfId="2775" priority="3585">
      <formula>H14=TRUE</formula>
    </cfRule>
  </conditionalFormatting>
  <conditionalFormatting sqref="K13:K14">
    <cfRule type="expression" dxfId="2774" priority="1957">
      <formula>$J$12=TRUE</formula>
    </cfRule>
    <cfRule type="expression" dxfId="2773" priority="3584">
      <formula>H14=TRUE</formula>
    </cfRule>
  </conditionalFormatting>
  <conditionalFormatting sqref="K24">
    <cfRule type="expression" dxfId="2772" priority="3517">
      <formula>H26=TRUE</formula>
    </cfRule>
  </conditionalFormatting>
  <conditionalFormatting sqref="K25:K26">
    <cfRule type="expression" dxfId="2771" priority="1956">
      <formula>$J$24=TRUE</formula>
    </cfRule>
    <cfRule type="expression" dxfId="2770" priority="3516">
      <formula>H26=TRUE</formula>
    </cfRule>
  </conditionalFormatting>
  <conditionalFormatting sqref="K36">
    <cfRule type="expression" dxfId="2769" priority="3454">
      <formula>H38=TRUE</formula>
    </cfRule>
  </conditionalFormatting>
  <conditionalFormatting sqref="K37:K38">
    <cfRule type="expression" dxfId="2768" priority="3453">
      <formula>H38=TRUE</formula>
    </cfRule>
    <cfRule type="expression" dxfId="2767" priority="1954">
      <formula>$J$36=TRUE</formula>
    </cfRule>
  </conditionalFormatting>
  <conditionalFormatting sqref="K48">
    <cfRule type="expression" dxfId="2766" priority="3392">
      <formula>H50=TRUE</formula>
    </cfRule>
  </conditionalFormatting>
  <conditionalFormatting sqref="K49:K50">
    <cfRule type="expression" dxfId="2765" priority="1952">
      <formula>$J$48=TRUE</formula>
    </cfRule>
    <cfRule type="expression" dxfId="2764" priority="3391">
      <formula>H50=TRUE</formula>
    </cfRule>
  </conditionalFormatting>
  <conditionalFormatting sqref="K60">
    <cfRule type="expression" dxfId="2763" priority="3330">
      <formula>H62=TRUE</formula>
    </cfRule>
  </conditionalFormatting>
  <conditionalFormatting sqref="K61:K62">
    <cfRule type="expression" dxfId="2762" priority="1950">
      <formula>$J$60=TRUE</formula>
    </cfRule>
    <cfRule type="expression" dxfId="2761" priority="3329">
      <formula>H62=TRUE</formula>
    </cfRule>
  </conditionalFormatting>
  <conditionalFormatting sqref="K72">
    <cfRule type="expression" dxfId="2760" priority="3268">
      <formula>H74=TRUE</formula>
    </cfRule>
  </conditionalFormatting>
  <conditionalFormatting sqref="K73:K74">
    <cfRule type="expression" dxfId="2759" priority="1948">
      <formula>$J$72</formula>
    </cfRule>
    <cfRule type="expression" dxfId="2758" priority="3267">
      <formula>H74=TRUE</formula>
    </cfRule>
  </conditionalFormatting>
  <conditionalFormatting sqref="K84">
    <cfRule type="expression" dxfId="2757" priority="3206">
      <formula>H86=TRUE</formula>
    </cfRule>
  </conditionalFormatting>
  <conditionalFormatting sqref="K85:K86">
    <cfRule type="expression" dxfId="2756" priority="1946">
      <formula>$J$84=TRUE</formula>
    </cfRule>
    <cfRule type="expression" dxfId="2755" priority="3205">
      <formula>H86=TRUE</formula>
    </cfRule>
  </conditionalFormatting>
  <conditionalFormatting sqref="K96">
    <cfRule type="expression" dxfId="2754" priority="3144">
      <formula>H98=TRUE</formula>
    </cfRule>
  </conditionalFormatting>
  <conditionalFormatting sqref="K97:K98">
    <cfRule type="expression" dxfId="2753" priority="1944">
      <formula>$J$96=TRUE</formula>
    </cfRule>
    <cfRule type="expression" dxfId="2752" priority="3143">
      <formula>H98=TRUE</formula>
    </cfRule>
  </conditionalFormatting>
  <conditionalFormatting sqref="K108">
    <cfRule type="expression" dxfId="2751" priority="3056">
      <formula>H110=TRUE</formula>
    </cfRule>
  </conditionalFormatting>
  <conditionalFormatting sqref="K109:K110">
    <cfRule type="expression" dxfId="2750" priority="1942">
      <formula>$J$108=TRUE</formula>
    </cfRule>
    <cfRule type="expression" dxfId="2749" priority="3055">
      <formula>H110=TRUE</formula>
    </cfRule>
  </conditionalFormatting>
  <conditionalFormatting sqref="K120">
    <cfRule type="expression" dxfId="2748" priority="2994">
      <formula>H122=TRUE</formula>
    </cfRule>
  </conditionalFormatting>
  <conditionalFormatting sqref="K121:K122">
    <cfRule type="expression" dxfId="2747" priority="1940">
      <formula>$J$120=TRUE</formula>
    </cfRule>
    <cfRule type="expression" dxfId="2746" priority="2993">
      <formula>H122=TRUE</formula>
    </cfRule>
  </conditionalFormatting>
  <conditionalFormatting sqref="K132">
    <cfRule type="expression" dxfId="2745" priority="2932">
      <formula>H134=TRUE</formula>
    </cfRule>
  </conditionalFormatting>
  <conditionalFormatting sqref="K133:K134">
    <cfRule type="expression" dxfId="2744" priority="2931">
      <formula>H134=TRUE</formula>
    </cfRule>
    <cfRule type="expression" dxfId="2743" priority="1938">
      <formula>$J$132=TRUE</formula>
    </cfRule>
  </conditionalFormatting>
  <conditionalFormatting sqref="K145:K146">
    <cfRule type="expression" dxfId="2742" priority="2869">
      <formula>H146=TRUE</formula>
    </cfRule>
    <cfRule type="expression" dxfId="2741" priority="1936">
      <formula>$J$144=TRUE</formula>
    </cfRule>
  </conditionalFormatting>
  <conditionalFormatting sqref="K156">
    <cfRule type="expression" dxfId="2740" priority="2808">
      <formula>H158=TRUE</formula>
    </cfRule>
  </conditionalFormatting>
  <conditionalFormatting sqref="K157:K158">
    <cfRule type="expression" dxfId="2739" priority="2807">
      <formula>H158=TRUE</formula>
    </cfRule>
    <cfRule type="expression" dxfId="2738" priority="1934">
      <formula>$J$156=TRUE</formula>
    </cfRule>
  </conditionalFormatting>
  <conditionalFormatting sqref="K168">
    <cfRule type="expression" dxfId="2737" priority="2746">
      <formula>H170=TRUE</formula>
    </cfRule>
  </conditionalFormatting>
  <conditionalFormatting sqref="K169:K170">
    <cfRule type="expression" dxfId="2736" priority="2745">
      <formula>H170=TRUE</formula>
    </cfRule>
    <cfRule type="expression" dxfId="2735" priority="1932">
      <formula>$J$168=TRUE</formula>
    </cfRule>
  </conditionalFormatting>
  <conditionalFormatting sqref="K180">
    <cfRule type="expression" dxfId="2734" priority="2684">
      <formula>H182=TRUE</formula>
    </cfRule>
  </conditionalFormatting>
  <conditionalFormatting sqref="K181:K182">
    <cfRule type="expression" dxfId="2733" priority="2683">
      <formula>H182=TRUE</formula>
    </cfRule>
    <cfRule type="expression" dxfId="2732" priority="1930">
      <formula>$J$180=TRUE</formula>
    </cfRule>
  </conditionalFormatting>
  <conditionalFormatting sqref="K192">
    <cfRule type="expression" dxfId="2731" priority="2622">
      <formula>H194=TRUE</formula>
    </cfRule>
  </conditionalFormatting>
  <conditionalFormatting sqref="K193:K194">
    <cfRule type="expression" dxfId="2730" priority="1928">
      <formula>$J$192=TRUE</formula>
    </cfRule>
    <cfRule type="expression" dxfId="2729" priority="2621">
      <formula>H194=TRUE</formula>
    </cfRule>
  </conditionalFormatting>
  <conditionalFormatting sqref="K204">
    <cfRule type="expression" dxfId="2728" priority="2560">
      <formula>H206=TRUE</formula>
    </cfRule>
  </conditionalFormatting>
  <conditionalFormatting sqref="K205:K206">
    <cfRule type="expression" dxfId="2727" priority="1925">
      <formula>$J$204=TRUE</formula>
    </cfRule>
    <cfRule type="expression" dxfId="2726" priority="2559">
      <formula>H206=TRUE</formula>
    </cfRule>
  </conditionalFormatting>
  <conditionalFormatting sqref="K216">
    <cfRule type="expression" dxfId="2725" priority="2498">
      <formula>H218=TRUE</formula>
    </cfRule>
  </conditionalFormatting>
  <conditionalFormatting sqref="K217:K218">
    <cfRule type="expression" dxfId="2724" priority="2497">
      <formula>H218=TRUE</formula>
    </cfRule>
    <cfRule type="expression" dxfId="2723" priority="1924">
      <formula>$J$216=TRUE</formula>
    </cfRule>
  </conditionalFormatting>
  <conditionalFormatting sqref="K228">
    <cfRule type="expression" dxfId="2722" priority="2436">
      <formula>H230=TRUE</formula>
    </cfRule>
  </conditionalFormatting>
  <conditionalFormatting sqref="K229:K230">
    <cfRule type="expression" dxfId="2721" priority="2435">
      <formula>H230=TRUE</formula>
    </cfRule>
    <cfRule type="expression" dxfId="2720" priority="1922">
      <formula>$J$228=TRUE</formula>
    </cfRule>
  </conditionalFormatting>
  <conditionalFormatting sqref="K240">
    <cfRule type="expression" dxfId="2719" priority="2374">
      <formula>H242=TRUE</formula>
    </cfRule>
  </conditionalFormatting>
  <conditionalFormatting sqref="K241:K242">
    <cfRule type="expression" dxfId="2718" priority="2373">
      <formula>H242=TRUE</formula>
    </cfRule>
    <cfRule type="expression" dxfId="2717" priority="1920">
      <formula>$J$240=TRUE</formula>
    </cfRule>
  </conditionalFormatting>
  <conditionalFormatting sqref="L12 L24 L36 L48 L60 L72 L84 L96 L108 L120 L132 L144 L156 L168 L180 L192 L204 L216 L228 L240">
    <cfRule type="expression" dxfId="2716" priority="3936">
      <formula>AND(H14=TRUE,J12=TRUE)</formula>
    </cfRule>
  </conditionalFormatting>
  <conditionalFormatting sqref="L13 L25 L37 L49 L61 L73 L85 L97 L109 L121 L133 L145 L157 L169 L229 L241 L217 L205 L193 L181">
    <cfRule type="expression" dxfId="2715" priority="3937">
      <formula>AND(H14=TRUE,J12=TRUE)</formula>
    </cfRule>
  </conditionalFormatting>
  <conditionalFormatting sqref="L14 L26 L38 L50 L62 L74 L86 L98 L110 L122 L134 L146 L158 L170 L230 L242 L218 L206 L194 L182">
    <cfRule type="expression" dxfId="2714" priority="3938">
      <formula>AND(H14=TRUE,J12=TRUE)</formula>
    </cfRule>
  </conditionalFormatting>
  <conditionalFormatting sqref="L12:M12">
    <cfRule type="expression" dxfId="2713" priority="1775">
      <formula>$L$13=TRUE</formula>
    </cfRule>
  </conditionalFormatting>
  <conditionalFormatting sqref="L24:M24 L26:M26">
    <cfRule type="expression" dxfId="2712" priority="1754">
      <formula>$L$25=TRUE</formula>
    </cfRule>
  </conditionalFormatting>
  <conditionalFormatting sqref="L36:M36 L38:M38">
    <cfRule type="expression" dxfId="2711" priority="1753">
      <formula>$L$37=TRUE</formula>
    </cfRule>
  </conditionalFormatting>
  <conditionalFormatting sqref="L48:M48 L50:M50">
    <cfRule type="expression" dxfId="2710" priority="1752">
      <formula>$L$49=TRUE</formula>
    </cfRule>
  </conditionalFormatting>
  <conditionalFormatting sqref="L60:M60 L62:M62">
    <cfRule type="expression" dxfId="2709" priority="1751">
      <formula>$L$61=TRUE</formula>
    </cfRule>
  </conditionalFormatting>
  <conditionalFormatting sqref="L72:M72 L74:N74">
    <cfRule type="expression" dxfId="2708" priority="1750">
      <formula>$L$73=TRUE</formula>
    </cfRule>
  </conditionalFormatting>
  <conditionalFormatting sqref="L84:M84 L86:N86">
    <cfRule type="expression" dxfId="2707" priority="1749">
      <formula>$L$85=TRUE</formula>
    </cfRule>
  </conditionalFormatting>
  <conditionalFormatting sqref="L96:M96 L98:N98">
    <cfRule type="expression" dxfId="2706" priority="1748">
      <formula>$L$97=TRUE</formula>
    </cfRule>
  </conditionalFormatting>
  <conditionalFormatting sqref="L108:M108 L110:N110">
    <cfRule type="expression" dxfId="2705" priority="1747">
      <formula>$L$109=TRUE</formula>
    </cfRule>
  </conditionalFormatting>
  <conditionalFormatting sqref="L120:M120 L122:N122">
    <cfRule type="expression" dxfId="2704" priority="1746">
      <formula>$L$121=TRUE</formula>
    </cfRule>
  </conditionalFormatting>
  <conditionalFormatting sqref="L132:M132 L134:N134">
    <cfRule type="expression" dxfId="2703" priority="1745">
      <formula>$L$133=TRUE</formula>
    </cfRule>
  </conditionalFormatting>
  <conditionalFormatting sqref="L144:M144 L146:N146">
    <cfRule type="expression" dxfId="2702" priority="1744">
      <formula>$L$145=TRUE</formula>
    </cfRule>
  </conditionalFormatting>
  <conditionalFormatting sqref="L156:M156 L158:N158">
    <cfRule type="expression" dxfId="2701" priority="1743">
      <formula>$L$157=TRUE</formula>
    </cfRule>
  </conditionalFormatting>
  <conditionalFormatting sqref="L168:M168 L170:N170">
    <cfRule type="expression" dxfId="2700" priority="1742">
      <formula>$L$169=TRUE</formula>
    </cfRule>
  </conditionalFormatting>
  <conditionalFormatting sqref="L180:M180 L182:N182">
    <cfRule type="expression" dxfId="2699" priority="1741">
      <formula>$L$181=TRUE</formula>
    </cfRule>
  </conditionalFormatting>
  <conditionalFormatting sqref="L192:M192 L194:N194">
    <cfRule type="expression" dxfId="2698" priority="1740">
      <formula>$L$193=TRUE</formula>
    </cfRule>
  </conditionalFormatting>
  <conditionalFormatting sqref="L204:M204 L206:N206">
    <cfRule type="expression" dxfId="2697" priority="1739">
      <formula>$L$205=TRUE</formula>
    </cfRule>
  </conditionalFormatting>
  <conditionalFormatting sqref="L216:M216 L218:N218">
    <cfRule type="expression" dxfId="2696" priority="1738">
      <formula>$L$217=TRUE</formula>
    </cfRule>
  </conditionalFormatting>
  <conditionalFormatting sqref="L228:M228 L230:N230">
    <cfRule type="expression" dxfId="2695" priority="1737">
      <formula>$L$229=TRUE</formula>
    </cfRule>
  </conditionalFormatting>
  <conditionalFormatting sqref="L240:M240 L242:N242">
    <cfRule type="expression" dxfId="2694" priority="1736">
      <formula>$L$241=TRUE</formula>
    </cfRule>
  </conditionalFormatting>
  <conditionalFormatting sqref="L3:N3">
    <cfRule type="expression" dxfId="2693" priority="638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692" priority="1776">
      <formula>$L$14=TRUE</formula>
    </cfRule>
  </conditionalFormatting>
  <conditionalFormatting sqref="L13:N15">
    <cfRule type="expression" dxfId="2691" priority="1796">
      <formula>$L$12=TRUE</formula>
    </cfRule>
  </conditionalFormatting>
  <conditionalFormatting sqref="L14:N14">
    <cfRule type="expression" dxfId="2690" priority="1774">
      <formula>$L$13=TRUE</formula>
    </cfRule>
  </conditionalFormatting>
  <conditionalFormatting sqref="L22:N23 L130:N131 L34:N35 L46:N47 L58:N59 L70:N71 L82:N83 L94:N95 L106:N107 L118:N119 L142:N143 L154:N155 L166:N167 L178:N179 L190:N191 L202:N203 L214:N215 L238:N239 L10:N11">
    <cfRule type="expression" dxfId="2689" priority="6279">
      <formula>AND(H14=TRUE,J12=TRUE)</formula>
    </cfRule>
  </conditionalFormatting>
  <conditionalFormatting sqref="L24:N25">
    <cfRule type="expression" dxfId="2688" priority="1773">
      <formula>$L$26=TRUE</formula>
    </cfRule>
  </conditionalFormatting>
  <conditionalFormatting sqref="L25:N27">
    <cfRule type="expression" dxfId="2687" priority="1795">
      <formula>$L$24=TRUE</formula>
    </cfRule>
  </conditionalFormatting>
  <conditionalFormatting sqref="L36:N37">
    <cfRule type="expression" dxfId="2686" priority="1772">
      <formula>$L$38=TRUE</formula>
    </cfRule>
  </conditionalFormatting>
  <conditionalFormatting sqref="L37:N39">
    <cfRule type="expression" dxfId="2685" priority="1794">
      <formula>$L$36=TRUE</formula>
    </cfRule>
  </conditionalFormatting>
  <conditionalFormatting sqref="L48:N49">
    <cfRule type="expression" dxfId="2684" priority="1771">
      <formula>$L$50=TRUE</formula>
    </cfRule>
  </conditionalFormatting>
  <conditionalFormatting sqref="L49:N51">
    <cfRule type="expression" dxfId="2683" priority="1793">
      <formula>$L$48=TRUE</formula>
    </cfRule>
  </conditionalFormatting>
  <conditionalFormatting sqref="L60:N61">
    <cfRule type="expression" dxfId="2682" priority="1770">
      <formula>$L$62=TRUE</formula>
    </cfRule>
  </conditionalFormatting>
  <conditionalFormatting sqref="L61:N63">
    <cfRule type="expression" dxfId="2681" priority="1792">
      <formula>$L$60=TRUE</formula>
    </cfRule>
  </conditionalFormatting>
  <conditionalFormatting sqref="L72:N73">
    <cfRule type="expression" dxfId="2680" priority="1769">
      <formula>$L$74=TRUE</formula>
    </cfRule>
  </conditionalFormatting>
  <conditionalFormatting sqref="L73:N75">
    <cfRule type="expression" dxfId="2679" priority="1791">
      <formula>$L$72=TRUE</formula>
    </cfRule>
  </conditionalFormatting>
  <conditionalFormatting sqref="L84:N85">
    <cfRule type="expression" dxfId="2678" priority="1768">
      <formula>$L$86=TRUE</formula>
    </cfRule>
  </conditionalFormatting>
  <conditionalFormatting sqref="L85:N87">
    <cfRule type="expression" dxfId="2677" priority="1790">
      <formula>$L$84=TRUE</formula>
    </cfRule>
  </conditionalFormatting>
  <conditionalFormatting sqref="L96:N97">
    <cfRule type="expression" dxfId="2676" priority="1767">
      <formula>$L$98=TRUE</formula>
    </cfRule>
  </conditionalFormatting>
  <conditionalFormatting sqref="L97:N100">
    <cfRule type="expression" dxfId="2675" priority="1789">
      <formula>$L$96=TRUE</formula>
    </cfRule>
  </conditionalFormatting>
  <conditionalFormatting sqref="L108:N109">
    <cfRule type="expression" dxfId="2674" priority="1766">
      <formula>$L$110=TRUE</formula>
    </cfRule>
  </conditionalFormatting>
  <conditionalFormatting sqref="L109:N111">
    <cfRule type="expression" dxfId="2673" priority="1788">
      <formula>$L$108=TRUE</formula>
    </cfRule>
  </conditionalFormatting>
  <conditionalFormatting sqref="L120:N121">
    <cfRule type="expression" dxfId="2672" priority="1765">
      <formula>$L$122=TRUE</formula>
    </cfRule>
  </conditionalFormatting>
  <conditionalFormatting sqref="L121:N124">
    <cfRule type="expression" dxfId="2671" priority="1787">
      <formula>$L$120=TRUE</formula>
    </cfRule>
  </conditionalFormatting>
  <conditionalFormatting sqref="L132:N133">
    <cfRule type="expression" dxfId="2670" priority="1764">
      <formula>$L$134=TRUE</formula>
    </cfRule>
  </conditionalFormatting>
  <conditionalFormatting sqref="L133:N136">
    <cfRule type="expression" dxfId="2669" priority="1786">
      <formula>$L$132=TRUE</formula>
    </cfRule>
  </conditionalFormatting>
  <conditionalFormatting sqref="L144:N145">
    <cfRule type="expression" dxfId="2668" priority="1763">
      <formula>$L$146=TRUE</formula>
    </cfRule>
  </conditionalFormatting>
  <conditionalFormatting sqref="L145:N148">
    <cfRule type="expression" dxfId="2667" priority="1785">
      <formula>$L$144=TRUE</formula>
    </cfRule>
  </conditionalFormatting>
  <conditionalFormatting sqref="L156:N157">
    <cfRule type="expression" dxfId="2666" priority="1762">
      <formula>$L$158=TRUE</formula>
    </cfRule>
  </conditionalFormatting>
  <conditionalFormatting sqref="L157:N160">
    <cfRule type="expression" dxfId="2665" priority="1784">
      <formula>$L$156=TRUE</formula>
    </cfRule>
  </conditionalFormatting>
  <conditionalFormatting sqref="L168:N169">
    <cfRule type="expression" dxfId="2664" priority="1761">
      <formula>$L$170=TRUE</formula>
    </cfRule>
  </conditionalFormatting>
  <conditionalFormatting sqref="L169:N172">
    <cfRule type="expression" dxfId="2663" priority="1783">
      <formula>$L$168=TRUE</formula>
    </cfRule>
  </conditionalFormatting>
  <conditionalFormatting sqref="L180:N181">
    <cfRule type="expression" dxfId="2662" priority="1760">
      <formula>$L$182=TRUE</formula>
    </cfRule>
  </conditionalFormatting>
  <conditionalFormatting sqref="L181:N184">
    <cfRule type="expression" dxfId="2661" priority="1777">
      <formula>$L$180=TRUE</formula>
    </cfRule>
  </conditionalFormatting>
  <conditionalFormatting sqref="L192:N193">
    <cfRule type="expression" dxfId="2660" priority="1759">
      <formula>$L$194=TRUE</formula>
    </cfRule>
  </conditionalFormatting>
  <conditionalFormatting sqref="L193:N196">
    <cfRule type="expression" dxfId="2659" priority="1778">
      <formula>$L$192=TRUE</formula>
    </cfRule>
  </conditionalFormatting>
  <conditionalFormatting sqref="L204:N205">
    <cfRule type="expression" dxfId="2658" priority="1758">
      <formula>$L$206=TRUE</formula>
    </cfRule>
  </conditionalFormatting>
  <conditionalFormatting sqref="L205:N208">
    <cfRule type="expression" dxfId="2657" priority="1779">
      <formula>$L$204=TRUE</formula>
    </cfRule>
  </conditionalFormatting>
  <conditionalFormatting sqref="L216:N217">
    <cfRule type="expression" dxfId="2656" priority="1757">
      <formula>$L$218=TRUE</formula>
    </cfRule>
  </conditionalFormatting>
  <conditionalFormatting sqref="L217:N219">
    <cfRule type="expression" dxfId="2655" priority="1780">
      <formula>$L$216=TRUE</formula>
    </cfRule>
  </conditionalFormatting>
  <conditionalFormatting sqref="L226:N227">
    <cfRule type="expression" dxfId="2654" priority="3997">
      <formula>AND(H230=TRUE,J228=TRUE)</formula>
    </cfRule>
  </conditionalFormatting>
  <conditionalFormatting sqref="L228:N229">
    <cfRule type="expression" dxfId="2653" priority="1756">
      <formula>$L$230=TRUE</formula>
    </cfRule>
  </conditionalFormatting>
  <conditionalFormatting sqref="L229:N232">
    <cfRule type="expression" dxfId="2652" priority="1782">
      <formula>$L$228=TRUE</formula>
    </cfRule>
  </conditionalFormatting>
  <conditionalFormatting sqref="L240:N241">
    <cfRule type="expression" dxfId="2651" priority="1755">
      <formula>$L$242=TRUE</formula>
    </cfRule>
  </conditionalFormatting>
  <conditionalFormatting sqref="L241:N243">
    <cfRule type="expression" dxfId="2650" priority="1781">
      <formula>$L$240=TRUE</formula>
    </cfRule>
  </conditionalFormatting>
  <conditionalFormatting sqref="M12 M24 M36 M48 M60 M72 M84 M96 M108 M120 M132 M144 M156 M168 M180 M192 M204 M216 M228 M240">
    <cfRule type="expression" dxfId="2649" priority="4017">
      <formula>AND(H14=TRUE,J12=TRUE)</formula>
    </cfRule>
  </conditionalFormatting>
  <conditionalFormatting sqref="M13 M25 M37 M49 M61 M73 M85 M97 M109 M121 M133 M145 M157 M169 M229 M241 M217 M205 M193 M181">
    <cfRule type="expression" dxfId="2648" priority="4018">
      <formula>AND(H14=TRUE,J12=TRUE)</formula>
    </cfRule>
  </conditionalFormatting>
  <conditionalFormatting sqref="M14 M26 M38 M50 M62 M74 M86 M98 M110 M122 M134 M146 M158 M170 M230 M242 M218 M206 M194 M182">
    <cfRule type="expression" dxfId="2647" priority="4019">
      <formula>AND(H14=TRUE,J12=TRUE)</formula>
    </cfRule>
  </conditionalFormatting>
  <conditionalFormatting sqref="N13 N25 N37 N49 N61 N73 N85 N97 N109 N121 N133 N145 N157 N169 N229 N241 N217 N205 N193 N181">
    <cfRule type="expression" dxfId="2646" priority="4793">
      <formula>AND(L13=TRUE,H14=TRUE,J12=TRUE)</formula>
    </cfRule>
  </conditionalFormatting>
  <conditionalFormatting sqref="N14 N26 N38 N50 N62 N74 N86 N98 N110 N122 N134 N146 N158 N170 N230 N242 N218 N206 N194 N182">
    <cfRule type="expression" dxfId="2645" priority="4813">
      <formula>AND(L14=TRUE,H14=TRUE,J12=TRUE)</formula>
    </cfRule>
  </conditionalFormatting>
  <conditionalFormatting sqref="O12 O24 O36 O48 O60 O72 O84 O96 O108 O120 O132 O144 O156 O168 O192 O204 O216 O228 O240 O180">
    <cfRule type="expression" dxfId="2644" priority="4117">
      <formula>AND(H14=TRUE,J12=TRUE)</formula>
    </cfRule>
  </conditionalFormatting>
  <conditionalFormatting sqref="O13 O25 O37 O49 O61 O73 O85 O97 O109 O121 O133 O145 O157 O169 O181 O193 O205 O217 O229 O241">
    <cfRule type="expression" dxfId="2643" priority="4118">
      <formula>AND(H14=TRUE,J12=TRUE)</formula>
    </cfRule>
  </conditionalFormatting>
  <conditionalFormatting sqref="O14 O26 O38 O50 O62 O74 O86 O98 O110 O122 O134 O146 O158 O170 O182 O194 O206 O218 O230 O242">
    <cfRule type="expression" dxfId="2642" priority="4119">
      <formula>AND(H14=TRUE,J12=TRUE)</formula>
    </cfRule>
  </conditionalFormatting>
  <conditionalFormatting sqref="O12:P12 O14:Q14">
    <cfRule type="expression" dxfId="2641" priority="1733">
      <formula>$O$13=TRUE</formula>
    </cfRule>
  </conditionalFormatting>
  <conditionalFormatting sqref="O12:P13">
    <cfRule type="expression" dxfId="2640" priority="1713">
      <formula>$O$14=TRUE</formula>
    </cfRule>
  </conditionalFormatting>
  <conditionalFormatting sqref="O24:P24 O26:Q26">
    <cfRule type="expression" dxfId="2639" priority="1675">
      <formula>$O$25=TRUE</formula>
    </cfRule>
  </conditionalFormatting>
  <conditionalFormatting sqref="O24:P25">
    <cfRule type="expression" dxfId="2638" priority="1712">
      <formula>$O$26=TRUE</formula>
    </cfRule>
  </conditionalFormatting>
  <conditionalFormatting sqref="O36:P36 O38:Q38">
    <cfRule type="expression" dxfId="2637" priority="1676">
      <formula>$O$37=TRUE</formula>
    </cfRule>
  </conditionalFormatting>
  <conditionalFormatting sqref="O36:P37">
    <cfRule type="expression" dxfId="2636" priority="1711">
      <formula>$O$38=TRUE</formula>
    </cfRule>
  </conditionalFormatting>
  <conditionalFormatting sqref="O48:P48 O50:Q50">
    <cfRule type="expression" dxfId="2635" priority="1677">
      <formula>$O$49=TRUE</formula>
    </cfRule>
  </conditionalFormatting>
  <conditionalFormatting sqref="O48:P49">
    <cfRule type="expression" dxfId="2634" priority="1710">
      <formula>$O$50=TRUE</formula>
    </cfRule>
  </conditionalFormatting>
  <conditionalFormatting sqref="O60:P60 O62:Q62">
    <cfRule type="expression" dxfId="2633" priority="1678">
      <formula>$O$61=TRUE</formula>
    </cfRule>
  </conditionalFormatting>
  <conditionalFormatting sqref="O60:P61">
    <cfRule type="expression" dxfId="2632" priority="1709">
      <formula>$O$62=TRUE</formula>
    </cfRule>
  </conditionalFormatting>
  <conditionalFormatting sqref="O72:P72 O74:Q74">
    <cfRule type="expression" dxfId="2631" priority="1679">
      <formula>$O$73=TRUE</formula>
    </cfRule>
  </conditionalFormatting>
  <conditionalFormatting sqref="O72:P73">
    <cfRule type="expression" dxfId="2630" priority="1708">
      <formula>$O$74=TRUE</formula>
    </cfRule>
  </conditionalFormatting>
  <conditionalFormatting sqref="O84:P84 O86:Q86">
    <cfRule type="expression" dxfId="2629" priority="1680">
      <formula>$O$85=TRUE</formula>
    </cfRule>
  </conditionalFormatting>
  <conditionalFormatting sqref="O84:P85">
    <cfRule type="expression" dxfId="2628" priority="1707">
      <formula>$O$86=TRUE</formula>
    </cfRule>
  </conditionalFormatting>
  <conditionalFormatting sqref="O96:P96 O98:Q98">
    <cfRule type="expression" dxfId="2627" priority="1681">
      <formula>$O$97=TRUE</formula>
    </cfRule>
  </conditionalFormatting>
  <conditionalFormatting sqref="O96:P97">
    <cfRule type="expression" dxfId="2626" priority="1706">
      <formula>$O$98=TRUE</formula>
    </cfRule>
  </conditionalFormatting>
  <conditionalFormatting sqref="O108:P108 O110:Q110">
    <cfRule type="expression" dxfId="2625" priority="1682">
      <formula>$O$109=TRUE</formula>
    </cfRule>
  </conditionalFormatting>
  <conditionalFormatting sqref="O108:P109">
    <cfRule type="expression" dxfId="2624" priority="1705">
      <formula>$O$110=TRUE</formula>
    </cfRule>
  </conditionalFormatting>
  <conditionalFormatting sqref="O120:P120 O122:Q122">
    <cfRule type="expression" dxfId="2623" priority="1683">
      <formula>$O$121=TRUE</formula>
    </cfRule>
  </conditionalFormatting>
  <conditionalFormatting sqref="O120:P121">
    <cfRule type="expression" dxfId="2622" priority="1704">
      <formula>$O$122=TRUE</formula>
    </cfRule>
  </conditionalFormatting>
  <conditionalFormatting sqref="O132:P132 O134:Q134">
    <cfRule type="expression" dxfId="2621" priority="1684">
      <formula>$O$133=TRUE</formula>
    </cfRule>
  </conditionalFormatting>
  <conditionalFormatting sqref="O132:P133">
    <cfRule type="expression" dxfId="2620" priority="1703">
      <formula>$O$134=TRUE</formula>
    </cfRule>
  </conditionalFormatting>
  <conditionalFormatting sqref="O144:P144 O146:Q146">
    <cfRule type="expression" dxfId="2619" priority="1685">
      <formula>$O$145=TRUE</formula>
    </cfRule>
  </conditionalFormatting>
  <conditionalFormatting sqref="O144:P145">
    <cfRule type="expression" dxfId="2618" priority="1702">
      <formula>$O$146=TRUE</formula>
    </cfRule>
  </conditionalFormatting>
  <conditionalFormatting sqref="O156:P156 O158:Q158">
    <cfRule type="expression" dxfId="2617" priority="1686">
      <formula>$O$157=TRUE</formula>
    </cfRule>
  </conditionalFormatting>
  <conditionalFormatting sqref="O156:P157">
    <cfRule type="expression" dxfId="2616" priority="1701">
      <formula>$O$158=TRUE</formula>
    </cfRule>
  </conditionalFormatting>
  <conditionalFormatting sqref="O168:P168 O170:Q170">
    <cfRule type="expression" dxfId="2615" priority="1687">
      <formula>$O$169=TRUE</formula>
    </cfRule>
  </conditionalFormatting>
  <conditionalFormatting sqref="O168:P169">
    <cfRule type="expression" dxfId="2614" priority="1700">
      <formula>$O$170=TRUE</formula>
    </cfRule>
  </conditionalFormatting>
  <conditionalFormatting sqref="O180:P180 O182:Q182">
    <cfRule type="expression" dxfId="2613" priority="1688">
      <formula>$O$181=TRUE</formula>
    </cfRule>
  </conditionalFormatting>
  <conditionalFormatting sqref="O180:P181">
    <cfRule type="expression" dxfId="2612" priority="1691">
      <formula>$O$182=TRUE</formula>
    </cfRule>
  </conditionalFormatting>
  <conditionalFormatting sqref="O192:P192 O194:Q194">
    <cfRule type="expression" dxfId="2611" priority="1689">
      <formula>$O$193=TRUE</formula>
    </cfRule>
  </conditionalFormatting>
  <conditionalFormatting sqref="O192:P193">
    <cfRule type="expression" dxfId="2610" priority="1699">
      <formula>$O$194=TRUE</formula>
    </cfRule>
  </conditionalFormatting>
  <conditionalFormatting sqref="O204:P204 O206:Q206">
    <cfRule type="expression" dxfId="2609" priority="1690">
      <formula>$O$205=TRUE</formula>
    </cfRule>
  </conditionalFormatting>
  <conditionalFormatting sqref="O204:P205">
    <cfRule type="expression" dxfId="2608" priority="1698">
      <formula>$O$206=TRUE</formula>
    </cfRule>
  </conditionalFormatting>
  <conditionalFormatting sqref="O216:P216 O218:Q218">
    <cfRule type="expression" dxfId="2607" priority="1692">
      <formula>$O$217=TRUE</formula>
    </cfRule>
  </conditionalFormatting>
  <conditionalFormatting sqref="O216:P217">
    <cfRule type="expression" dxfId="2606" priority="1697">
      <formula>$O$218=TRUE</formula>
    </cfRule>
  </conditionalFormatting>
  <conditionalFormatting sqref="O228:P228 O230:Q230">
    <cfRule type="expression" dxfId="2605" priority="1693">
      <formula>$O$229=TRUE</formula>
    </cfRule>
  </conditionalFormatting>
  <conditionalFormatting sqref="O228:P229">
    <cfRule type="expression" dxfId="2604" priority="1696">
      <formula>$O$230=TRUE</formula>
    </cfRule>
  </conditionalFormatting>
  <conditionalFormatting sqref="O240:P240 O242:Q242">
    <cfRule type="expression" dxfId="2603" priority="1694">
      <formula>$O$241=TRUE</formula>
    </cfRule>
  </conditionalFormatting>
  <conditionalFormatting sqref="O240:P241">
    <cfRule type="expression" dxfId="2602" priority="1695">
      <formula>$O$242=TRUE</formula>
    </cfRule>
  </conditionalFormatting>
  <conditionalFormatting sqref="O3:Q3">
    <cfRule type="expression" dxfId="2601" priority="640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00" priority="1735">
      <formula>$O$12=TRUE</formula>
    </cfRule>
  </conditionalFormatting>
  <conditionalFormatting sqref="O22:Q23 O130:Q131 O34:Q35 O46:Q47 O58:Q59 O70:Q71 O82:Q83 O94:Q95 O106:Q107 O118:Q119 O142:Q143 O154:Q155 O166:Q167 O178:Q179 O190:Q191 O202:Q203 O214:Q215 O238:Q239 O10:Q11">
    <cfRule type="expression" dxfId="2599" priority="6300">
      <formula>AND(H14=TRUE,J12=TRUE)</formula>
    </cfRule>
  </conditionalFormatting>
  <conditionalFormatting sqref="O25:Q27">
    <cfRule type="expression" dxfId="2598" priority="1732">
      <formula>$O$24=TRUE</formula>
    </cfRule>
  </conditionalFormatting>
  <conditionalFormatting sqref="O37:Q39">
    <cfRule type="expression" dxfId="2597" priority="1731">
      <formula>$O$36=TRUE</formula>
    </cfRule>
  </conditionalFormatting>
  <conditionalFormatting sqref="O49:Q52">
    <cfRule type="expression" dxfId="2596" priority="1730">
      <formula>$O$48=TRUE</formula>
    </cfRule>
  </conditionalFormatting>
  <conditionalFormatting sqref="O61:Q64">
    <cfRule type="expression" dxfId="2595" priority="1729">
      <formula>$O$60=TRUE</formula>
    </cfRule>
  </conditionalFormatting>
  <conditionalFormatting sqref="O73:Q76">
    <cfRule type="expression" dxfId="2594" priority="1728">
      <formula>$O$72=TRUE</formula>
    </cfRule>
  </conditionalFormatting>
  <conditionalFormatting sqref="O85:Q88">
    <cfRule type="expression" dxfId="2593" priority="1727">
      <formula>$O$84=TRUE</formula>
    </cfRule>
  </conditionalFormatting>
  <conditionalFormatting sqref="O97:Q100">
    <cfRule type="expression" dxfId="2592" priority="1726">
      <formula>$O$96=TRUE</formula>
    </cfRule>
  </conditionalFormatting>
  <conditionalFormatting sqref="O109:Q112">
    <cfRule type="expression" dxfId="2591" priority="1725">
      <formula>$O$108=TRUE</formula>
    </cfRule>
  </conditionalFormatting>
  <conditionalFormatting sqref="O121:Q124">
    <cfRule type="expression" dxfId="2590" priority="1724">
      <formula>$O$120=TRUE</formula>
    </cfRule>
  </conditionalFormatting>
  <conditionalFormatting sqref="O133:Q136">
    <cfRule type="expression" dxfId="2589" priority="1723">
      <formula>$O$132=TRUE</formula>
    </cfRule>
  </conditionalFormatting>
  <conditionalFormatting sqref="O145:Q148">
    <cfRule type="expression" dxfId="2588" priority="1722">
      <formula>$O$144=TRUE</formula>
    </cfRule>
  </conditionalFormatting>
  <conditionalFormatting sqref="O157:Q160">
    <cfRule type="expression" dxfId="2587" priority="1721">
      <formula>$O$156=TRUE</formula>
    </cfRule>
  </conditionalFormatting>
  <conditionalFormatting sqref="O169:Q172">
    <cfRule type="expression" dxfId="2586" priority="1720">
      <formula>$O$168=TRUE</formula>
    </cfRule>
  </conditionalFormatting>
  <conditionalFormatting sqref="O181:Q184">
    <cfRule type="expression" dxfId="2585" priority="1719">
      <formula>$O$180=TRUE</formula>
    </cfRule>
  </conditionalFormatting>
  <conditionalFormatting sqref="O193:Q196">
    <cfRule type="expression" dxfId="2584" priority="1718">
      <formula>$O$192=TRUE</formula>
    </cfRule>
  </conditionalFormatting>
  <conditionalFormatting sqref="O205:Q208">
    <cfRule type="expression" dxfId="2583" priority="1717">
      <formula>$O$204=TRUE</formula>
    </cfRule>
  </conditionalFormatting>
  <conditionalFormatting sqref="O217:Q220">
    <cfRule type="expression" dxfId="2582" priority="1716">
      <formula>$O$216=TRUE</formula>
    </cfRule>
  </conditionalFormatting>
  <conditionalFormatting sqref="O226:Q227">
    <cfRule type="expression" dxfId="2581" priority="4178">
      <formula>AND(H230=TRUE,J228=TRUE)</formula>
    </cfRule>
  </conditionalFormatting>
  <conditionalFormatting sqref="O229:Q232">
    <cfRule type="expression" dxfId="2580" priority="1715">
      <formula>$O$228=TRUE</formula>
    </cfRule>
  </conditionalFormatting>
  <conditionalFormatting sqref="O241:Q244">
    <cfRule type="expression" dxfId="2579" priority="1714">
      <formula>$O$240=TRUE</formula>
    </cfRule>
  </conditionalFormatting>
  <conditionalFormatting sqref="P12 P24 P36 P48 P60 P72 P84 P96 P108 P120 P132 P144 P156 P168 P192 P204 P216 P228 P240 P180">
    <cfRule type="expression" dxfId="2578" priority="4198">
      <formula>AND(H14=TRUE,J12=TRUE)</formula>
    </cfRule>
  </conditionalFormatting>
  <conditionalFormatting sqref="P13 P25 P37 P49 P61 P73 P85 P97 P109 P121 P133 P145 P157 P169 P181 P193 P205 P217 P229 P241">
    <cfRule type="expression" dxfId="2577" priority="4199">
      <formula>AND(H14=TRUE,J12=TRUE)</formula>
    </cfRule>
  </conditionalFormatting>
  <conditionalFormatting sqref="P14 P26 P38 P50 P62 P74 P86 P98 P110 P122 P134 P146 P158 P170 P182 P194 P206 P218 P230 P242">
    <cfRule type="expression" dxfId="2576" priority="4200">
      <formula>AND(H14=TRUE,J12=TRUE)</formula>
    </cfRule>
  </conditionalFormatting>
  <conditionalFormatting sqref="Q14 Q26 Q38 Q50 Q62 Q74 Q86 Q98 Q110 Q122 Q134 Q146 Q158 Q170 Q182 Q194 Q206 Q218 Q230 Q242">
    <cfRule type="expression" dxfId="2575" priority="5824">
      <formula>AND(H14=TRUE,J12=TRUE,O14=TRUE)</formula>
    </cfRule>
  </conditionalFormatting>
  <conditionalFormatting sqref="R3">
    <cfRule type="expression" dxfId="2574" priority="6405">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3">
    <cfRule type="expression" dxfId="2573" priority="6489">
      <formula>AND(H14=TRUE,J12=TRUE)</formula>
    </cfRule>
  </conditionalFormatting>
  <conditionalFormatting sqref="R22:R23">
    <cfRule type="expression" dxfId="2572" priority="489">
      <formula>AND(H26=TRUE,J24=TRUE)</formula>
    </cfRule>
  </conditionalFormatting>
  <conditionalFormatting sqref="R25">
    <cfRule type="expression" dxfId="2571" priority="491">
      <formula>AND(H26=TRUE,J24=TRUE)</formula>
    </cfRule>
  </conditionalFormatting>
  <conditionalFormatting sqref="R28 R136 R40 R52 R64 R76 R88 R100 R112 R124 R148 R160 R172 R184 R196 R220 R232 R244 R16">
    <cfRule type="expression" dxfId="2570" priority="6239">
      <formula>AND(H14=TRUE,J12=TRUE)</formula>
    </cfRule>
  </conditionalFormatting>
  <conditionalFormatting sqref="R34:R35">
    <cfRule type="expression" dxfId="2569" priority="469">
      <formula>AND(H38=TRUE,J36=TRUE)</formula>
    </cfRule>
  </conditionalFormatting>
  <conditionalFormatting sqref="R37">
    <cfRule type="expression" dxfId="2568" priority="471">
      <formula>AND(H38=TRUE,J36=TRUE)</formula>
    </cfRule>
  </conditionalFormatting>
  <conditionalFormatting sqref="R46:R47">
    <cfRule type="expression" dxfId="2567" priority="450">
      <formula>AND(H50=TRUE,J48=TRUE)</formula>
    </cfRule>
  </conditionalFormatting>
  <conditionalFormatting sqref="R49">
    <cfRule type="expression" dxfId="2566" priority="452">
      <formula>AND(H50=TRUE,J48=TRUE)</formula>
    </cfRule>
  </conditionalFormatting>
  <conditionalFormatting sqref="R58:R59">
    <cfRule type="expression" dxfId="2565" priority="431">
      <formula>AND(H62=TRUE,J60=TRUE)</formula>
    </cfRule>
  </conditionalFormatting>
  <conditionalFormatting sqref="R61">
    <cfRule type="expression" dxfId="2564" priority="433">
      <formula>AND(H62=TRUE,J60=TRUE)</formula>
    </cfRule>
  </conditionalFormatting>
  <conditionalFormatting sqref="R70:R71">
    <cfRule type="expression" dxfId="2563" priority="412">
      <formula>AND(H74=TRUE,J72=TRUE)</formula>
    </cfRule>
  </conditionalFormatting>
  <conditionalFormatting sqref="R73">
    <cfRule type="expression" dxfId="2562" priority="414">
      <formula>AND(H74=TRUE,J72=TRUE)</formula>
    </cfRule>
  </conditionalFormatting>
  <conditionalFormatting sqref="R82:R83 R10:R11">
    <cfRule type="expression" dxfId="2561" priority="6257">
      <formula>AND(H14=TRUE,J12=TRUE)</formula>
    </cfRule>
  </conditionalFormatting>
  <conditionalFormatting sqref="R85">
    <cfRule type="expression" dxfId="2560" priority="395">
      <formula>AND(H86=TRUE,J84=TRUE)</formula>
    </cfRule>
  </conditionalFormatting>
  <conditionalFormatting sqref="R94:R95">
    <cfRule type="expression" dxfId="2559" priority="378">
      <formula>AND(H98=TRUE,J96=TRUE)</formula>
    </cfRule>
  </conditionalFormatting>
  <conditionalFormatting sqref="R97">
    <cfRule type="expression" dxfId="2558" priority="380">
      <formula>AND(H98=TRUE,J96=TRUE)</formula>
    </cfRule>
  </conditionalFormatting>
  <conditionalFormatting sqref="R106:R107">
    <cfRule type="expression" dxfId="2557" priority="359">
      <formula>AND(H110=TRUE,J108=TRUE)</formula>
    </cfRule>
  </conditionalFormatting>
  <conditionalFormatting sqref="R109">
    <cfRule type="expression" dxfId="2556" priority="361">
      <formula>AND(H110=TRUE,J108=TRUE)</formula>
    </cfRule>
  </conditionalFormatting>
  <conditionalFormatting sqref="R118:R119">
    <cfRule type="expression" dxfId="2555" priority="340">
      <formula>AND(H122=TRUE,J120=TRUE)</formula>
    </cfRule>
  </conditionalFormatting>
  <conditionalFormatting sqref="R121">
    <cfRule type="expression" dxfId="2554" priority="342">
      <formula>AND(H122=TRUE,J120=TRUE)</formula>
    </cfRule>
  </conditionalFormatting>
  <conditionalFormatting sqref="R130:R131">
    <cfRule type="expression" dxfId="2553" priority="323">
      <formula>AND(H134=TRUE,J132=TRUE)</formula>
    </cfRule>
  </conditionalFormatting>
  <conditionalFormatting sqref="R133">
    <cfRule type="expression" dxfId="2552" priority="325">
      <formula>AND(H134=TRUE,J132=TRUE)</formula>
    </cfRule>
  </conditionalFormatting>
  <conditionalFormatting sqref="R142:R143">
    <cfRule type="expression" dxfId="2551" priority="302">
      <formula>AND(H146=TRUE,J144=TRUE)</formula>
    </cfRule>
  </conditionalFormatting>
  <conditionalFormatting sqref="R145">
    <cfRule type="expression" dxfId="2550" priority="304">
      <formula>AND(H146=TRUE,J144=TRUE)</formula>
    </cfRule>
  </conditionalFormatting>
  <conditionalFormatting sqref="R154:R155">
    <cfRule type="expression" dxfId="2549" priority="283">
      <formula>AND(H158=TRUE,J156=TRUE)</formula>
    </cfRule>
  </conditionalFormatting>
  <conditionalFormatting sqref="R157">
    <cfRule type="expression" dxfId="2548" priority="285">
      <formula>AND(H158=TRUE,J156=TRUE)</formula>
    </cfRule>
  </conditionalFormatting>
  <conditionalFormatting sqref="R166:R167">
    <cfRule type="expression" dxfId="2547" priority="264">
      <formula>AND(H170=TRUE,J168=TRUE)</formula>
    </cfRule>
  </conditionalFormatting>
  <conditionalFormatting sqref="R169">
    <cfRule type="expression" dxfId="2546" priority="266">
      <formula>AND(H170=TRUE,J168=TRUE)</formula>
    </cfRule>
  </conditionalFormatting>
  <conditionalFormatting sqref="R178:R179">
    <cfRule type="expression" dxfId="2545" priority="245">
      <formula>AND(H182=TRUE,J180=TRUE)</formula>
    </cfRule>
  </conditionalFormatting>
  <conditionalFormatting sqref="R181">
    <cfRule type="expression" dxfId="2544" priority="247">
      <formula>AND(H182=TRUE,J180=TRUE)</formula>
    </cfRule>
  </conditionalFormatting>
  <conditionalFormatting sqref="R190:R191">
    <cfRule type="expression" dxfId="2543" priority="226">
      <formula>AND(H194=TRUE,J192=TRUE)</formula>
    </cfRule>
  </conditionalFormatting>
  <conditionalFormatting sqref="R193">
    <cfRule type="expression" dxfId="2542" priority="228">
      <formula>AND(H194=TRUE,J192=TRUE)</formula>
    </cfRule>
  </conditionalFormatting>
  <conditionalFormatting sqref="R202:R203">
    <cfRule type="expression" dxfId="2541" priority="207">
      <formula>AND(H206=TRUE,J204=TRUE)</formula>
    </cfRule>
  </conditionalFormatting>
  <conditionalFormatting sqref="R205">
    <cfRule type="expression" dxfId="2540" priority="209">
      <formula>AND(H206=TRUE,J204=TRUE)</formula>
    </cfRule>
  </conditionalFormatting>
  <conditionalFormatting sqref="R208">
    <cfRule type="expression" dxfId="2539" priority="203">
      <formula>AND(H206=TRUE,J204=TRUE)</formula>
    </cfRule>
  </conditionalFormatting>
  <conditionalFormatting sqref="R214:R215">
    <cfRule type="expression" dxfId="2538" priority="186">
      <formula>AND(H218=TRUE,J216=TRUE)</formula>
    </cfRule>
  </conditionalFormatting>
  <conditionalFormatting sqref="R217">
    <cfRule type="expression" dxfId="2537" priority="188">
      <formula>AND(H218=TRUE,J216=TRUE)</formula>
    </cfRule>
  </conditionalFormatting>
  <conditionalFormatting sqref="R226:R227">
    <cfRule type="expression" dxfId="2536" priority="167">
      <formula>AND(H230=TRUE,J228=TRUE)</formula>
    </cfRule>
  </conditionalFormatting>
  <conditionalFormatting sqref="R229">
    <cfRule type="expression" dxfId="2535" priority="169">
      <formula>AND(H230=TRUE,J228=TRUE)</formula>
    </cfRule>
  </conditionalFormatting>
  <conditionalFormatting sqref="R238:R239">
    <cfRule type="expression" dxfId="2534" priority="148">
      <formula>AND(H242=TRUE,J240=TRUE)</formula>
    </cfRule>
  </conditionalFormatting>
  <conditionalFormatting sqref="R241">
    <cfRule type="expression" dxfId="2533" priority="150">
      <formula>AND(H242=TRUE,J240=TRUE)</formula>
    </cfRule>
  </conditionalFormatting>
  <conditionalFormatting sqref="R11:T12">
    <cfRule type="expression" dxfId="2532" priority="6488">
      <formula>AND(H14=TRUE,J12=TRUE)</formula>
    </cfRule>
  </conditionalFormatting>
  <conditionalFormatting sqref="R14:T15">
    <cfRule type="expression" dxfId="2531" priority="682">
      <formula>AND(H14=TRUE,J12=TRUE,$R13=TRUE)</formula>
    </cfRule>
  </conditionalFormatting>
  <conditionalFormatting sqref="R23:T24">
    <cfRule type="expression" dxfId="2530" priority="490">
      <formula>AND(H26=TRUE,J24=TRUE)</formula>
    </cfRule>
  </conditionalFormatting>
  <conditionalFormatting sqref="R26:T27">
    <cfRule type="expression" dxfId="2529" priority="476">
      <formula>AND(H26=TRUE,J24=TRUE,$R25=TRUE)</formula>
    </cfRule>
  </conditionalFormatting>
  <conditionalFormatting sqref="R29:T30">
    <cfRule type="expression" dxfId="2528" priority="484">
      <formula>AND($R28=TRUE,$J24=TRUE,H26=TRUE)</formula>
    </cfRule>
  </conditionalFormatting>
  <conditionalFormatting sqref="R35:T36">
    <cfRule type="expression" dxfId="2527" priority="470">
      <formula>AND(H38=TRUE,J36=TRUE)</formula>
    </cfRule>
  </conditionalFormatting>
  <conditionalFormatting sqref="R38:T39">
    <cfRule type="expression" dxfId="2526" priority="457">
      <formula>AND(H38=TRUE,J36=TRUE,$R37=TRUE)</formula>
    </cfRule>
  </conditionalFormatting>
  <conditionalFormatting sqref="R47:T48">
    <cfRule type="expression" dxfId="2525" priority="451">
      <formula>AND(H50=TRUE,J48=TRUE)</formula>
    </cfRule>
  </conditionalFormatting>
  <conditionalFormatting sqref="R50:T51">
    <cfRule type="expression" dxfId="2524" priority="438">
      <formula>AND(H50=TRUE,J48=TRUE,$R49=TRUE)</formula>
    </cfRule>
  </conditionalFormatting>
  <conditionalFormatting sqref="R59:T60">
    <cfRule type="expression" dxfId="2523" priority="432">
      <formula>AND(H62=TRUE,J60=TRUE)</formula>
    </cfRule>
  </conditionalFormatting>
  <conditionalFormatting sqref="R62:T63">
    <cfRule type="expression" dxfId="2522" priority="419">
      <formula>AND(H62=TRUE,J60=TRUE,$R61=TRUE)</formula>
    </cfRule>
  </conditionalFormatting>
  <conditionalFormatting sqref="R71:T72">
    <cfRule type="expression" dxfId="2521" priority="413">
      <formula>AND(H74=TRUE,J72=TRUE)</formula>
    </cfRule>
  </conditionalFormatting>
  <conditionalFormatting sqref="R74:T75">
    <cfRule type="expression" dxfId="2520" priority="400">
      <formula>AND(H74=TRUE,J72=TRUE,$R73=TRUE)</formula>
    </cfRule>
  </conditionalFormatting>
  <conditionalFormatting sqref="R83:T84">
    <cfRule type="expression" dxfId="2519" priority="394">
      <formula>AND(H86=TRUE,J84=TRUE)</formula>
    </cfRule>
  </conditionalFormatting>
  <conditionalFormatting sqref="R86:T87">
    <cfRule type="expression" dxfId="2518" priority="385">
      <formula>AND(H86=TRUE,J84=TRUE,$R85=TRUE)</formula>
    </cfRule>
  </conditionalFormatting>
  <conditionalFormatting sqref="R95:T96">
    <cfRule type="expression" dxfId="2517" priority="379">
      <formula>AND(H98=TRUE,J96=TRUE)</formula>
    </cfRule>
  </conditionalFormatting>
  <conditionalFormatting sqref="R98:T99">
    <cfRule type="expression" dxfId="2516" priority="366">
      <formula>AND(H98=TRUE,J96=TRUE,$R97=TRUE)</formula>
    </cfRule>
  </conditionalFormatting>
  <conditionalFormatting sqref="R107:T108">
    <cfRule type="expression" dxfId="2515" priority="360">
      <formula>AND(H110=TRUE,J108=TRUE)</formula>
    </cfRule>
  </conditionalFormatting>
  <conditionalFormatting sqref="R110:T111">
    <cfRule type="expression" dxfId="2514" priority="347">
      <formula>AND(H110=TRUE,J108=TRUE,$R109=TRUE)</formula>
    </cfRule>
  </conditionalFormatting>
  <conditionalFormatting sqref="R119:T120">
    <cfRule type="expression" dxfId="2513" priority="341">
      <formula>AND(H122=TRUE,J120=TRUE)</formula>
    </cfRule>
  </conditionalFormatting>
  <conditionalFormatting sqref="R122:T123">
    <cfRule type="expression" dxfId="2512" priority="328">
      <formula>AND(H122=TRUE,J120=TRUE,$R121=TRUE)</formula>
    </cfRule>
  </conditionalFormatting>
  <conditionalFormatting sqref="R131:T132">
    <cfRule type="expression" dxfId="2511" priority="324">
      <formula>AND(H134=TRUE,J132=TRUE)</formula>
    </cfRule>
  </conditionalFormatting>
  <conditionalFormatting sqref="R134:T135">
    <cfRule type="expression" dxfId="2510" priority="313">
      <formula>AND(H134=TRUE,J132=TRUE,$R133=TRUE)</formula>
    </cfRule>
  </conditionalFormatting>
  <conditionalFormatting sqref="R137:T138 R41:T42 R53:T54 R65:T66 R77:T78 R89:T90 R101:T102 R113:T114 R125:T126 R149:T150 R161:T162 R173:T174 R185:T186 R197:T198 R209:T210 R221:T222 R233:T234 R245:T246 R17:T18">
    <cfRule type="expression" dxfId="2509" priority="1671">
      <formula>AND($R16=TRUE,$J12=TRUE,H14=TRUE)</formula>
    </cfRule>
  </conditionalFormatting>
  <conditionalFormatting sqref="R143:T144">
    <cfRule type="expression" dxfId="2508" priority="303">
      <formula>AND(H146=TRUE,J144=TRUE)</formula>
    </cfRule>
  </conditionalFormatting>
  <conditionalFormatting sqref="R146:T147">
    <cfRule type="expression" dxfId="2507" priority="290">
      <formula>AND(H146=TRUE,J144=TRUE,$R145=TRUE)</formula>
    </cfRule>
  </conditionalFormatting>
  <conditionalFormatting sqref="R155:T156">
    <cfRule type="expression" dxfId="2506" priority="284">
      <formula>AND(H158=TRUE,J156=TRUE)</formula>
    </cfRule>
  </conditionalFormatting>
  <conditionalFormatting sqref="R158:T159">
    <cfRule type="expression" dxfId="2505" priority="271">
      <formula>AND(H158=TRUE,J156=TRUE,$R157=TRUE)</formula>
    </cfRule>
  </conditionalFormatting>
  <conditionalFormatting sqref="R167:T168">
    <cfRule type="expression" dxfId="2504" priority="265">
      <formula>AND(H170=TRUE,J168=TRUE)</formula>
    </cfRule>
  </conditionalFormatting>
  <conditionalFormatting sqref="R170:T171">
    <cfRule type="expression" dxfId="2503" priority="252">
      <formula>AND(H170=TRUE,J168=TRUE,$R169=TRUE)</formula>
    </cfRule>
  </conditionalFormatting>
  <conditionalFormatting sqref="R179:T180">
    <cfRule type="expression" dxfId="2502" priority="246">
      <formula>AND(H182=TRUE,J180=TRUE)</formula>
    </cfRule>
  </conditionalFormatting>
  <conditionalFormatting sqref="R182:T183">
    <cfRule type="expression" dxfId="2501" priority="233">
      <formula>AND(H182=TRUE,J180=TRUE,$R181=TRUE)</formula>
    </cfRule>
  </conditionalFormatting>
  <conditionalFormatting sqref="R191:T192">
    <cfRule type="expression" dxfId="2500" priority="227">
      <formula>AND(H194=TRUE,J192=TRUE)</formula>
    </cfRule>
  </conditionalFormatting>
  <conditionalFormatting sqref="R194:T195">
    <cfRule type="expression" dxfId="2499" priority="214">
      <formula>AND(H194=TRUE,J192=TRUE,$R193=TRUE)</formula>
    </cfRule>
  </conditionalFormatting>
  <conditionalFormatting sqref="R203:T204">
    <cfRule type="expression" dxfId="2498" priority="208">
      <formula>AND(H206=TRUE,J204=TRUE)</formula>
    </cfRule>
  </conditionalFormatting>
  <conditionalFormatting sqref="R206:T207">
    <cfRule type="expression" dxfId="2497" priority="193">
      <formula>AND(H206=TRUE,J204=TRUE,$R205=TRUE)</formula>
    </cfRule>
  </conditionalFormatting>
  <conditionalFormatting sqref="R215:T216">
    <cfRule type="expression" dxfId="2496" priority="187">
      <formula>AND(H218=TRUE,J216=TRUE)</formula>
    </cfRule>
  </conditionalFormatting>
  <conditionalFormatting sqref="R218:T219">
    <cfRule type="expression" dxfId="2495" priority="174">
      <formula>AND(H218=TRUE,J216=TRUE,$R217=TRUE)</formula>
    </cfRule>
  </conditionalFormatting>
  <conditionalFormatting sqref="R227:T228">
    <cfRule type="expression" dxfId="2494" priority="168">
      <formula>AND(H230=TRUE,J228=TRUE)</formula>
    </cfRule>
  </conditionalFormatting>
  <conditionalFormatting sqref="R230:T231">
    <cfRule type="expression" dxfId="2493" priority="155">
      <formula>AND(H230=TRUE,J228=TRUE,$R229=TRUE)</formula>
    </cfRule>
  </conditionalFormatting>
  <conditionalFormatting sqref="R239:T240">
    <cfRule type="expression" dxfId="2492" priority="149">
      <formula>AND(H242=TRUE,J240=TRUE)</formula>
    </cfRule>
  </conditionalFormatting>
  <conditionalFormatting sqref="R242:T243">
    <cfRule type="expression" dxfId="2491" priority="136">
      <formula>AND(H242=TRUE,J240=TRUE,$R241=TRUE)</formula>
    </cfRule>
  </conditionalFormatting>
  <conditionalFormatting sqref="S13">
    <cfRule type="expression" dxfId="2490" priority="6528">
      <formula>AND(H15=TRUE,J13=TRUE)</formula>
    </cfRule>
    <cfRule type="expression" dxfId="2489" priority="6529">
      <formula>AND(H14=TRUE,J12=TRUE)</formula>
    </cfRule>
  </conditionalFormatting>
  <conditionalFormatting sqref="S25">
    <cfRule type="expression" dxfId="2488" priority="492">
      <formula>AND(H27=TRUE,J25=TRUE)</formula>
    </cfRule>
    <cfRule type="expression" dxfId="2487" priority="493">
      <formula>AND(H26=TRUE,J24=TRUE)</formula>
    </cfRule>
  </conditionalFormatting>
  <conditionalFormatting sqref="S28 S136 S40 S52 S64 S76 S88 S100 S112 S124 S148 S160 S172 S184 S196 S208 S220 S232 S244 S16">
    <cfRule type="expression" dxfId="2486" priority="4321">
      <formula>AND(H17=TRUE,J15=TRUE)</formula>
    </cfRule>
  </conditionalFormatting>
  <conditionalFormatting sqref="S28 S136 S40 S52 S64 S76 S88 S100 S112 S124 S148 S160 S172 S184 S196 S220 S232 S244 S16">
    <cfRule type="expression" dxfId="2485" priority="6236">
      <formula>AND(H14=TRUE,J12=TRUE)</formula>
    </cfRule>
  </conditionalFormatting>
  <conditionalFormatting sqref="S37">
    <cfRule type="expression" dxfId="2484" priority="472">
      <formula>AND(H39=TRUE,J37=TRUE)</formula>
    </cfRule>
    <cfRule type="expression" dxfId="2483" priority="473">
      <formula>AND(H38=TRUE,J36=TRUE)</formula>
    </cfRule>
  </conditionalFormatting>
  <conditionalFormatting sqref="S49">
    <cfRule type="expression" dxfId="2482" priority="454">
      <formula>AND(H50=TRUE,J48=TRUE)</formula>
    </cfRule>
    <cfRule type="expression" dxfId="2481" priority="453">
      <formula>AND(H51=TRUE,J49=TRUE)</formula>
    </cfRule>
  </conditionalFormatting>
  <conditionalFormatting sqref="S61">
    <cfRule type="expression" dxfId="2480" priority="435">
      <formula>AND(H62=TRUE,J60=TRUE)</formula>
    </cfRule>
    <cfRule type="expression" dxfId="2479" priority="434">
      <formula>AND(H63=TRUE,J61=TRUE)</formula>
    </cfRule>
  </conditionalFormatting>
  <conditionalFormatting sqref="S73">
    <cfRule type="expression" dxfId="2478" priority="415">
      <formula>AND(H75=TRUE,J73=TRUE)</formula>
    </cfRule>
    <cfRule type="expression" dxfId="2477" priority="416">
      <formula>AND(H74=TRUE,J72=TRUE)</formula>
    </cfRule>
  </conditionalFormatting>
  <conditionalFormatting sqref="S85">
    <cfRule type="expression" dxfId="2476" priority="397">
      <formula>AND(H86=TRUE,J84=TRUE)</formula>
    </cfRule>
    <cfRule type="expression" dxfId="2475" priority="396">
      <formula>AND(H87=TRUE,J85=TRUE)</formula>
    </cfRule>
  </conditionalFormatting>
  <conditionalFormatting sqref="S97">
    <cfRule type="expression" dxfId="2474" priority="382">
      <formula>AND(H98=TRUE,J96=TRUE)</formula>
    </cfRule>
    <cfRule type="expression" dxfId="2473" priority="381">
      <formula>AND(H99=TRUE,J97=TRUE)</formula>
    </cfRule>
  </conditionalFormatting>
  <conditionalFormatting sqref="S109">
    <cfRule type="expression" dxfId="2472" priority="362">
      <formula>AND(H111=TRUE,J109=TRUE)</formula>
    </cfRule>
    <cfRule type="expression" dxfId="2471" priority="363">
      <formula>AND(H110=TRUE,J108=TRUE)</formula>
    </cfRule>
  </conditionalFormatting>
  <conditionalFormatting sqref="S121">
    <cfRule type="expression" dxfId="2470" priority="344">
      <formula>AND(H122=TRUE,J120=TRUE)</formula>
    </cfRule>
    <cfRule type="expression" dxfId="2469" priority="343">
      <formula>AND(H123=TRUE,J121=TRUE)</formula>
    </cfRule>
  </conditionalFormatting>
  <conditionalFormatting sqref="S133">
    <cfRule type="expression" dxfId="2468" priority="1287">
      <formula>AND(H135=TRUE,J133=TRUE)</formula>
    </cfRule>
    <cfRule type="expression" dxfId="2467" priority="1288">
      <formula>AND(H134=TRUE,J132=TRUE)</formula>
    </cfRule>
  </conditionalFormatting>
  <conditionalFormatting sqref="S145">
    <cfRule type="expression" dxfId="2466" priority="306">
      <formula>AND(H146=TRUE,J144=TRUE)</formula>
    </cfRule>
    <cfRule type="expression" dxfId="2465" priority="305">
      <formula>AND(H147=TRUE,J145=TRUE)</formula>
    </cfRule>
  </conditionalFormatting>
  <conditionalFormatting sqref="S157">
    <cfRule type="expression" dxfId="2464" priority="287">
      <formula>AND(H158=TRUE,J156=TRUE)</formula>
    </cfRule>
    <cfRule type="expression" dxfId="2463" priority="286">
      <formula>AND(H159=TRUE,J157=TRUE)</formula>
    </cfRule>
  </conditionalFormatting>
  <conditionalFormatting sqref="S169">
    <cfRule type="expression" dxfId="2462" priority="268">
      <formula>AND(H170=TRUE,J168=TRUE)</formula>
    </cfRule>
    <cfRule type="expression" dxfId="2461" priority="267">
      <formula>AND(H171=TRUE,J169=TRUE)</formula>
    </cfRule>
  </conditionalFormatting>
  <conditionalFormatting sqref="S181">
    <cfRule type="expression" dxfId="2460" priority="249">
      <formula>AND(H182=TRUE,J180=TRUE)</formula>
    </cfRule>
    <cfRule type="expression" dxfId="2459" priority="248">
      <formula>AND(H183=TRUE,J181=TRUE)</formula>
    </cfRule>
  </conditionalFormatting>
  <conditionalFormatting sqref="S193">
    <cfRule type="expression" dxfId="2458" priority="229">
      <formula>AND(H195=TRUE,J193=TRUE)</formula>
    </cfRule>
    <cfRule type="expression" dxfId="2457" priority="230">
      <formula>AND(H194=TRUE,J192=TRUE)</formula>
    </cfRule>
  </conditionalFormatting>
  <conditionalFormatting sqref="S205">
    <cfRule type="expression" dxfId="2456" priority="210">
      <formula>AND(H207=TRUE,J205=TRUE)</formula>
    </cfRule>
    <cfRule type="expression" dxfId="2455" priority="211">
      <formula>AND(H206=TRUE,J204=TRUE)</formula>
    </cfRule>
  </conditionalFormatting>
  <conditionalFormatting sqref="S208">
    <cfRule type="expression" dxfId="2454" priority="202">
      <formula>AND(H206=TRUE,J204=TRUE)</formula>
    </cfRule>
  </conditionalFormatting>
  <conditionalFormatting sqref="S217">
    <cfRule type="expression" dxfId="2453" priority="190">
      <formula>AND(H218=TRUE,J216=TRUE)</formula>
    </cfRule>
    <cfRule type="expression" dxfId="2452" priority="189">
      <formula>AND(H219=TRUE,J217=TRUE)</formula>
    </cfRule>
  </conditionalFormatting>
  <conditionalFormatting sqref="S229">
    <cfRule type="expression" dxfId="2451" priority="171">
      <formula>AND(H230=TRUE,J228=TRUE)</formula>
    </cfRule>
    <cfRule type="expression" dxfId="2450" priority="170">
      <formula>AND(H231=TRUE,J229=TRUE)</formula>
    </cfRule>
  </conditionalFormatting>
  <conditionalFormatting sqref="S241">
    <cfRule type="expression" dxfId="2449" priority="152">
      <formula>AND(H242=TRUE,J240=TRUE)</formula>
    </cfRule>
    <cfRule type="expression" dxfId="2448" priority="151">
      <formula>AND(H243=TRUE,J241=TRUE)</formula>
    </cfRule>
  </conditionalFormatting>
  <conditionalFormatting sqref="T13">
    <cfRule type="expression" dxfId="2447" priority="1669">
      <formula>AND($R16=TRUE,$J12=TRUE,H14=TRUE)</formula>
    </cfRule>
  </conditionalFormatting>
  <conditionalFormatting sqref="T16">
    <cfRule type="expression" dxfId="2446" priority="874">
      <formula>AND($R$16=TRUE,$J$12=TRUE,$H$14=TRUE)</formula>
    </cfRule>
  </conditionalFormatting>
  <conditionalFormatting sqref="T22">
    <cfRule type="expression" dxfId="2445" priority="481">
      <formula>AND(H26=TRUE,J24=TRUE)</formula>
    </cfRule>
  </conditionalFormatting>
  <conditionalFormatting sqref="T25">
    <cfRule type="expression" dxfId="2444" priority="77">
      <formula>AND($R$25=TRUE,$J$24=TRUE,$H$26=TRUE)</formula>
    </cfRule>
  </conditionalFormatting>
  <conditionalFormatting sqref="T28">
    <cfRule type="expression" dxfId="2443" priority="133">
      <formula>AND($R$28=TRUE,$J$24=TRUE,$H$26=TRUE)</formula>
    </cfRule>
  </conditionalFormatting>
  <conditionalFormatting sqref="T34">
    <cfRule type="expression" dxfId="2442" priority="462">
      <formula>AND(H38=TRUE,J36=TRUE)</formula>
    </cfRule>
  </conditionalFormatting>
  <conditionalFormatting sqref="T37">
    <cfRule type="expression" dxfId="2441" priority="458">
      <formula>AND($R$37=TRUE,$J$36=TRUE,$H$38=TRUE)</formula>
    </cfRule>
  </conditionalFormatting>
  <conditionalFormatting sqref="T40">
    <cfRule type="expression" dxfId="2440" priority="459">
      <formula>AND($R$40=TRUE,$J$36=TRUE,$H$38=TRUE)</formula>
    </cfRule>
  </conditionalFormatting>
  <conditionalFormatting sqref="T46">
    <cfRule type="expression" dxfId="2439" priority="443">
      <formula>AND(H50=TRUE,J48=TRUE)</formula>
    </cfRule>
  </conditionalFormatting>
  <conditionalFormatting sqref="T49">
    <cfRule type="expression" dxfId="2438" priority="61">
      <formula>AND($R$49=TRUE,$J$48=TRUE,$H$50=TRUE)</formula>
    </cfRule>
  </conditionalFormatting>
  <conditionalFormatting sqref="T52">
    <cfRule type="expression" dxfId="2437" priority="440">
      <formula>AND($R$52=TRUE,$J$48=TRUE,$H$50=TRUE)</formula>
    </cfRule>
  </conditionalFormatting>
  <conditionalFormatting sqref="T58">
    <cfRule type="expression" dxfId="2436" priority="424">
      <formula>AND(H62=TRUE,J60=TRUE)</formula>
    </cfRule>
  </conditionalFormatting>
  <conditionalFormatting sqref="T61">
    <cfRule type="expression" dxfId="2435" priority="421">
      <formula>AND($R$61=TRUE,$J$60=TRUE,$H$62=TRUE)</formula>
    </cfRule>
  </conditionalFormatting>
  <conditionalFormatting sqref="T64">
    <cfRule type="expression" dxfId="2434" priority="58">
      <formula>AND($R$64=TRUE,$J$60=TRUE,$H$62=TRUE)</formula>
    </cfRule>
  </conditionalFormatting>
  <conditionalFormatting sqref="T70">
    <cfRule type="expression" dxfId="2433" priority="405">
      <formula>AND(H74=TRUE,J72=TRUE)</formula>
    </cfRule>
  </conditionalFormatting>
  <conditionalFormatting sqref="T73">
    <cfRule type="expression" dxfId="2432" priority="57">
      <formula>AND($R$73=TRUE,$J$72=TRUE,$H$74=TRUE)</formula>
    </cfRule>
  </conditionalFormatting>
  <conditionalFormatting sqref="T76">
    <cfRule type="expression" dxfId="2431" priority="56">
      <formula>AND($R$76=TRUE,$J$72=TRUE,$H$74=TRUE)</formula>
    </cfRule>
  </conditionalFormatting>
  <conditionalFormatting sqref="T82 T10">
    <cfRule type="expression" dxfId="2430" priority="1232">
      <formula>AND(H14=TRUE,J12=TRUE)</formula>
    </cfRule>
  </conditionalFormatting>
  <conditionalFormatting sqref="T85">
    <cfRule type="expression" dxfId="2429" priority="52">
      <formula>AND($R$85=TRUE,$J$84=TRUE,$H$86=TRUE)</formula>
    </cfRule>
  </conditionalFormatting>
  <conditionalFormatting sqref="T88">
    <cfRule type="expression" dxfId="2428" priority="51">
      <formula>AND($R$88=TRUE,$J$84=TRUE,$H$86=TRUE)</formula>
    </cfRule>
  </conditionalFormatting>
  <conditionalFormatting sqref="T94">
    <cfRule type="expression" dxfId="2427" priority="371">
      <formula>AND(H98=TRUE,J96=TRUE)</formula>
    </cfRule>
  </conditionalFormatting>
  <conditionalFormatting sqref="T97">
    <cfRule type="expression" dxfId="2426" priority="50">
      <formula>AND($R$97=TRUE,$J$96=TRUE,$H$98=TRUE)</formula>
    </cfRule>
  </conditionalFormatting>
  <conditionalFormatting sqref="T100">
    <cfRule type="expression" dxfId="2425" priority="49">
      <formula>AND($R$100=TRUE,$J$96=TRUE,$H$98=TRUE)</formula>
    </cfRule>
  </conditionalFormatting>
  <conditionalFormatting sqref="T106">
    <cfRule type="expression" dxfId="2424" priority="352">
      <formula>AND(H110=TRUE,J108=TRUE)</formula>
    </cfRule>
  </conditionalFormatting>
  <conditionalFormatting sqref="T109">
    <cfRule type="expression" dxfId="2423" priority="44">
      <formula>AND($R$109=TRUE,$J$108=TRUE,$H$110=TRUE)</formula>
    </cfRule>
  </conditionalFormatting>
  <conditionalFormatting sqref="T112">
    <cfRule type="expression" dxfId="2422" priority="43">
      <formula>AND($R$112=TRUE,$J$108=TRUE,$H$110=TRUE)</formula>
    </cfRule>
  </conditionalFormatting>
  <conditionalFormatting sqref="T118">
    <cfRule type="expression" dxfId="2421" priority="333">
      <formula>AND(H122=TRUE,J120=TRUE)</formula>
    </cfRule>
  </conditionalFormatting>
  <conditionalFormatting sqref="T121">
    <cfRule type="expression" dxfId="2420" priority="42">
      <formula>AND($R$121=TRUE,$J$120=TRUE,$H$122=TRUE)</formula>
    </cfRule>
  </conditionalFormatting>
  <conditionalFormatting sqref="T124">
    <cfRule type="expression" dxfId="2419" priority="41">
      <formula>AND($R$124=TRUE,$J$120=TRUE,$H$122=TRUE)</formula>
    </cfRule>
  </conditionalFormatting>
  <conditionalFormatting sqref="T130">
    <cfRule type="expression" dxfId="2418" priority="316">
      <formula>AND(H134=TRUE,J132=TRUE)</formula>
    </cfRule>
  </conditionalFormatting>
  <conditionalFormatting sqref="T133">
    <cfRule type="expression" dxfId="2417" priority="309">
      <formula>AND($R$133=TRUE,$J$132=TRUE,$H$134=TRUE)</formula>
    </cfRule>
  </conditionalFormatting>
  <conditionalFormatting sqref="T136">
    <cfRule type="expression" dxfId="2416" priority="108">
      <formula>AND($R$136=TRUE,$J$132=TRUE,$H$134=TRUE)</formula>
    </cfRule>
  </conditionalFormatting>
  <conditionalFormatting sqref="T142">
    <cfRule type="expression" dxfId="2415" priority="295">
      <formula>AND(H146=TRUE,J144=TRUE)</formula>
    </cfRule>
  </conditionalFormatting>
  <conditionalFormatting sqref="T145">
    <cfRule type="expression" dxfId="2414" priority="46">
      <formula>AND($R$145=TRUE,$J$144=TRUE,$H$146=TRUE)</formula>
    </cfRule>
  </conditionalFormatting>
  <conditionalFormatting sqref="T148">
    <cfRule type="expression" dxfId="2413" priority="45">
      <formula>AND($R$148=TRUE,$J$144=TRUE,$H$146=TRUE)</formula>
    </cfRule>
  </conditionalFormatting>
  <conditionalFormatting sqref="T154">
    <cfRule type="expression" dxfId="2412" priority="276">
      <formula>AND(H158=TRUE,J156=TRUE)</formula>
    </cfRule>
  </conditionalFormatting>
  <conditionalFormatting sqref="T157">
    <cfRule type="expression" dxfId="2411" priority="48">
      <formula>AND($R$157=TRUE,$J$156=TRUE,$H$158=TRUE)</formula>
    </cfRule>
  </conditionalFormatting>
  <conditionalFormatting sqref="T160">
    <cfRule type="expression" dxfId="2410" priority="47">
      <formula>AND($R$160=TRUE,$J$156=TRUE,$H$158=TRUE)</formula>
    </cfRule>
  </conditionalFormatting>
  <conditionalFormatting sqref="T166">
    <cfRule type="expression" dxfId="2409" priority="257">
      <formula>AND(H170=TRUE,J168=TRUE)</formula>
    </cfRule>
  </conditionalFormatting>
  <conditionalFormatting sqref="T169">
    <cfRule type="expression" dxfId="2408" priority="54">
      <formula>AND($R$169=TRUE,$J$168=TRUE,$H$170=TRUE)</formula>
    </cfRule>
  </conditionalFormatting>
  <conditionalFormatting sqref="T172">
    <cfRule type="expression" dxfId="2407" priority="53">
      <formula>AND($R$172=TRUE,$J$168=TRUE,$H$170=TRUE)</formula>
    </cfRule>
  </conditionalFormatting>
  <conditionalFormatting sqref="T178">
    <cfRule type="expression" dxfId="2406" priority="238">
      <formula>AND(H182=TRUE,J180=TRUE)</formula>
    </cfRule>
  </conditionalFormatting>
  <conditionalFormatting sqref="T181">
    <cfRule type="expression" dxfId="2405" priority="63">
      <formula>AND($R$181=TRUE,$J$180=TRUE,$H$182=TRUE)</formula>
    </cfRule>
  </conditionalFormatting>
  <conditionalFormatting sqref="T184">
    <cfRule type="expression" dxfId="2404" priority="235">
      <formula>AND($R$184=TRUE,$J$180=TRUE,$H$182=TRUE)</formula>
    </cfRule>
  </conditionalFormatting>
  <conditionalFormatting sqref="T190">
    <cfRule type="expression" dxfId="2403" priority="219">
      <formula>AND(H194=TRUE,J192=TRUE)</formula>
    </cfRule>
  </conditionalFormatting>
  <conditionalFormatting sqref="T193">
    <cfRule type="expression" dxfId="2402" priority="216">
      <formula>AND($R$193=TRUE,$J$192=TRUE,$H$194=TRUE)</formula>
    </cfRule>
  </conditionalFormatting>
  <conditionalFormatting sqref="T196">
    <cfRule type="expression" dxfId="2401" priority="65">
      <formula>AND($R$196=TRUE,$J$192=TRUE,$H$194=TRUE)</formula>
    </cfRule>
  </conditionalFormatting>
  <conditionalFormatting sqref="T202">
    <cfRule type="expression" dxfId="2400" priority="198">
      <formula>AND(H206=TRUE,J204=TRUE)</formula>
    </cfRule>
  </conditionalFormatting>
  <conditionalFormatting sqref="T205">
    <cfRule type="expression" dxfId="2399" priority="194">
      <formula>AND($R$205=TRUE,$J$204=TRUE,$H$206=TRUE)</formula>
    </cfRule>
  </conditionalFormatting>
  <conditionalFormatting sqref="T208">
    <cfRule type="expression" dxfId="2398" priority="195">
      <formula>AND($R$208=TRUE,$J$204=TRUE,$H$206=TRUE)</formula>
    </cfRule>
  </conditionalFormatting>
  <conditionalFormatting sqref="T214">
    <cfRule type="expression" dxfId="2397" priority="179">
      <formula>AND(H218=TRUE,J216=TRUE)</formula>
    </cfRule>
  </conditionalFormatting>
  <conditionalFormatting sqref="T217">
    <cfRule type="expression" dxfId="2396" priority="176">
      <formula>AND($R$217=TRUE,$J$216=TRUE,$H$218=TRUE)</formula>
    </cfRule>
  </conditionalFormatting>
  <conditionalFormatting sqref="T220">
    <cfRule type="expression" dxfId="2395" priority="175">
      <formula>AND($R$220=TRUE,$J$216=TRUE,$H$218=TRUE)</formula>
    </cfRule>
  </conditionalFormatting>
  <conditionalFormatting sqref="T226">
    <cfRule type="expression" dxfId="2394" priority="160">
      <formula>AND(H230=TRUE,J228=TRUE)</formula>
    </cfRule>
  </conditionalFormatting>
  <conditionalFormatting sqref="T229">
    <cfRule type="expression" dxfId="2393" priority="73">
      <formula>AND($R$229=TRUE,$J$228=TRUE,$H$230=TRUE)</formula>
    </cfRule>
  </conditionalFormatting>
  <conditionalFormatting sqref="T232">
    <cfRule type="expression" dxfId="2392" priority="157">
      <formula>AND($R$232=TRUE,$J$228=TRUE,$H$230=TRUE)</formula>
    </cfRule>
  </conditionalFormatting>
  <conditionalFormatting sqref="T238">
    <cfRule type="expression" dxfId="2391" priority="141">
      <formula>AND(H242=TRUE,J240=TRUE)</formula>
    </cfRule>
  </conditionalFormatting>
  <conditionalFormatting sqref="T241">
    <cfRule type="expression" dxfId="2390" priority="138">
      <formula>AND($R$241=TRUE,$J$240=TRUE,$H$242=TRUE)</formula>
    </cfRule>
  </conditionalFormatting>
  <conditionalFormatting sqref="T244">
    <cfRule type="expression" dxfId="2389" priority="137">
      <formula>AND($R$244=TRUE,$J$240=TRUE,$H$242=TRUE)</formula>
    </cfRule>
  </conditionalFormatting>
  <conditionalFormatting sqref="U13">
    <cfRule type="expression" dxfId="2388" priority="6244">
      <formula>AND(H14=TRUE,J13=TRUE)</formula>
    </cfRule>
  </conditionalFormatting>
  <conditionalFormatting sqref="U25">
    <cfRule type="expression" dxfId="2387" priority="486">
      <formula>AND(H26=TRUE,J25=TRUE)</formula>
    </cfRule>
  </conditionalFormatting>
  <conditionalFormatting sqref="U27 U135 U39 U51 U63 U75 U87 U99 U111 U123 U147 U159 U171 U183 U195 U207 U219 U231 U243 U15">
    <cfRule type="expression" dxfId="2386" priority="4418">
      <formula>AND(H14=TRUE,J13=TRUE)</formula>
    </cfRule>
  </conditionalFormatting>
  <conditionalFormatting sqref="U29 U137 U41 U53 U65 U77 U89 U101 U113 U125 U149 U161 U173 U185 U197 U209 U221 U233 U245 U17">
    <cfRule type="expression" dxfId="2385" priority="4419">
      <formula>AND(H14=TRUE,J13=TRUE)</formula>
    </cfRule>
  </conditionalFormatting>
  <conditionalFormatting sqref="U37">
    <cfRule type="expression" dxfId="2384" priority="466">
      <formula>AND(H38=TRUE,J37=TRUE)</formula>
    </cfRule>
  </conditionalFormatting>
  <conditionalFormatting sqref="U49">
    <cfRule type="expression" dxfId="2383" priority="447">
      <formula>AND(H50=TRUE,J49=TRUE)</formula>
    </cfRule>
  </conditionalFormatting>
  <conditionalFormatting sqref="U61">
    <cfRule type="expression" dxfId="2382" priority="428">
      <formula>AND(H62=TRUE,J61=TRUE)</formula>
    </cfRule>
  </conditionalFormatting>
  <conditionalFormatting sqref="U73">
    <cfRule type="expression" dxfId="2381" priority="409">
      <formula>AND(H74=TRUE,J73=TRUE)</formula>
    </cfRule>
  </conditionalFormatting>
  <conditionalFormatting sqref="U85">
    <cfRule type="expression" dxfId="2380" priority="391">
      <formula>AND(H86=TRUE,J85=TRUE)</formula>
    </cfRule>
  </conditionalFormatting>
  <conditionalFormatting sqref="U97">
    <cfRule type="expression" dxfId="2379" priority="375">
      <formula>AND(H98=TRUE,J97=TRUE)</formula>
    </cfRule>
  </conditionalFormatting>
  <conditionalFormatting sqref="U109">
    <cfRule type="expression" dxfId="2378" priority="356">
      <formula>AND(H110=TRUE,J109=TRUE)</formula>
    </cfRule>
  </conditionalFormatting>
  <conditionalFormatting sqref="U121">
    <cfRule type="expression" dxfId="2377" priority="337">
      <formula>AND(H122=TRUE,J121=TRUE)</formula>
    </cfRule>
  </conditionalFormatting>
  <conditionalFormatting sqref="U133">
    <cfRule type="expression" dxfId="2376" priority="320">
      <formula>AND(H134=TRUE,J133=TRUE)</formula>
    </cfRule>
  </conditionalFormatting>
  <conditionalFormatting sqref="U145">
    <cfRule type="expression" dxfId="2375" priority="299">
      <formula>AND(H146=TRUE,J145=TRUE)</formula>
    </cfRule>
  </conditionalFormatting>
  <conditionalFormatting sqref="U157">
    <cfRule type="expression" dxfId="2374" priority="280">
      <formula>AND(H158=TRUE,J157=TRUE)</formula>
    </cfRule>
  </conditionalFormatting>
  <conditionalFormatting sqref="U169">
    <cfRule type="expression" dxfId="2373" priority="261">
      <formula>AND(H170=TRUE,J169=TRUE)</formula>
    </cfRule>
  </conditionalFormatting>
  <conditionalFormatting sqref="U181">
    <cfRule type="expression" dxfId="2372" priority="242">
      <formula>AND(H182=TRUE,J181=TRUE)</formula>
    </cfRule>
  </conditionalFormatting>
  <conditionalFormatting sqref="U193">
    <cfRule type="expression" dxfId="2371" priority="223">
      <formula>AND(H194=TRUE,J193=TRUE)</formula>
    </cfRule>
  </conditionalFormatting>
  <conditionalFormatting sqref="U205">
    <cfRule type="expression" dxfId="2370" priority="204">
      <formula>AND(H206=TRUE,J205=TRUE)</formula>
    </cfRule>
  </conditionalFormatting>
  <conditionalFormatting sqref="U217">
    <cfRule type="expression" dxfId="2369" priority="183">
      <formula>AND(H218=TRUE,J217=TRUE)</formula>
    </cfRule>
  </conditionalFormatting>
  <conditionalFormatting sqref="U229">
    <cfRule type="expression" dxfId="2368" priority="164">
      <formula>AND(H230=TRUE,J229=TRUE)</formula>
    </cfRule>
  </conditionalFormatting>
  <conditionalFormatting sqref="U241">
    <cfRule type="expression" dxfId="2367" priority="145">
      <formula>AND(H242=TRUE,J241=TRUE)</formula>
    </cfRule>
  </conditionalFormatting>
  <conditionalFormatting sqref="U3:V3">
    <cfRule type="expression" dxfId="2366" priority="6420">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65" priority="918">
      <formula>AND(J13=TRUE,H14=TRUE)</formula>
    </cfRule>
  </conditionalFormatting>
  <conditionalFormatting sqref="U12:V12">
    <cfRule type="expression" dxfId="2364" priority="1978">
      <formula>AND($J13=TRUE,H14=TRUE)</formula>
    </cfRule>
  </conditionalFormatting>
  <conditionalFormatting sqref="U16:V16">
    <cfRule type="expression" dxfId="2363" priority="1259">
      <formula>AND(U15=TRUE,J13=TRUE,H14=TRUE)</formula>
    </cfRule>
  </conditionalFormatting>
  <conditionalFormatting sqref="U18:V18">
    <cfRule type="expression" dxfId="2362" priority="1258">
      <formula>AND(U17=TRUE,J13=TRUE,H14=TRUE)</formula>
    </cfRule>
  </conditionalFormatting>
  <conditionalFormatting sqref="U22:V22">
    <cfRule type="expression" dxfId="2361" priority="479">
      <formula>AND(J25=TRUE,H26=TRUE)</formula>
    </cfRule>
  </conditionalFormatting>
  <conditionalFormatting sqref="U24:V24">
    <cfRule type="expression" dxfId="2360" priority="485">
      <formula>AND($J25=TRUE,H26=TRUE)</formula>
    </cfRule>
  </conditionalFormatting>
  <conditionalFormatting sqref="U28:V28">
    <cfRule type="expression" dxfId="2359" priority="483">
      <formula>AND(U27=TRUE,J25=TRUE,H26=TRUE)</formula>
    </cfRule>
  </conditionalFormatting>
  <conditionalFormatting sqref="U30:V30">
    <cfRule type="expression" dxfId="2358" priority="482">
      <formula>AND(U29=TRUE,J25=TRUE,H26=TRUE)</formula>
    </cfRule>
  </conditionalFormatting>
  <conditionalFormatting sqref="U34:V34">
    <cfRule type="expression" dxfId="2357" priority="460">
      <formula>AND(J37=TRUE,H38=TRUE)</formula>
    </cfRule>
  </conditionalFormatting>
  <conditionalFormatting sqref="U36:V36">
    <cfRule type="expression" dxfId="2356" priority="465">
      <formula>AND($J37=TRUE,H38=TRUE)</formula>
    </cfRule>
  </conditionalFormatting>
  <conditionalFormatting sqref="U40:V40">
    <cfRule type="expression" dxfId="2355" priority="464">
      <formula>AND(U39=TRUE,J37=TRUE,H38=TRUE)</formula>
    </cfRule>
  </conditionalFormatting>
  <conditionalFormatting sqref="U42:V42">
    <cfRule type="expression" dxfId="2354" priority="463">
      <formula>AND(U41=TRUE,J37=TRUE,H38=TRUE)</formula>
    </cfRule>
  </conditionalFormatting>
  <conditionalFormatting sqref="U46:V46">
    <cfRule type="expression" dxfId="2353" priority="441">
      <formula>AND(J49=TRUE,H50=TRUE)</formula>
    </cfRule>
  </conditionalFormatting>
  <conditionalFormatting sqref="U48:V48">
    <cfRule type="expression" dxfId="2352" priority="446">
      <formula>AND($J49=TRUE,H50=TRUE)</formula>
    </cfRule>
  </conditionalFormatting>
  <conditionalFormatting sqref="U52:V52">
    <cfRule type="expression" dxfId="2351" priority="445">
      <formula>AND(U51=TRUE,J49=TRUE,H50=TRUE)</formula>
    </cfRule>
  </conditionalFormatting>
  <conditionalFormatting sqref="U54:V54">
    <cfRule type="expression" dxfId="2350" priority="444">
      <formula>AND(U53=TRUE,J49=TRUE,H50=TRUE)</formula>
    </cfRule>
  </conditionalFormatting>
  <conditionalFormatting sqref="U58:V58">
    <cfRule type="expression" dxfId="2349" priority="422">
      <formula>AND(J61=TRUE,H62=TRUE)</formula>
    </cfRule>
  </conditionalFormatting>
  <conditionalFormatting sqref="U60:V60">
    <cfRule type="expression" dxfId="2348" priority="427">
      <formula>AND($J61=TRUE,H62=TRUE)</formula>
    </cfRule>
  </conditionalFormatting>
  <conditionalFormatting sqref="U64:V64">
    <cfRule type="expression" dxfId="2347" priority="426">
      <formula>AND(U63=TRUE,J61=TRUE,H62=TRUE)</formula>
    </cfRule>
  </conditionalFormatting>
  <conditionalFormatting sqref="U66:V66">
    <cfRule type="expression" dxfId="2346" priority="425">
      <formula>AND(U65=TRUE,J61=TRUE,H62=TRUE)</formula>
    </cfRule>
  </conditionalFormatting>
  <conditionalFormatting sqref="U70:V70">
    <cfRule type="expression" dxfId="2345" priority="403">
      <formula>AND(J73=TRUE,H74=TRUE)</formula>
    </cfRule>
  </conditionalFormatting>
  <conditionalFormatting sqref="U72:V72">
    <cfRule type="expression" dxfId="2344" priority="408">
      <formula>AND($J73=TRUE,H74=TRUE)</formula>
    </cfRule>
  </conditionalFormatting>
  <conditionalFormatting sqref="U76:V76">
    <cfRule type="expression" dxfId="2343" priority="407">
      <formula>AND(U75=TRUE,J73=TRUE,H74=TRUE)</formula>
    </cfRule>
  </conditionalFormatting>
  <conditionalFormatting sqref="U78:V78">
    <cfRule type="expression" dxfId="2342" priority="406">
      <formula>AND(U77=TRUE,J73=TRUE,H74=TRUE)</formula>
    </cfRule>
  </conditionalFormatting>
  <conditionalFormatting sqref="U82:V82">
    <cfRule type="expression" dxfId="2341" priority="386">
      <formula>AND(J85=TRUE,H86=TRUE)</formula>
    </cfRule>
  </conditionalFormatting>
  <conditionalFormatting sqref="U84:V84">
    <cfRule type="expression" dxfId="2340" priority="390">
      <formula>AND($J85=TRUE,H86=TRUE)</formula>
    </cfRule>
  </conditionalFormatting>
  <conditionalFormatting sqref="U88:V88">
    <cfRule type="expression" dxfId="2339" priority="389">
      <formula>AND(U87=TRUE,J85=TRUE,H86=TRUE)</formula>
    </cfRule>
  </conditionalFormatting>
  <conditionalFormatting sqref="U90:V90">
    <cfRule type="expression" dxfId="2338" priority="388">
      <formula>AND(U89=TRUE,J85=TRUE,H86=TRUE)</formula>
    </cfRule>
  </conditionalFormatting>
  <conditionalFormatting sqref="U94:V94">
    <cfRule type="expression" dxfId="2337" priority="369">
      <formula>AND(J97=TRUE,H98=TRUE)</formula>
    </cfRule>
  </conditionalFormatting>
  <conditionalFormatting sqref="U96:V96">
    <cfRule type="expression" dxfId="2336" priority="374">
      <formula>AND($J97=TRUE,H98=TRUE)</formula>
    </cfRule>
  </conditionalFormatting>
  <conditionalFormatting sqref="U100:V100">
    <cfRule type="expression" dxfId="2335" priority="373">
      <formula>AND(U99=TRUE,J97=TRUE,H98=TRUE)</formula>
    </cfRule>
  </conditionalFormatting>
  <conditionalFormatting sqref="U102:V102">
    <cfRule type="expression" dxfId="2334" priority="372">
      <formula>AND(U101=TRUE,J97=TRUE,H98=TRUE)</formula>
    </cfRule>
  </conditionalFormatting>
  <conditionalFormatting sqref="U106:V106">
    <cfRule type="expression" dxfId="2333" priority="350">
      <formula>AND(J109=TRUE,H110=TRUE)</formula>
    </cfRule>
  </conditionalFormatting>
  <conditionalFormatting sqref="U108:V108">
    <cfRule type="expression" dxfId="2332" priority="355">
      <formula>AND($J109=TRUE,H110=TRUE)</formula>
    </cfRule>
  </conditionalFormatting>
  <conditionalFormatting sqref="U112:V112">
    <cfRule type="expression" dxfId="2331" priority="354">
      <formula>AND(U111=TRUE,J109=TRUE,H110=TRUE)</formula>
    </cfRule>
  </conditionalFormatting>
  <conditionalFormatting sqref="U114:V114">
    <cfRule type="expression" dxfId="2330" priority="353">
      <formula>AND(U113=TRUE,J109=TRUE,H110=TRUE)</formula>
    </cfRule>
  </conditionalFormatting>
  <conditionalFormatting sqref="U118:V118">
    <cfRule type="expression" dxfId="2329" priority="331">
      <formula>AND(J121=TRUE,H122=TRUE)</formula>
    </cfRule>
  </conditionalFormatting>
  <conditionalFormatting sqref="U120:V120">
    <cfRule type="expression" dxfId="2328" priority="336">
      <formula>AND($J121=TRUE,H122=TRUE)</formula>
    </cfRule>
  </conditionalFormatting>
  <conditionalFormatting sqref="U124:V124">
    <cfRule type="expression" dxfId="2327" priority="335">
      <formula>AND(U123=TRUE,J121=TRUE,H122=TRUE)</formula>
    </cfRule>
  </conditionalFormatting>
  <conditionalFormatting sqref="U126:V126">
    <cfRule type="expression" dxfId="2326" priority="334">
      <formula>AND(U125=TRUE,J121=TRUE,H122=TRUE)</formula>
    </cfRule>
  </conditionalFormatting>
  <conditionalFormatting sqref="U130:V130">
    <cfRule type="expression" dxfId="2325" priority="314">
      <formula>AND(J133=TRUE,H134=TRUE)</formula>
    </cfRule>
  </conditionalFormatting>
  <conditionalFormatting sqref="U132:V132">
    <cfRule type="expression" dxfId="2324" priority="319">
      <formula>AND($J133=TRUE,H134=TRUE)</formula>
    </cfRule>
  </conditionalFormatting>
  <conditionalFormatting sqref="U136:V136">
    <cfRule type="expression" dxfId="2323" priority="318">
      <formula>AND(U135=TRUE,J133=TRUE,H134=TRUE)</formula>
    </cfRule>
  </conditionalFormatting>
  <conditionalFormatting sqref="U138:V138">
    <cfRule type="expression" dxfId="2322" priority="317">
      <formula>AND(U137=TRUE,J133=TRUE,H134=TRUE)</formula>
    </cfRule>
  </conditionalFormatting>
  <conditionalFormatting sqref="U142:V142">
    <cfRule type="expression" dxfId="2321" priority="293">
      <formula>AND(J145=TRUE,H146=TRUE)</formula>
    </cfRule>
  </conditionalFormatting>
  <conditionalFormatting sqref="U144:V144">
    <cfRule type="expression" dxfId="2320" priority="298">
      <formula>AND($J145=TRUE,H146=TRUE)</formula>
    </cfRule>
  </conditionalFormatting>
  <conditionalFormatting sqref="U148:V148">
    <cfRule type="expression" dxfId="2319" priority="297">
      <formula>AND(U147=TRUE,J145=TRUE,H146=TRUE)</formula>
    </cfRule>
  </conditionalFormatting>
  <conditionalFormatting sqref="U150:V150">
    <cfRule type="expression" dxfId="2318" priority="296">
      <formula>AND(U149=TRUE,J145=TRUE,H146=TRUE)</formula>
    </cfRule>
  </conditionalFormatting>
  <conditionalFormatting sqref="U154:V154">
    <cfRule type="expression" dxfId="2317" priority="274">
      <formula>AND(J157=TRUE,H158=TRUE)</formula>
    </cfRule>
  </conditionalFormatting>
  <conditionalFormatting sqref="U156:V156">
    <cfRule type="expression" dxfId="2316" priority="279">
      <formula>AND($J157=TRUE,H158=TRUE)</formula>
    </cfRule>
  </conditionalFormatting>
  <conditionalFormatting sqref="U160:V160">
    <cfRule type="expression" dxfId="2315" priority="278">
      <formula>AND(U159=TRUE,J157=TRUE,H158=TRUE)</formula>
    </cfRule>
  </conditionalFormatting>
  <conditionalFormatting sqref="U162:V162">
    <cfRule type="expression" dxfId="2314" priority="277">
      <formula>AND(U161=TRUE,J157=TRUE,H158=TRUE)</formula>
    </cfRule>
  </conditionalFormatting>
  <conditionalFormatting sqref="U166:V166">
    <cfRule type="expression" dxfId="2313" priority="255">
      <formula>AND(J169=TRUE,H170=TRUE)</formula>
    </cfRule>
  </conditionalFormatting>
  <conditionalFormatting sqref="U168:V168">
    <cfRule type="expression" dxfId="2312" priority="260">
      <formula>AND($J169=TRUE,H170=TRUE)</formula>
    </cfRule>
  </conditionalFormatting>
  <conditionalFormatting sqref="U172:V172">
    <cfRule type="expression" dxfId="2311" priority="259">
      <formula>AND(U171=TRUE,J169=TRUE,H170=TRUE)</formula>
    </cfRule>
  </conditionalFormatting>
  <conditionalFormatting sqref="U174:V174">
    <cfRule type="expression" dxfId="2310" priority="258">
      <formula>AND(U173=TRUE,J169=TRUE,H170=TRUE)</formula>
    </cfRule>
  </conditionalFormatting>
  <conditionalFormatting sqref="U178:V178">
    <cfRule type="expression" dxfId="2309" priority="236">
      <formula>AND(J181=TRUE,H182=TRUE)</formula>
    </cfRule>
  </conditionalFormatting>
  <conditionalFormatting sqref="U180:V180">
    <cfRule type="expression" dxfId="2308" priority="241">
      <formula>AND($J181=TRUE,H182=TRUE)</formula>
    </cfRule>
  </conditionalFormatting>
  <conditionalFormatting sqref="U184:V184">
    <cfRule type="expression" dxfId="2307" priority="240">
      <formula>AND(U183=TRUE,J181=TRUE,H182=TRUE)</formula>
    </cfRule>
  </conditionalFormatting>
  <conditionalFormatting sqref="U186:V186">
    <cfRule type="expression" dxfId="2306" priority="239">
      <formula>AND(U185=TRUE,J181=TRUE,H182=TRUE)</formula>
    </cfRule>
  </conditionalFormatting>
  <conditionalFormatting sqref="U190:V190">
    <cfRule type="expression" dxfId="2305" priority="217">
      <formula>AND(J193=TRUE,H194=TRUE)</formula>
    </cfRule>
  </conditionalFormatting>
  <conditionalFormatting sqref="U192:V192">
    <cfRule type="expression" dxfId="2304" priority="222">
      <formula>AND($J193=TRUE,H194=TRUE)</formula>
    </cfRule>
  </conditionalFormatting>
  <conditionalFormatting sqref="U196:V196">
    <cfRule type="expression" dxfId="2303" priority="221">
      <formula>AND(U195=TRUE,J193=TRUE,H194=TRUE)</formula>
    </cfRule>
  </conditionalFormatting>
  <conditionalFormatting sqref="U198:V198">
    <cfRule type="expression" dxfId="2302" priority="220">
      <formula>AND(U197=TRUE,J193=TRUE,H194=TRUE)</formula>
    </cfRule>
  </conditionalFormatting>
  <conditionalFormatting sqref="U202:V202">
    <cfRule type="expression" dxfId="2301" priority="196">
      <formula>AND(J205=TRUE,H206=TRUE)</formula>
    </cfRule>
  </conditionalFormatting>
  <conditionalFormatting sqref="U204:V204">
    <cfRule type="expression" dxfId="2300" priority="201">
      <formula>AND($J205=TRUE,H206=TRUE)</formula>
    </cfRule>
  </conditionalFormatting>
  <conditionalFormatting sqref="U208:V208">
    <cfRule type="expression" dxfId="2299" priority="200">
      <formula>AND(U207=TRUE,J205=TRUE,H206=TRUE)</formula>
    </cfRule>
  </conditionalFormatting>
  <conditionalFormatting sqref="U210:V210">
    <cfRule type="expression" dxfId="2298" priority="199">
      <formula>AND(U209=TRUE,J205=TRUE,H206=TRUE)</formula>
    </cfRule>
  </conditionalFormatting>
  <conditionalFormatting sqref="U214:V214">
    <cfRule type="expression" dxfId="2297" priority="177">
      <formula>AND(J217=TRUE,H218=TRUE)</formula>
    </cfRule>
  </conditionalFormatting>
  <conditionalFormatting sqref="U216:V216">
    <cfRule type="expression" dxfId="2296" priority="182">
      <formula>AND($J217=TRUE,H218=TRUE)</formula>
    </cfRule>
  </conditionalFormatting>
  <conditionalFormatting sqref="U220:V220">
    <cfRule type="expression" dxfId="2295" priority="181">
      <formula>AND(U219=TRUE,J217=TRUE,H218=TRUE)</formula>
    </cfRule>
  </conditionalFormatting>
  <conditionalFormatting sqref="U222:V222">
    <cfRule type="expression" dxfId="2294" priority="180">
      <formula>AND(U221=TRUE,J217=TRUE,H218=TRUE)</formula>
    </cfRule>
  </conditionalFormatting>
  <conditionalFormatting sqref="U226:V226">
    <cfRule type="expression" dxfId="2293" priority="158">
      <formula>AND(J229=TRUE,H230=TRUE)</formula>
    </cfRule>
  </conditionalFormatting>
  <conditionalFormatting sqref="U228:V228">
    <cfRule type="expression" dxfId="2292" priority="163">
      <formula>AND($J229=TRUE,H230=TRUE)</formula>
    </cfRule>
  </conditionalFormatting>
  <conditionalFormatting sqref="U232:V232">
    <cfRule type="expression" dxfId="2291" priority="162">
      <formula>AND(U231=TRUE,J229=TRUE,H230=TRUE)</formula>
    </cfRule>
  </conditionalFormatting>
  <conditionalFormatting sqref="U234:V234">
    <cfRule type="expression" dxfId="2290" priority="161">
      <formula>AND(U233=TRUE,J229=TRUE,H230=TRUE)</formula>
    </cfRule>
  </conditionalFormatting>
  <conditionalFormatting sqref="U238:V238">
    <cfRule type="expression" dxfId="2289" priority="139">
      <formula>AND(J241=TRUE,H242=TRUE)</formula>
    </cfRule>
  </conditionalFormatting>
  <conditionalFormatting sqref="U240:V240">
    <cfRule type="expression" dxfId="2288" priority="144">
      <formula>AND($J241=TRUE,H242=TRUE)</formula>
    </cfRule>
  </conditionalFormatting>
  <conditionalFormatting sqref="U244:V244">
    <cfRule type="expression" dxfId="2287" priority="143">
      <formula>AND(U243=TRUE,J241=TRUE,H242=TRUE)</formula>
    </cfRule>
  </conditionalFormatting>
  <conditionalFormatting sqref="U246:V246">
    <cfRule type="expression" dxfId="2286" priority="142">
      <formula>AND(U245=TRUE,J241=TRUE,H242=TRUE)</formula>
    </cfRule>
  </conditionalFormatting>
  <conditionalFormatting sqref="U14:W14">
    <cfRule type="expression" dxfId="2285" priority="6250">
      <formula>AND(H14=TRUE,J13=TRUE)</formula>
    </cfRule>
  </conditionalFormatting>
  <conditionalFormatting sqref="U26:W26">
    <cfRule type="expression" dxfId="2284" priority="488">
      <formula>AND(H26=TRUE,J25=TRUE)</formula>
    </cfRule>
  </conditionalFormatting>
  <conditionalFormatting sqref="U38:W38">
    <cfRule type="expression" dxfId="2283" priority="468">
      <formula>AND(H38=TRUE,J37=TRUE)</formula>
    </cfRule>
  </conditionalFormatting>
  <conditionalFormatting sqref="U50:W50">
    <cfRule type="expression" dxfId="2282" priority="449">
      <formula>AND(H50=TRUE,J49=TRUE)</formula>
    </cfRule>
  </conditionalFormatting>
  <conditionalFormatting sqref="U62:W62">
    <cfRule type="expression" dxfId="2281" priority="430">
      <formula>AND(H62=TRUE,J61=TRUE)</formula>
    </cfRule>
  </conditionalFormatting>
  <conditionalFormatting sqref="U74:W74">
    <cfRule type="expression" dxfId="2280" priority="411">
      <formula>AND(H74=TRUE,J73=TRUE)</formula>
    </cfRule>
  </conditionalFormatting>
  <conditionalFormatting sqref="U86:W86">
    <cfRule type="expression" dxfId="2279" priority="393">
      <formula>AND(H86=TRUE,J85=TRUE)</formula>
    </cfRule>
  </conditionalFormatting>
  <conditionalFormatting sqref="U98:W98">
    <cfRule type="expression" dxfId="2278" priority="377">
      <formula>AND(H98=TRUE,J97=TRUE)</formula>
    </cfRule>
  </conditionalFormatting>
  <conditionalFormatting sqref="U110:W110">
    <cfRule type="expression" dxfId="2277" priority="358">
      <formula>AND(H110=TRUE,J109=TRUE)</formula>
    </cfRule>
  </conditionalFormatting>
  <conditionalFormatting sqref="U122:W122">
    <cfRule type="expression" dxfId="2276" priority="339">
      <formula>AND(H122=TRUE,J121=TRUE)</formula>
    </cfRule>
  </conditionalFormatting>
  <conditionalFormatting sqref="U134:W134">
    <cfRule type="expression" dxfId="2275" priority="322">
      <formula>AND(H134=TRUE,J133=TRUE)</formula>
    </cfRule>
  </conditionalFormatting>
  <conditionalFormatting sqref="U146:W146">
    <cfRule type="expression" dxfId="2274" priority="301">
      <formula>AND(H146=TRUE,J145=TRUE)</formula>
    </cfRule>
  </conditionalFormatting>
  <conditionalFormatting sqref="U158:W158">
    <cfRule type="expression" dxfId="2273" priority="282">
      <formula>AND(H158=TRUE,J157=TRUE)</formula>
    </cfRule>
  </conditionalFormatting>
  <conditionalFormatting sqref="U170:W170">
    <cfRule type="expression" dxfId="2272" priority="263">
      <formula>AND(H170=TRUE,J169=TRUE)</formula>
    </cfRule>
  </conditionalFormatting>
  <conditionalFormatting sqref="U182:W182">
    <cfRule type="expression" dxfId="2271" priority="244">
      <formula>AND(H182=TRUE,J181=TRUE)</formula>
    </cfRule>
  </conditionalFormatting>
  <conditionalFormatting sqref="U194:W194">
    <cfRule type="expression" dxfId="2270" priority="225">
      <formula>AND(H194=TRUE,J193=TRUE)</formula>
    </cfRule>
  </conditionalFormatting>
  <conditionalFormatting sqref="U206:W206">
    <cfRule type="expression" dxfId="2269" priority="206">
      <formula>AND(H206=TRUE,J205=TRUE)</formula>
    </cfRule>
  </conditionalFormatting>
  <conditionalFormatting sqref="U218:W218">
    <cfRule type="expression" dxfId="2268" priority="185">
      <formula>AND(H218=TRUE,J217=TRUE)</formula>
    </cfRule>
  </conditionalFormatting>
  <conditionalFormatting sqref="U230:W230">
    <cfRule type="expression" dxfId="2267" priority="166">
      <formula>AND(H230=TRUE,J229=TRUE)</formula>
    </cfRule>
  </conditionalFormatting>
  <conditionalFormatting sqref="U242:W242">
    <cfRule type="expression" dxfId="2266" priority="147">
      <formula>AND(H242=TRUE,J241=TRUE)</formula>
    </cfRule>
  </conditionalFormatting>
  <conditionalFormatting sqref="V11">
    <cfRule type="expression" dxfId="2265" priority="919">
      <formula>AND($J13=TRUE,$H14=TRUE)</formula>
    </cfRule>
  </conditionalFormatting>
  <conditionalFormatting sqref="V13">
    <cfRule type="expression" dxfId="2264" priority="6245">
      <formula>AND(H14=TRUE,J13=TRUE)</formula>
    </cfRule>
  </conditionalFormatting>
  <conditionalFormatting sqref="V23">
    <cfRule type="expression" dxfId="2263" priority="480">
      <formula>AND($J25=TRUE,$H26=TRUE)</formula>
    </cfRule>
  </conditionalFormatting>
  <conditionalFormatting sqref="V25">
    <cfRule type="expression" dxfId="2262" priority="487">
      <formula>AND(H26=TRUE,J25=TRUE)</formula>
    </cfRule>
  </conditionalFormatting>
  <conditionalFormatting sqref="V27 V135 V39 V51 V63 V75 V87 V99 V111 V123 V147 V159 V171 V183 V195 V207 V219 V231 V243 V15">
    <cfRule type="expression" dxfId="2261" priority="4559">
      <formula>AND(H14=TRUE,J13=TRUE)</formula>
    </cfRule>
  </conditionalFormatting>
  <conditionalFormatting sqref="V29 V137 V41 V53 V65 V77 V89 V101 V113 V125 V149 V161 V173 V185 V197 V209 V221 V233 V245 V17">
    <cfRule type="expression" dxfId="2260" priority="4560">
      <formula>AND(H14=TRUE,J13=TRUE)</formula>
    </cfRule>
  </conditionalFormatting>
  <conditionalFormatting sqref="V35">
    <cfRule type="expression" dxfId="2259" priority="461">
      <formula>AND($J37=TRUE,$H38=TRUE)</formula>
    </cfRule>
  </conditionalFormatting>
  <conditionalFormatting sqref="V37">
    <cfRule type="expression" dxfId="2258" priority="467">
      <formula>AND(H38=TRUE,J37=TRUE)</formula>
    </cfRule>
  </conditionalFormatting>
  <conditionalFormatting sqref="V47">
    <cfRule type="expression" dxfId="2257" priority="442">
      <formula>AND($J49=TRUE,$H50=TRUE)</formula>
    </cfRule>
  </conditionalFormatting>
  <conditionalFormatting sqref="V49">
    <cfRule type="expression" dxfId="2256" priority="448">
      <formula>AND(H50=TRUE,J49=TRUE)</formula>
    </cfRule>
  </conditionalFormatting>
  <conditionalFormatting sqref="V59">
    <cfRule type="expression" dxfId="2255" priority="423">
      <formula>AND($J61=TRUE,$H62=TRUE)</formula>
    </cfRule>
  </conditionalFormatting>
  <conditionalFormatting sqref="V61">
    <cfRule type="expression" dxfId="2254" priority="429">
      <formula>AND(H62=TRUE,J61=TRUE)</formula>
    </cfRule>
  </conditionalFormatting>
  <conditionalFormatting sqref="V71">
    <cfRule type="expression" dxfId="2253" priority="404">
      <formula>AND($J73=TRUE,$H74=TRUE)</formula>
    </cfRule>
  </conditionalFormatting>
  <conditionalFormatting sqref="V73">
    <cfRule type="expression" dxfId="2252" priority="410">
      <formula>AND(H74=TRUE,J73=TRUE)</formula>
    </cfRule>
  </conditionalFormatting>
  <conditionalFormatting sqref="V83">
    <cfRule type="expression" dxfId="2251" priority="387">
      <formula>AND($J85=TRUE,$H86=TRUE)</formula>
    </cfRule>
  </conditionalFormatting>
  <conditionalFormatting sqref="V85">
    <cfRule type="expression" dxfId="2250" priority="392">
      <formula>AND(H86=TRUE,J85=TRUE)</formula>
    </cfRule>
  </conditionalFormatting>
  <conditionalFormatting sqref="V95">
    <cfRule type="expression" dxfId="2249" priority="370">
      <formula>AND($J97=TRUE,$H98=TRUE)</formula>
    </cfRule>
  </conditionalFormatting>
  <conditionalFormatting sqref="V97">
    <cfRule type="expression" dxfId="2248" priority="376">
      <formula>AND(H98=TRUE,J97=TRUE)</formula>
    </cfRule>
  </conditionalFormatting>
  <conditionalFormatting sqref="V107">
    <cfRule type="expression" dxfId="2247" priority="351">
      <formula>AND($J109=TRUE,$H110=TRUE)</formula>
    </cfRule>
  </conditionalFormatting>
  <conditionalFormatting sqref="V109">
    <cfRule type="expression" dxfId="2246" priority="357">
      <formula>AND(H110=TRUE,J109=TRUE)</formula>
    </cfRule>
  </conditionalFormatting>
  <conditionalFormatting sqref="V119">
    <cfRule type="expression" dxfId="2245" priority="332">
      <formula>AND($J121=TRUE,$H122=TRUE)</formula>
    </cfRule>
  </conditionalFormatting>
  <conditionalFormatting sqref="V121">
    <cfRule type="expression" dxfId="2244" priority="338">
      <formula>AND(H122=TRUE,J121=TRUE)</formula>
    </cfRule>
  </conditionalFormatting>
  <conditionalFormatting sqref="V131">
    <cfRule type="expression" dxfId="2243" priority="315">
      <formula>AND($J133=TRUE,$H134=TRUE)</formula>
    </cfRule>
  </conditionalFormatting>
  <conditionalFormatting sqref="V133">
    <cfRule type="expression" dxfId="2242" priority="321">
      <formula>AND(H134=TRUE,J133=TRUE)</formula>
    </cfRule>
  </conditionalFormatting>
  <conditionalFormatting sqref="V143">
    <cfRule type="expression" dxfId="2241" priority="294">
      <formula>AND($J145=TRUE,$H146=TRUE)</formula>
    </cfRule>
  </conditionalFormatting>
  <conditionalFormatting sqref="V145">
    <cfRule type="expression" dxfId="2240" priority="300">
      <formula>AND(H146=TRUE,J145=TRUE)</formula>
    </cfRule>
  </conditionalFormatting>
  <conditionalFormatting sqref="V155">
    <cfRule type="expression" dxfId="2239" priority="275">
      <formula>AND($J157=TRUE,$H158=TRUE)</formula>
    </cfRule>
  </conditionalFormatting>
  <conditionalFormatting sqref="V157">
    <cfRule type="expression" dxfId="2238" priority="281">
      <formula>AND(H158=TRUE,J157=TRUE)</formula>
    </cfRule>
  </conditionalFormatting>
  <conditionalFormatting sqref="V167">
    <cfRule type="expression" dxfId="2237" priority="256">
      <formula>AND($J169=TRUE,$H170=TRUE)</formula>
    </cfRule>
  </conditionalFormatting>
  <conditionalFormatting sqref="V169">
    <cfRule type="expression" dxfId="2236" priority="262">
      <formula>AND(H170=TRUE,J169=TRUE)</formula>
    </cfRule>
  </conditionalFormatting>
  <conditionalFormatting sqref="V179">
    <cfRule type="expression" dxfId="2235" priority="237">
      <formula>AND($J181=TRUE,$H182=TRUE)</formula>
    </cfRule>
  </conditionalFormatting>
  <conditionalFormatting sqref="V181">
    <cfRule type="expression" dxfId="2234" priority="243">
      <formula>AND(H182=TRUE,J181=TRUE)</formula>
    </cfRule>
  </conditionalFormatting>
  <conditionalFormatting sqref="V191">
    <cfRule type="expression" dxfId="2233" priority="218">
      <formula>AND($J193=TRUE,$H194=TRUE)</formula>
    </cfRule>
  </conditionalFormatting>
  <conditionalFormatting sqref="V193">
    <cfRule type="expression" dxfId="2232" priority="224">
      <formula>AND(H194=TRUE,J193=TRUE)</formula>
    </cfRule>
  </conditionalFormatting>
  <conditionalFormatting sqref="V203">
    <cfRule type="expression" dxfId="2231" priority="197">
      <formula>AND($J205=TRUE,$H206=TRUE)</formula>
    </cfRule>
  </conditionalFormatting>
  <conditionalFormatting sqref="V205">
    <cfRule type="expression" dxfId="2230" priority="205">
      <formula>AND(H206=TRUE,J205=TRUE)</formula>
    </cfRule>
  </conditionalFormatting>
  <conditionalFormatting sqref="V215">
    <cfRule type="expression" dxfId="2229" priority="178">
      <formula>AND($J217=TRUE,$H218=TRUE)</formula>
    </cfRule>
  </conditionalFormatting>
  <conditionalFormatting sqref="V217">
    <cfRule type="expression" dxfId="2228" priority="184">
      <formula>AND(H218=TRUE,J217=TRUE)</formula>
    </cfRule>
  </conditionalFormatting>
  <conditionalFormatting sqref="V227">
    <cfRule type="expression" dxfId="2227" priority="159">
      <formula>AND($J229=TRUE,$H230=TRUE)</formula>
    </cfRule>
  </conditionalFormatting>
  <conditionalFormatting sqref="V229">
    <cfRule type="expression" dxfId="2226" priority="165">
      <formula>AND(H230=TRUE,J229=TRUE)</formula>
    </cfRule>
  </conditionalFormatting>
  <conditionalFormatting sqref="V239">
    <cfRule type="expression" dxfId="2225" priority="140">
      <formula>AND($J241=TRUE,$H242=TRUE)</formula>
    </cfRule>
  </conditionalFormatting>
  <conditionalFormatting sqref="V241">
    <cfRule type="expression" dxfId="2224" priority="146">
      <formula>AND(H242=TRUE,J241=TRUE)</formula>
    </cfRule>
  </conditionalFormatting>
  <conditionalFormatting sqref="X3">
    <cfRule type="expression" dxfId="2223" priority="6421">
      <formula>OR(E13,E25,E37,E49,E61,E73,E85,E97,E109,E121,E133,E145,E157,E169,E181,E193,E205,E217,E229,E241)=TRUE</formula>
    </cfRule>
  </conditionalFormatting>
  <conditionalFormatting sqref="X12">
    <cfRule type="expression" dxfId="2222" priority="3601">
      <formula>E13=TRUE</formula>
    </cfRule>
  </conditionalFormatting>
  <conditionalFormatting sqref="X13">
    <cfRule type="expression" dxfId="2221" priority="3667">
      <formula>E13=TRUE</formula>
    </cfRule>
  </conditionalFormatting>
  <conditionalFormatting sqref="X14">
    <cfRule type="expression" dxfId="2220" priority="3666">
      <formula>E13=TRUE</formula>
    </cfRule>
  </conditionalFormatting>
  <conditionalFormatting sqref="X24">
    <cfRule type="expression" dxfId="2218" priority="3518">
      <formula>E25=TRUE</formula>
    </cfRule>
  </conditionalFormatting>
  <conditionalFormatting sqref="X25">
    <cfRule type="expression" dxfId="2217" priority="3527">
      <formula>E25=TRUE</formula>
    </cfRule>
  </conditionalFormatting>
  <conditionalFormatting sqref="X26">
    <cfRule type="expression" dxfId="2216" priority="3526">
      <formula>E25=TRUE</formula>
    </cfRule>
  </conditionalFormatting>
  <conditionalFormatting sqref="X36">
    <cfRule type="expression" dxfId="2214" priority="3455">
      <formula>E37=TRUE</formula>
    </cfRule>
  </conditionalFormatting>
  <conditionalFormatting sqref="X37">
    <cfRule type="expression" dxfId="2213" priority="3464">
      <formula>E37=TRUE</formula>
    </cfRule>
  </conditionalFormatting>
  <conditionalFormatting sqref="X38">
    <cfRule type="expression" dxfId="2212" priority="3463">
      <formula>E37=TRUE</formula>
    </cfRule>
  </conditionalFormatting>
  <conditionalFormatting sqref="X48">
    <cfRule type="expression" dxfId="2210" priority="3393">
      <formula>E49=TRUE</formula>
    </cfRule>
  </conditionalFormatting>
  <conditionalFormatting sqref="X49">
    <cfRule type="expression" dxfId="2209" priority="3402">
      <formula>E49=TRUE</formula>
    </cfRule>
  </conditionalFormatting>
  <conditionalFormatting sqref="X50">
    <cfRule type="expression" dxfId="2208" priority="3401">
      <formula>E49=TRUE</formula>
    </cfRule>
  </conditionalFormatting>
  <conditionalFormatting sqref="X60">
    <cfRule type="expression" dxfId="2206" priority="3331">
      <formula>E61=TRUE</formula>
    </cfRule>
  </conditionalFormatting>
  <conditionalFormatting sqref="X61">
    <cfRule type="expression" dxfId="2205" priority="3340">
      <formula>E61=TRUE</formula>
    </cfRule>
  </conditionalFormatting>
  <conditionalFormatting sqref="X62">
    <cfRule type="expression" dxfId="2204" priority="3339">
      <formula>E61=TRUE</formula>
    </cfRule>
  </conditionalFormatting>
  <conditionalFormatting sqref="X72">
    <cfRule type="expression" dxfId="2202" priority="3269">
      <formula>E73=TRUE</formula>
    </cfRule>
  </conditionalFormatting>
  <conditionalFormatting sqref="X73">
    <cfRule type="expression" dxfId="2201" priority="3278">
      <formula>E73=TRUE</formula>
    </cfRule>
  </conditionalFormatting>
  <conditionalFormatting sqref="X74">
    <cfRule type="expression" dxfId="2200" priority="3277">
      <formula>E73=TRUE</formula>
    </cfRule>
  </conditionalFormatting>
  <conditionalFormatting sqref="X84">
    <cfRule type="expression" dxfId="2198" priority="3207">
      <formula>E85=TRUE</formula>
    </cfRule>
  </conditionalFormatting>
  <conditionalFormatting sqref="X85">
    <cfRule type="expression" dxfId="2197" priority="3216">
      <formula>E85=TRUE</formula>
    </cfRule>
  </conditionalFormatting>
  <conditionalFormatting sqref="X86">
    <cfRule type="expression" dxfId="2196" priority="3215">
      <formula>E85=TRUE</formula>
    </cfRule>
  </conditionalFormatting>
  <conditionalFormatting sqref="X96">
    <cfRule type="expression" dxfId="2194" priority="3145">
      <formula>E97=TRUE</formula>
    </cfRule>
  </conditionalFormatting>
  <conditionalFormatting sqref="X97">
    <cfRule type="expression" dxfId="2193" priority="3154">
      <formula>E97=TRUE</formula>
    </cfRule>
  </conditionalFormatting>
  <conditionalFormatting sqref="X98">
    <cfRule type="expression" dxfId="2192" priority="3153">
      <formula>E97=TRUE</formula>
    </cfRule>
  </conditionalFormatting>
  <conditionalFormatting sqref="X108">
    <cfRule type="expression" dxfId="2190" priority="3057">
      <formula>E109=TRUE</formula>
    </cfRule>
  </conditionalFormatting>
  <conditionalFormatting sqref="X109">
    <cfRule type="expression" dxfId="2189" priority="3066">
      <formula>E109=TRUE</formula>
    </cfRule>
  </conditionalFormatting>
  <conditionalFormatting sqref="X110">
    <cfRule type="expression" dxfId="2188" priority="3065">
      <formula>E109=TRUE</formula>
    </cfRule>
  </conditionalFormatting>
  <conditionalFormatting sqref="X120">
    <cfRule type="expression" dxfId="2186" priority="2995">
      <formula>E121=TRUE</formula>
    </cfRule>
  </conditionalFormatting>
  <conditionalFormatting sqref="X121">
    <cfRule type="expression" dxfId="2185" priority="3004">
      <formula>E121=TRUE</formula>
    </cfRule>
  </conditionalFormatting>
  <conditionalFormatting sqref="X122">
    <cfRule type="expression" dxfId="2184" priority="3003">
      <formula>E121=TRUE</formula>
    </cfRule>
  </conditionalFormatting>
  <conditionalFormatting sqref="X132">
    <cfRule type="expression" dxfId="2182" priority="2933">
      <formula>E133=TRUE</formula>
    </cfRule>
  </conditionalFormatting>
  <conditionalFormatting sqref="X133">
    <cfRule type="expression" dxfId="2181" priority="2942">
      <formula>E133=TRUE</formula>
    </cfRule>
  </conditionalFormatting>
  <conditionalFormatting sqref="X134">
    <cfRule type="expression" dxfId="2180" priority="2941">
      <formula>E133=TRUE</formula>
    </cfRule>
  </conditionalFormatting>
  <conditionalFormatting sqref="X144">
    <cfRule type="expression" dxfId="2178" priority="2871">
      <formula>E145=TRUE</formula>
    </cfRule>
  </conditionalFormatting>
  <conditionalFormatting sqref="X145">
    <cfRule type="expression" dxfId="2177" priority="2880">
      <formula>E145=TRUE</formula>
    </cfRule>
  </conditionalFormatting>
  <conditionalFormatting sqref="X146">
    <cfRule type="expression" dxfId="2176" priority="2879">
      <formula>E145=TRUE</formula>
    </cfRule>
  </conditionalFormatting>
  <conditionalFormatting sqref="X156">
    <cfRule type="expression" dxfId="2174" priority="2809">
      <formula>E157=TRUE</formula>
    </cfRule>
  </conditionalFormatting>
  <conditionalFormatting sqref="X157">
    <cfRule type="expression" dxfId="2173" priority="2818">
      <formula>E157=TRUE</formula>
    </cfRule>
  </conditionalFormatting>
  <conditionalFormatting sqref="X158">
    <cfRule type="expression" dxfId="2172" priority="2817">
      <formula>E157=TRUE</formula>
    </cfRule>
  </conditionalFormatting>
  <conditionalFormatting sqref="X168">
    <cfRule type="expression" dxfId="2170" priority="2747">
      <formula>E169=TRUE</formula>
    </cfRule>
  </conditionalFormatting>
  <conditionalFormatting sqref="X169">
    <cfRule type="expression" dxfId="2169" priority="2756">
      <formula>E169=TRUE</formula>
    </cfRule>
  </conditionalFormatting>
  <conditionalFormatting sqref="X170">
    <cfRule type="expression" dxfId="2168" priority="2755">
      <formula>E169=TRUE</formula>
    </cfRule>
  </conditionalFormatting>
  <conditionalFormatting sqref="X180">
    <cfRule type="expression" dxfId="2166" priority="2685">
      <formula>E181=TRUE</formula>
    </cfRule>
  </conditionalFormatting>
  <conditionalFormatting sqref="X181">
    <cfRule type="expression" dxfId="2165" priority="2694">
      <formula>E181=TRUE</formula>
    </cfRule>
  </conditionalFormatting>
  <conditionalFormatting sqref="X182">
    <cfRule type="expression" dxfId="2164" priority="2693">
      <formula>E181=TRUE</formula>
    </cfRule>
  </conditionalFormatting>
  <conditionalFormatting sqref="X192">
    <cfRule type="expression" dxfId="2162" priority="2623">
      <formula>E193=TRUE</formula>
    </cfRule>
  </conditionalFormatting>
  <conditionalFormatting sqref="X193">
    <cfRule type="expression" dxfId="2161" priority="2632">
      <formula>E193=TRUE</formula>
    </cfRule>
  </conditionalFormatting>
  <conditionalFormatting sqref="X194">
    <cfRule type="expression" dxfId="2160" priority="2631">
      <formula>E193=TRUE</formula>
    </cfRule>
  </conditionalFormatting>
  <conditionalFormatting sqref="X204">
    <cfRule type="expression" dxfId="2158" priority="2561">
      <formula>E205=TRUE</formula>
    </cfRule>
  </conditionalFormatting>
  <conditionalFormatting sqref="X205">
    <cfRule type="expression" dxfId="2157" priority="2570">
      <formula>E205=TRUE</formula>
    </cfRule>
  </conditionalFormatting>
  <conditionalFormatting sqref="X206">
    <cfRule type="expression" dxfId="2156" priority="2569">
      <formula>E205=TRUE</formula>
    </cfRule>
  </conditionalFormatting>
  <conditionalFormatting sqref="X216">
    <cfRule type="expression" dxfId="2154" priority="2499">
      <formula>E217=TRUE</formula>
    </cfRule>
  </conditionalFormatting>
  <conditionalFormatting sqref="X217">
    <cfRule type="expression" dxfId="2153" priority="2508">
      <formula>E217=TRUE</formula>
    </cfRule>
  </conditionalFormatting>
  <conditionalFormatting sqref="X218">
    <cfRule type="expression" dxfId="2152" priority="2507">
      <formula>E217=TRUE</formula>
    </cfRule>
  </conditionalFormatting>
  <conditionalFormatting sqref="X228">
    <cfRule type="expression" dxfId="2150" priority="2437">
      <formula>E229=TRUE</formula>
    </cfRule>
  </conditionalFormatting>
  <conditionalFormatting sqref="X229">
    <cfRule type="expression" dxfId="2149" priority="2446">
      <formula>E229=TRUE</formula>
    </cfRule>
  </conditionalFormatting>
  <conditionalFormatting sqref="X230">
    <cfRule type="expression" dxfId="2148" priority="2445">
      <formula>E229=TRUE</formula>
    </cfRule>
  </conditionalFormatting>
  <conditionalFormatting sqref="X240">
    <cfRule type="expression" dxfId="2146" priority="2375">
      <formula>E241=TRUE</formula>
    </cfRule>
  </conditionalFormatting>
  <conditionalFormatting sqref="X241">
    <cfRule type="expression" dxfId="2145" priority="2384">
      <formula>E241=TRUE</formula>
    </cfRule>
  </conditionalFormatting>
  <conditionalFormatting sqref="X242">
    <cfRule type="expression" dxfId="2144" priority="2383">
      <formula>E241=TRUE</formula>
    </cfRule>
  </conditionalFormatting>
  <conditionalFormatting sqref="Y12">
    <cfRule type="expression" dxfId="2143" priority="3671">
      <formula>E13=TRUE</formula>
    </cfRule>
  </conditionalFormatting>
  <conditionalFormatting sqref="Y13">
    <cfRule type="expression" dxfId="2142" priority="3670">
      <formula>E13=TRUE</formula>
    </cfRule>
  </conditionalFormatting>
  <conditionalFormatting sqref="Y14">
    <cfRule type="expression" dxfId="2141" priority="3669">
      <formula>E13=TRUE</formula>
    </cfRule>
  </conditionalFormatting>
  <conditionalFormatting sqref="Y22:Y23">
    <cfRule type="expression" dxfId="2140" priority="3479">
      <formula>E25=TRUE</formula>
    </cfRule>
  </conditionalFormatting>
  <conditionalFormatting sqref="Y24">
    <cfRule type="expression" dxfId="2139" priority="3530">
      <formula>E25=TRUE</formula>
    </cfRule>
  </conditionalFormatting>
  <conditionalFormatting sqref="Y25">
    <cfRule type="expression" dxfId="2138" priority="3529">
      <formula>E25=TRUE</formula>
    </cfRule>
  </conditionalFormatting>
  <conditionalFormatting sqref="Y26">
    <cfRule type="expression" dxfId="2137" priority="3528">
      <formula>E25=TRUE</formula>
    </cfRule>
  </conditionalFormatting>
  <conditionalFormatting sqref="Y34:Y35">
    <cfRule type="expression" dxfId="2136" priority="3082">
      <formula>E37=TRUE</formula>
    </cfRule>
  </conditionalFormatting>
  <conditionalFormatting sqref="Y36">
    <cfRule type="expression" dxfId="2135" priority="3467">
      <formula>E37=TRUE</formula>
    </cfRule>
  </conditionalFormatting>
  <conditionalFormatting sqref="Y37">
    <cfRule type="expression" dxfId="2134" priority="3466">
      <formula>E37=TRUE</formula>
    </cfRule>
  </conditionalFormatting>
  <conditionalFormatting sqref="Y38">
    <cfRule type="expression" dxfId="2133" priority="3465">
      <formula>E37=TRUE</formula>
    </cfRule>
  </conditionalFormatting>
  <conditionalFormatting sqref="Y46:Y47">
    <cfRule type="expression" dxfId="2132" priority="3081">
      <formula>E49=TRUE</formula>
    </cfRule>
  </conditionalFormatting>
  <conditionalFormatting sqref="Y48">
    <cfRule type="expression" dxfId="2131" priority="3405">
      <formula>E49=TRUE</formula>
    </cfRule>
  </conditionalFormatting>
  <conditionalFormatting sqref="Y49">
    <cfRule type="expression" dxfId="2130" priority="3404">
      <formula>E49=TRUE</formula>
    </cfRule>
  </conditionalFormatting>
  <conditionalFormatting sqref="Y50">
    <cfRule type="expression" dxfId="2129" priority="3403">
      <formula>E49=TRUE</formula>
    </cfRule>
  </conditionalFormatting>
  <conditionalFormatting sqref="Y58:Y59">
    <cfRule type="expression" dxfId="2128" priority="3080">
      <formula>E61=TRUE</formula>
    </cfRule>
  </conditionalFormatting>
  <conditionalFormatting sqref="Y60">
    <cfRule type="expression" dxfId="2127" priority="3343">
      <formula>E61=TRUE</formula>
    </cfRule>
  </conditionalFormatting>
  <conditionalFormatting sqref="Y61">
    <cfRule type="expression" dxfId="2126" priority="3342">
      <formula>E61=TRUE</formula>
    </cfRule>
  </conditionalFormatting>
  <conditionalFormatting sqref="Y62">
    <cfRule type="expression" dxfId="2125" priority="3341">
      <formula>E61=TRUE</formula>
    </cfRule>
  </conditionalFormatting>
  <conditionalFormatting sqref="Y70:Y71">
    <cfRule type="expression" dxfId="2124" priority="3079">
      <formula>E73=TRUE</formula>
    </cfRule>
  </conditionalFormatting>
  <conditionalFormatting sqref="Y72">
    <cfRule type="expression" dxfId="2123" priority="3281">
      <formula>E73=TRUE</formula>
    </cfRule>
  </conditionalFormatting>
  <conditionalFormatting sqref="Y73">
    <cfRule type="expression" dxfId="2122" priority="3280">
      <formula>E73=TRUE</formula>
    </cfRule>
  </conditionalFormatting>
  <conditionalFormatting sqref="Y74">
    <cfRule type="expression" dxfId="2121" priority="3279">
      <formula>E73=TRUE</formula>
    </cfRule>
  </conditionalFormatting>
  <conditionalFormatting sqref="Y82:Y83 Y10:Y11">
    <cfRule type="expression" dxfId="2120" priority="3083">
      <formula>E13=TRUE</formula>
    </cfRule>
  </conditionalFormatting>
  <conditionalFormatting sqref="Y84">
    <cfRule type="expression" dxfId="2119" priority="3219">
      <formula>E85=TRUE</formula>
    </cfRule>
  </conditionalFormatting>
  <conditionalFormatting sqref="Y85">
    <cfRule type="expression" dxfId="2118" priority="3218">
      <formula>E85=TRUE</formula>
    </cfRule>
  </conditionalFormatting>
  <conditionalFormatting sqref="Y86">
    <cfRule type="expression" dxfId="2117" priority="3217">
      <formula>E85=TRUE</formula>
    </cfRule>
  </conditionalFormatting>
  <conditionalFormatting sqref="Y94:Y95">
    <cfRule type="expression" dxfId="2116" priority="3077">
      <formula>E97=TRUE</formula>
    </cfRule>
  </conditionalFormatting>
  <conditionalFormatting sqref="Y96">
    <cfRule type="expression" dxfId="2115" priority="3157">
      <formula>E97=TRUE</formula>
    </cfRule>
  </conditionalFormatting>
  <conditionalFormatting sqref="Y97">
    <cfRule type="expression" dxfId="2114" priority="3156">
      <formula>E97=TRUE</formula>
    </cfRule>
  </conditionalFormatting>
  <conditionalFormatting sqref="Y98">
    <cfRule type="expression" dxfId="2113" priority="3155">
      <formula>E97=TRUE</formula>
    </cfRule>
  </conditionalFormatting>
  <conditionalFormatting sqref="Y106:Y107">
    <cfRule type="expression" dxfId="2112" priority="3015">
      <formula>E109=TRUE</formula>
    </cfRule>
  </conditionalFormatting>
  <conditionalFormatting sqref="Y108">
    <cfRule type="expression" dxfId="2111" priority="3069">
      <formula>E109=TRUE</formula>
    </cfRule>
  </conditionalFormatting>
  <conditionalFormatting sqref="Y109">
    <cfRule type="expression" dxfId="2110" priority="3068">
      <formula>E109=TRUE</formula>
    </cfRule>
  </conditionalFormatting>
  <conditionalFormatting sqref="Y110">
    <cfRule type="expression" dxfId="2109" priority="3067">
      <formula>E109=TRUE</formula>
    </cfRule>
  </conditionalFormatting>
  <conditionalFormatting sqref="Y118:Y119">
    <cfRule type="expression" dxfId="2108" priority="2953">
      <formula>E121=TRUE</formula>
    </cfRule>
  </conditionalFormatting>
  <conditionalFormatting sqref="Y120">
    <cfRule type="expression" dxfId="2107" priority="3007">
      <formula>E121=TRUE</formula>
    </cfRule>
  </conditionalFormatting>
  <conditionalFormatting sqref="Y121">
    <cfRule type="expression" dxfId="2106" priority="3006">
      <formula>E121=TRUE</formula>
    </cfRule>
  </conditionalFormatting>
  <conditionalFormatting sqref="Y122">
    <cfRule type="expression" dxfId="2105" priority="3005">
      <formula>E121=TRUE</formula>
    </cfRule>
  </conditionalFormatting>
  <conditionalFormatting sqref="Y130:Y131">
    <cfRule type="expression" dxfId="2104" priority="2891">
      <formula>E133=TRUE</formula>
    </cfRule>
  </conditionalFormatting>
  <conditionalFormatting sqref="Y132">
    <cfRule type="expression" dxfId="2103" priority="2945">
      <formula>E133=TRUE</formula>
    </cfRule>
  </conditionalFormatting>
  <conditionalFormatting sqref="Y133">
    <cfRule type="expression" dxfId="2102" priority="2944">
      <formula>E133=TRUE</formula>
    </cfRule>
  </conditionalFormatting>
  <conditionalFormatting sqref="Y134">
    <cfRule type="expression" dxfId="2101" priority="2943">
      <formula>E133=TRUE</formula>
    </cfRule>
  </conditionalFormatting>
  <conditionalFormatting sqref="Y142:Y143">
    <cfRule type="expression" dxfId="2100" priority="2829">
      <formula>E145=TRUE</formula>
    </cfRule>
  </conditionalFormatting>
  <conditionalFormatting sqref="Y144">
    <cfRule type="expression" dxfId="2099" priority="2883">
      <formula>E145=TRUE</formula>
    </cfRule>
  </conditionalFormatting>
  <conditionalFormatting sqref="Y145">
    <cfRule type="expression" dxfId="2098" priority="2882">
      <formula>E145=TRUE</formula>
    </cfRule>
  </conditionalFormatting>
  <conditionalFormatting sqref="Y146">
    <cfRule type="expression" dxfId="2097" priority="2881">
      <formula>E145=TRUE</formula>
    </cfRule>
  </conditionalFormatting>
  <conditionalFormatting sqref="Y154:Y155">
    <cfRule type="expression" dxfId="2096" priority="2767">
      <formula>E157=TRUE</formula>
    </cfRule>
  </conditionalFormatting>
  <conditionalFormatting sqref="Y156">
    <cfRule type="expression" dxfId="2095" priority="2821">
      <formula>E157=TRUE</formula>
    </cfRule>
  </conditionalFormatting>
  <conditionalFormatting sqref="Y157">
    <cfRule type="expression" dxfId="2094" priority="2820">
      <formula>E157=TRUE</formula>
    </cfRule>
  </conditionalFormatting>
  <conditionalFormatting sqref="Y158">
    <cfRule type="expression" dxfId="2093" priority="2819">
      <formula>E157=TRUE</formula>
    </cfRule>
  </conditionalFormatting>
  <conditionalFormatting sqref="Y166:Y167">
    <cfRule type="expression" dxfId="2092" priority="2705">
      <formula>E169=TRUE</formula>
    </cfRule>
  </conditionalFormatting>
  <conditionalFormatting sqref="Y168">
    <cfRule type="expression" dxfId="2091" priority="2759">
      <formula>E169=TRUE</formula>
    </cfRule>
  </conditionalFormatting>
  <conditionalFormatting sqref="Y169">
    <cfRule type="expression" dxfId="2090" priority="2758">
      <formula>E169=TRUE</formula>
    </cfRule>
  </conditionalFormatting>
  <conditionalFormatting sqref="Y170">
    <cfRule type="expression" dxfId="2089" priority="2757">
      <formula>E169=TRUE</formula>
    </cfRule>
  </conditionalFormatting>
  <conditionalFormatting sqref="Y178:Y179">
    <cfRule type="expression" dxfId="2088" priority="2643">
      <formula>E181=TRUE</formula>
    </cfRule>
  </conditionalFormatting>
  <conditionalFormatting sqref="Y180">
    <cfRule type="expression" dxfId="2087" priority="2697">
      <formula>E181=TRUE</formula>
    </cfRule>
  </conditionalFormatting>
  <conditionalFormatting sqref="Y181">
    <cfRule type="expression" dxfId="2086" priority="2696">
      <formula>E181=TRUE</formula>
    </cfRule>
  </conditionalFormatting>
  <conditionalFormatting sqref="Y182">
    <cfRule type="expression" dxfId="2085" priority="2695">
      <formula>E181=TRUE</formula>
    </cfRule>
  </conditionalFormatting>
  <conditionalFormatting sqref="Y190:Y191">
    <cfRule type="expression" dxfId="2084" priority="2581">
      <formula>E193=TRUE</formula>
    </cfRule>
  </conditionalFormatting>
  <conditionalFormatting sqref="Y192">
    <cfRule type="expression" dxfId="2083" priority="2635">
      <formula>E193=TRUE</formula>
    </cfRule>
  </conditionalFormatting>
  <conditionalFormatting sqref="Y193">
    <cfRule type="expression" dxfId="2082" priority="2634">
      <formula>E193=TRUE</formula>
    </cfRule>
  </conditionalFormatting>
  <conditionalFormatting sqref="Y194">
    <cfRule type="expression" dxfId="2081" priority="2633">
      <formula>E193=TRUE</formula>
    </cfRule>
  </conditionalFormatting>
  <conditionalFormatting sqref="Y202:Y203">
    <cfRule type="expression" dxfId="2080" priority="2519">
      <formula>E205=TRUE</formula>
    </cfRule>
  </conditionalFormatting>
  <conditionalFormatting sqref="Y204">
    <cfRule type="expression" dxfId="2079" priority="2573">
      <formula>E205=TRUE</formula>
    </cfRule>
  </conditionalFormatting>
  <conditionalFormatting sqref="Y205">
    <cfRule type="expression" dxfId="2078" priority="2572">
      <formula>E205=TRUE</formula>
    </cfRule>
  </conditionalFormatting>
  <conditionalFormatting sqref="Y206">
    <cfRule type="expression" dxfId="2077" priority="2571">
      <formula>E205=TRUE</formula>
    </cfRule>
  </conditionalFormatting>
  <conditionalFormatting sqref="Y214:Y215">
    <cfRule type="expression" dxfId="2076" priority="2457">
      <formula>E217=TRUE</formula>
    </cfRule>
  </conditionalFormatting>
  <conditionalFormatting sqref="Y216">
    <cfRule type="expression" dxfId="2075" priority="2511">
      <formula>E217=TRUE</formula>
    </cfRule>
  </conditionalFormatting>
  <conditionalFormatting sqref="Y217">
    <cfRule type="expression" dxfId="2074" priority="2510">
      <formula>E217=TRUE</formula>
    </cfRule>
  </conditionalFormatting>
  <conditionalFormatting sqref="Y218">
    <cfRule type="expression" dxfId="2073" priority="2509">
      <formula>E217=TRUE</formula>
    </cfRule>
  </conditionalFormatting>
  <conditionalFormatting sqref="Y226:Y227">
    <cfRule type="expression" dxfId="2072" priority="2395">
      <formula>E229=TRUE</formula>
    </cfRule>
  </conditionalFormatting>
  <conditionalFormatting sqref="Y228">
    <cfRule type="expression" dxfId="2071" priority="2449">
      <formula>E229=TRUE</formula>
    </cfRule>
  </conditionalFormatting>
  <conditionalFormatting sqref="Y229">
    <cfRule type="expression" dxfId="2070" priority="2448">
      <formula>E229=TRUE</formula>
    </cfRule>
  </conditionalFormatting>
  <conditionalFormatting sqref="Y230">
    <cfRule type="expression" dxfId="2069" priority="2447">
      <formula>E229=TRUE</formula>
    </cfRule>
  </conditionalFormatting>
  <conditionalFormatting sqref="Y238:Y239">
    <cfRule type="expression" dxfId="2068" priority="2333">
      <formula>E241=TRUE</formula>
    </cfRule>
  </conditionalFormatting>
  <conditionalFormatting sqref="Y240">
    <cfRule type="expression" dxfId="2067" priority="2387">
      <formula>E241=TRUE</formula>
    </cfRule>
  </conditionalFormatting>
  <conditionalFormatting sqref="Y241">
    <cfRule type="expression" dxfId="2066" priority="2386">
      <formula>E241=TRUE</formula>
    </cfRule>
  </conditionalFormatting>
  <conditionalFormatting sqref="Y242">
    <cfRule type="expression" dxfId="2065" priority="2385">
      <formula>E241=TRUE</formula>
    </cfRule>
  </conditionalFormatting>
  <conditionalFormatting sqref="Z12">
    <cfRule type="expression" dxfId="2064" priority="1322">
      <formula>AND($X12=TRUE,$E13=TRUE)</formula>
    </cfRule>
  </conditionalFormatting>
  <conditionalFormatting sqref="Z13">
    <cfRule type="expression" dxfId="2063" priority="1321">
      <formula>AND($X13=TRUE,$E13=TRUE)</formula>
    </cfRule>
  </conditionalFormatting>
  <conditionalFormatting sqref="Z14:Z15">
    <cfRule type="expression" dxfId="2062" priority="1320">
      <formula>AND($X14=TRUE,$E13=TRUE)</formula>
    </cfRule>
  </conditionalFormatting>
  <conditionalFormatting sqref="Z24">
    <cfRule type="expression" dxfId="2061" priority="1316">
      <formula>AND($X24=TRUE,$E25=TRUE)</formula>
    </cfRule>
  </conditionalFormatting>
  <conditionalFormatting sqref="Z25">
    <cfRule type="expression" dxfId="2060" priority="1315">
      <formula>AND($X25=TRUE,$E25=TRUE)</formula>
    </cfRule>
  </conditionalFormatting>
  <conditionalFormatting sqref="Z26:Z27">
    <cfRule type="expression" dxfId="2059" priority="1314">
      <formula>AND($X26=TRUE,$E25=TRUE)</formula>
    </cfRule>
  </conditionalFormatting>
  <conditionalFormatting sqref="Z36">
    <cfRule type="expression" dxfId="2058" priority="1313">
      <formula>AND($X36=TRUE,$E37=TRUE)</formula>
    </cfRule>
  </conditionalFormatting>
  <conditionalFormatting sqref="Z37">
    <cfRule type="expression" dxfId="2057" priority="1312">
      <formula>AND($X37=TRUE,$E37=TRUE)</formula>
    </cfRule>
  </conditionalFormatting>
  <conditionalFormatting sqref="Z38:Z39">
    <cfRule type="expression" dxfId="2056" priority="1311">
      <formula>AND($X38=TRUE,$E37=TRUE)</formula>
    </cfRule>
  </conditionalFormatting>
  <conditionalFormatting sqref="Z48">
    <cfRule type="expression" dxfId="2055" priority="1310">
      <formula>AND($X48=TRUE,$E49=TRUE)</formula>
    </cfRule>
  </conditionalFormatting>
  <conditionalFormatting sqref="Z49">
    <cfRule type="expression" dxfId="2054" priority="1309">
      <formula>AND($X49=TRUE,$E49=TRUE)</formula>
    </cfRule>
  </conditionalFormatting>
  <conditionalFormatting sqref="Z50:Z51">
    <cfRule type="expression" dxfId="2053" priority="1308">
      <formula>AND($X50=TRUE,$E49=TRUE)</formula>
    </cfRule>
  </conditionalFormatting>
  <conditionalFormatting sqref="Z60">
    <cfRule type="expression" dxfId="2052" priority="1307">
      <formula>AND($X60=TRUE,$E61=TRUE)</formula>
    </cfRule>
  </conditionalFormatting>
  <conditionalFormatting sqref="Z61">
    <cfRule type="expression" dxfId="2051" priority="1306">
      <formula>AND($X61=TRUE,$E61=TRUE)</formula>
    </cfRule>
  </conditionalFormatting>
  <conditionalFormatting sqref="Z62:Z63">
    <cfRule type="expression" dxfId="2050" priority="1305">
      <formula>AND($X62=TRUE,$E61=TRUE)</formula>
    </cfRule>
  </conditionalFormatting>
  <conditionalFormatting sqref="Z72">
    <cfRule type="expression" dxfId="2049" priority="1304">
      <formula>AND($X72=TRUE,$E73=TRUE)</formula>
    </cfRule>
  </conditionalFormatting>
  <conditionalFormatting sqref="Z73">
    <cfRule type="expression" dxfId="2048" priority="1303">
      <formula>AND($X73=TRUE,$E73=TRUE)</formula>
    </cfRule>
  </conditionalFormatting>
  <conditionalFormatting sqref="Z74:Z75">
    <cfRule type="expression" dxfId="2047" priority="1302">
      <formula>AND($X74=TRUE,$E73=TRUE)</formula>
    </cfRule>
  </conditionalFormatting>
  <conditionalFormatting sqref="Z84">
    <cfRule type="expression" dxfId="2046" priority="1301">
      <formula>AND($X84=TRUE,$E85=TRUE)</formula>
    </cfRule>
  </conditionalFormatting>
  <conditionalFormatting sqref="Z85">
    <cfRule type="expression" dxfId="2045" priority="1300">
      <formula>AND($X85=TRUE,$E85=TRUE)</formula>
    </cfRule>
  </conditionalFormatting>
  <conditionalFormatting sqref="Z86:Z87">
    <cfRule type="expression" dxfId="2044" priority="1299">
      <formula>AND($X86=TRUE,$E85=TRUE)</formula>
    </cfRule>
  </conditionalFormatting>
  <conditionalFormatting sqref="Z96">
    <cfRule type="expression" dxfId="2043" priority="1298">
      <formula>AND($X96=TRUE,$E97=TRUE)</formula>
    </cfRule>
  </conditionalFormatting>
  <conditionalFormatting sqref="Z97">
    <cfRule type="expression" dxfId="2042" priority="1297">
      <formula>AND($X97=TRUE,$E97=TRUE)</formula>
    </cfRule>
  </conditionalFormatting>
  <conditionalFormatting sqref="Z98:Z99">
    <cfRule type="expression" dxfId="2041" priority="1296">
      <formula>AND($X98=TRUE,$E97=TRUE)</formula>
    </cfRule>
  </conditionalFormatting>
  <conditionalFormatting sqref="Z108">
    <cfRule type="expression" dxfId="2040" priority="1295">
      <formula>AND($X108=TRUE,$E109=TRUE)</formula>
    </cfRule>
  </conditionalFormatting>
  <conditionalFormatting sqref="Z109">
    <cfRule type="expression" dxfId="2039" priority="1294">
      <formula>AND($X109=TRUE,$E109=TRUE)</formula>
    </cfRule>
  </conditionalFormatting>
  <conditionalFormatting sqref="Z110:Z111">
    <cfRule type="expression" dxfId="2038" priority="1293">
      <formula>AND($X110=TRUE,$E109=TRUE)</formula>
    </cfRule>
  </conditionalFormatting>
  <conditionalFormatting sqref="Z120">
    <cfRule type="expression" dxfId="2037" priority="1292">
      <formula>AND($X120=TRUE,$E121=TRUE)</formula>
    </cfRule>
  </conditionalFormatting>
  <conditionalFormatting sqref="Z121">
    <cfRule type="expression" dxfId="2036" priority="1291">
      <formula>AND($X121=TRUE,$E121=TRUE)</formula>
    </cfRule>
  </conditionalFormatting>
  <conditionalFormatting sqref="Z122:Z123">
    <cfRule type="expression" dxfId="2035" priority="1290">
      <formula>AND($X122=TRUE,$E121=TRUE)</formula>
    </cfRule>
  </conditionalFormatting>
  <conditionalFormatting sqref="Z132">
    <cfRule type="expression" dxfId="2034" priority="1367">
      <formula>AND($X132=TRUE,$E133=TRUE)</formula>
    </cfRule>
  </conditionalFormatting>
  <conditionalFormatting sqref="Z133">
    <cfRule type="expression" dxfId="2033" priority="1338">
      <formula>AND($X133=TRUE,$E133=TRUE)</formula>
    </cfRule>
  </conditionalFormatting>
  <conditionalFormatting sqref="Z134:Z135">
    <cfRule type="expression" dxfId="2032" priority="1289">
      <formula>AND($X134=TRUE,$E133=TRUE)</formula>
    </cfRule>
  </conditionalFormatting>
  <conditionalFormatting sqref="Z144">
    <cfRule type="expression" dxfId="2031" priority="1286">
      <formula>AND($X144=TRUE,$E145=TRUE)</formula>
    </cfRule>
  </conditionalFormatting>
  <conditionalFormatting sqref="Z145">
    <cfRule type="expression" dxfId="2030" priority="1285">
      <formula>AND($X145=TRUE,$E145=TRUE)</formula>
    </cfRule>
  </conditionalFormatting>
  <conditionalFormatting sqref="Z146:Z147">
    <cfRule type="expression" dxfId="2029" priority="1284">
      <formula>AND($X146=TRUE,$E145=TRUE)</formula>
    </cfRule>
  </conditionalFormatting>
  <conditionalFormatting sqref="Z156">
    <cfRule type="expression" dxfId="2028" priority="1283">
      <formula>AND($X156=TRUE,$E157=TRUE)</formula>
    </cfRule>
  </conditionalFormatting>
  <conditionalFormatting sqref="Z157">
    <cfRule type="expression" dxfId="2027" priority="1282">
      <formula>AND($X157=TRUE,$E157=TRUE)</formula>
    </cfRule>
  </conditionalFormatting>
  <conditionalFormatting sqref="Z158:Z159">
    <cfRule type="expression" dxfId="2026" priority="1281">
      <formula>AND($X158=TRUE,$E157=TRUE)</formula>
    </cfRule>
  </conditionalFormatting>
  <conditionalFormatting sqref="Z168">
    <cfRule type="expression" dxfId="2025" priority="1280">
      <formula>AND($X168=TRUE,$E169=TRUE)</formula>
    </cfRule>
  </conditionalFormatting>
  <conditionalFormatting sqref="Z169">
    <cfRule type="expression" dxfId="2024" priority="1279">
      <formula>AND($X169=TRUE,$E169=TRUE)</formula>
    </cfRule>
  </conditionalFormatting>
  <conditionalFormatting sqref="Z170:Z171">
    <cfRule type="expression" dxfId="2023" priority="1278">
      <formula>AND($X170=TRUE,$E169=TRUE)</formula>
    </cfRule>
  </conditionalFormatting>
  <conditionalFormatting sqref="Z180">
    <cfRule type="expression" dxfId="2022" priority="1277">
      <formula>AND($X180=TRUE,$E181=TRUE)</formula>
    </cfRule>
  </conditionalFormatting>
  <conditionalFormatting sqref="Z181">
    <cfRule type="expression" dxfId="2021" priority="1276">
      <formula>AND($X181=TRUE,$E181=TRUE)</formula>
    </cfRule>
  </conditionalFormatting>
  <conditionalFormatting sqref="Z182:Z183">
    <cfRule type="expression" dxfId="2020" priority="1275">
      <formula>AND($X182=TRUE,$E181=TRUE)</formula>
    </cfRule>
  </conditionalFormatting>
  <conditionalFormatting sqref="Z192">
    <cfRule type="expression" dxfId="2019" priority="1274">
      <formula>AND($X192=TRUE,$E193=TRUE)</formula>
    </cfRule>
  </conditionalFormatting>
  <conditionalFormatting sqref="Z193">
    <cfRule type="expression" dxfId="2018" priority="1273">
      <formula>AND($X193=TRUE,$E193=TRUE)</formula>
    </cfRule>
  </conditionalFormatting>
  <conditionalFormatting sqref="Z194:Z195">
    <cfRule type="expression" dxfId="2017" priority="1272">
      <formula>AND($X194=TRUE,$E193=TRUE)</formula>
    </cfRule>
  </conditionalFormatting>
  <conditionalFormatting sqref="Z204">
    <cfRule type="expression" dxfId="2016" priority="1271">
      <formula>AND($X204=TRUE,$E205=TRUE)</formula>
    </cfRule>
  </conditionalFormatting>
  <conditionalFormatting sqref="Z205">
    <cfRule type="expression" dxfId="2015" priority="1270">
      <formula>AND($X205=TRUE,$E205=TRUE)</formula>
    </cfRule>
  </conditionalFormatting>
  <conditionalFormatting sqref="Z206:Z207">
    <cfRule type="expression" dxfId="2014" priority="1269">
      <formula>AND($X206=TRUE,$E205=TRUE)</formula>
    </cfRule>
  </conditionalFormatting>
  <conditionalFormatting sqref="Z216">
    <cfRule type="expression" dxfId="2013" priority="1268">
      <formula>AND($X216=TRUE,$E217=TRUE)</formula>
    </cfRule>
  </conditionalFormatting>
  <conditionalFormatting sqref="Z217">
    <cfRule type="expression" dxfId="2012" priority="1267">
      <formula>AND($X217=TRUE,$E217=TRUE)</formula>
    </cfRule>
  </conditionalFormatting>
  <conditionalFormatting sqref="Z218:Z219">
    <cfRule type="expression" dxfId="2011" priority="1266">
      <formula>AND($X218=TRUE,$E217=TRUE)</formula>
    </cfRule>
  </conditionalFormatting>
  <conditionalFormatting sqref="Z228">
    <cfRule type="expression" dxfId="2010" priority="1265">
      <formula>AND($X228=TRUE,$E229=TRUE)</formula>
    </cfRule>
  </conditionalFormatting>
  <conditionalFormatting sqref="Z229">
    <cfRule type="expression" dxfId="2009" priority="1264">
      <formula>AND($X229=TRUE,$E229=TRUE)</formula>
    </cfRule>
  </conditionalFormatting>
  <conditionalFormatting sqref="Z230:Z231">
    <cfRule type="expression" dxfId="2008" priority="1263">
      <formula>AND($X230=TRUE,$E229=TRUE)</formula>
    </cfRule>
  </conditionalFormatting>
  <conditionalFormatting sqref="Z240">
    <cfRule type="expression" dxfId="2007" priority="1262">
      <formula>AND($X240=TRUE,$E241=TRUE)</formula>
    </cfRule>
  </conditionalFormatting>
  <conditionalFormatting sqref="Z241">
    <cfRule type="expression" dxfId="2006" priority="1261">
      <formula>AND($X241=TRUE,$E241=TRUE)</formula>
    </cfRule>
  </conditionalFormatting>
  <conditionalFormatting sqref="Z242:Z243">
    <cfRule type="expression" dxfId="2005" priority="1260">
      <formula>AND($X242=TRUE,$E241=TRUE)</formula>
    </cfRule>
  </conditionalFormatting>
  <conditionalFormatting sqref="AC25:AD25 AC133:AD133 AC37:AD37 AC49:AD49 AC61:AD61 AC73:AD73 AC85:AD85 AC97:AD97 AC109:AD109 AC121:AD121 AC145:AD145 AC157:AD157 AC169:AD169 AC181:AD181 AC193:AD193 AC205:AD205 AC217:AD217 AC229:AD229 AC241:AD241 AC13:AD13">
    <cfRule type="expression" dxfId="1922" priority="5349">
      <formula>AND(#REF!=TRUE,Q13=TRUE)</formula>
    </cfRule>
  </conditionalFormatting>
  <conditionalFormatting sqref="AE12:AF12">
    <cfRule type="expression" dxfId="1863" priority="3674">
      <formula>AB12=TRUE</formula>
    </cfRule>
  </conditionalFormatting>
  <conditionalFormatting sqref="AE22:AF23">
    <cfRule type="expression" dxfId="1861" priority="3093">
      <formula>AB24=TRUE</formula>
    </cfRule>
  </conditionalFormatting>
  <conditionalFormatting sqref="AE24:AF24">
    <cfRule type="expression" dxfId="1859" priority="3532">
      <formula>AB24=TRUE</formula>
    </cfRule>
  </conditionalFormatting>
  <conditionalFormatting sqref="AE34:AF35">
    <cfRule type="expression" dxfId="1857" priority="3094">
      <formula>AB36=TRUE</formula>
    </cfRule>
  </conditionalFormatting>
  <conditionalFormatting sqref="AE36:AF36">
    <cfRule type="expression" dxfId="1856" priority="3469">
      <formula>AB36=TRUE</formula>
    </cfRule>
  </conditionalFormatting>
  <conditionalFormatting sqref="AE46:AF47">
    <cfRule type="expression" dxfId="1853" priority="3095">
      <formula>AB48=TRUE</formula>
    </cfRule>
  </conditionalFormatting>
  <conditionalFormatting sqref="AE48:AF48">
    <cfRule type="expression" dxfId="1852" priority="3407">
      <formula>AB48=TRUE</formula>
    </cfRule>
  </conditionalFormatting>
  <conditionalFormatting sqref="AE58:AF59">
    <cfRule type="expression" dxfId="1849" priority="3096">
      <formula>AB60=TRUE</formula>
    </cfRule>
  </conditionalFormatting>
  <conditionalFormatting sqref="AE60:AF60">
    <cfRule type="expression" dxfId="1848" priority="3345">
      <formula>AB60=TRUE</formula>
    </cfRule>
  </conditionalFormatting>
  <conditionalFormatting sqref="AE70:AF71">
    <cfRule type="expression" dxfId="1845" priority="3097">
      <formula>AB72=TRUE</formula>
    </cfRule>
  </conditionalFormatting>
  <conditionalFormatting sqref="AE72:AF72">
    <cfRule type="expression" dxfId="1843" priority="3283">
      <formula>AB72=TRUE</formula>
    </cfRule>
  </conditionalFormatting>
  <conditionalFormatting sqref="AE82:AF83 AE10:AF11">
    <cfRule type="expression" dxfId="1841" priority="3092">
      <formula>AB12=TRUE</formula>
    </cfRule>
  </conditionalFormatting>
  <conditionalFormatting sqref="AE84:AF84">
    <cfRule type="expression" dxfId="1840" priority="3221">
      <formula>AB84=TRUE</formula>
    </cfRule>
  </conditionalFormatting>
  <conditionalFormatting sqref="AE94:AF95">
    <cfRule type="expression" dxfId="1837" priority="3101">
      <formula>AB96=TRUE</formula>
    </cfRule>
  </conditionalFormatting>
  <conditionalFormatting sqref="AE96:AF96">
    <cfRule type="expression" dxfId="1836" priority="3159">
      <formula>AB96=TRUE</formula>
    </cfRule>
  </conditionalFormatting>
  <conditionalFormatting sqref="AE106:AF107">
    <cfRule type="expression" dxfId="1833" priority="3019">
      <formula>AB108=TRUE</formula>
    </cfRule>
  </conditionalFormatting>
  <conditionalFormatting sqref="AE108:AF108">
    <cfRule type="expression" dxfId="1831" priority="3071">
      <formula>AB108=TRUE</formula>
    </cfRule>
  </conditionalFormatting>
  <conditionalFormatting sqref="AE118:AF119">
    <cfRule type="expression" dxfId="1829" priority="2957">
      <formula>AB120=TRUE</formula>
    </cfRule>
  </conditionalFormatting>
  <conditionalFormatting sqref="AE120:AF120">
    <cfRule type="expression" dxfId="1827" priority="3009">
      <formula>AB120=TRUE</formula>
    </cfRule>
  </conditionalFormatting>
  <conditionalFormatting sqref="AE130:AF131">
    <cfRule type="expression" dxfId="1825" priority="2895">
      <formula>AB132=TRUE</formula>
    </cfRule>
  </conditionalFormatting>
  <conditionalFormatting sqref="AE132:AF132">
    <cfRule type="expression" dxfId="1824" priority="2947">
      <formula>AB132=TRUE</formula>
    </cfRule>
  </conditionalFormatting>
  <conditionalFormatting sqref="AE142:AF143">
    <cfRule type="expression" dxfId="1821" priority="2833">
      <formula>AB144=TRUE</formula>
    </cfRule>
  </conditionalFormatting>
  <conditionalFormatting sqref="AE144:AF144">
    <cfRule type="expression" dxfId="1819" priority="2885">
      <formula>AB144=TRUE</formula>
    </cfRule>
  </conditionalFormatting>
  <conditionalFormatting sqref="AE154:AF155">
    <cfRule type="expression" dxfId="1817" priority="2771">
      <formula>AB156=TRUE</formula>
    </cfRule>
  </conditionalFormatting>
  <conditionalFormatting sqref="AE156:AF156">
    <cfRule type="expression" dxfId="1815" priority="2823">
      <formula>AB156=TRUE</formula>
    </cfRule>
  </conditionalFormatting>
  <conditionalFormatting sqref="AE166:AF167">
    <cfRule type="expression" dxfId="1813" priority="2709">
      <formula>AB168=TRUE</formula>
    </cfRule>
  </conditionalFormatting>
  <conditionalFormatting sqref="AE168:AF168">
    <cfRule type="expression" dxfId="1811" priority="2761">
      <formula>AB168=TRUE</formula>
    </cfRule>
  </conditionalFormatting>
  <conditionalFormatting sqref="AE178:AF179">
    <cfRule type="expression" dxfId="1809" priority="2647">
      <formula>AB180=TRUE</formula>
    </cfRule>
  </conditionalFormatting>
  <conditionalFormatting sqref="AE180:AF180">
    <cfRule type="expression" dxfId="1808" priority="2699">
      <formula>AB180=TRUE</formula>
    </cfRule>
  </conditionalFormatting>
  <conditionalFormatting sqref="AE190:AF191">
    <cfRule type="expression" dxfId="1805" priority="2585">
      <formula>AB192=TRUE</formula>
    </cfRule>
  </conditionalFormatting>
  <conditionalFormatting sqref="AE192:AF192">
    <cfRule type="expression" dxfId="1804" priority="2637">
      <formula>AB192=TRUE</formula>
    </cfRule>
  </conditionalFormatting>
  <conditionalFormatting sqref="AE202:AF203">
    <cfRule type="expression" dxfId="1801" priority="2523">
      <formula>AB204=TRUE</formula>
    </cfRule>
  </conditionalFormatting>
  <conditionalFormatting sqref="AE204:AF204">
    <cfRule type="expression" dxfId="1800" priority="2575">
      <formula>AB204=TRUE</formula>
    </cfRule>
  </conditionalFormatting>
  <conditionalFormatting sqref="AE214:AF215">
    <cfRule type="expression" dxfId="1797" priority="2461">
      <formula>AB216=TRUE</formula>
    </cfRule>
  </conditionalFormatting>
  <conditionalFormatting sqref="AE216:AF216">
    <cfRule type="expression" dxfId="1795" priority="2513">
      <formula>AB216=TRUE</formula>
    </cfRule>
  </conditionalFormatting>
  <conditionalFormatting sqref="AE226:AF227">
    <cfRule type="expression" dxfId="1793" priority="2399">
      <formula>AB228=TRUE</formula>
    </cfRule>
  </conditionalFormatting>
  <conditionalFormatting sqref="AE228:AF228">
    <cfRule type="expression" dxfId="1792" priority="2451">
      <formula>AB228=TRUE</formula>
    </cfRule>
  </conditionalFormatting>
  <conditionalFormatting sqref="AE238:AF239">
    <cfRule type="expression" dxfId="1789" priority="2337">
      <formula>AB240=TRUE</formula>
    </cfRule>
  </conditionalFormatting>
  <conditionalFormatting sqref="AE240:AF240">
    <cfRule type="expression" dxfId="1788" priority="2389">
      <formula>AB240=TRUE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051" id="{18BE2822-ED04-4D2C-867E-2A3BD55D5A25}">
            <xm:f>$C10=INputs!$P$3</xm:f>
            <x14:dxf>
              <font>
                <color theme="2" tint="-0.24994659260841701"/>
              </font>
            </x14:dxf>
          </x14:cfRule>
          <x14:cfRule type="expression" priority="2032"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1"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2"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76"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3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38"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37"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36"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35"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3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14:cfRule type="expression" priority="34" id="{CEC27C9E-890B-4C02-9AE2-3B61C6EEF14B}">
            <xm:f>OR(INputs!$C$7=INputs!$A$3,INputs!$C$7=INputs!$A$4)</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31"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14:cfRule type="expression" priority="32" id="{613DDB1A-F4D5-4E12-8C69-D909A3CE94A3}">
            <xm:f>OR(INputs!$C$8=INputs!$A$3,INputs!$C$8=INputs!$A$4)</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29"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30"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27"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14:cfRule type="expression" priority="28" id="{4AE19D4E-7DA5-4BE4-A677-71475407CADA}">
            <xm:f>OR(INputs!$C$10=INputs!$A$3,INputs!$C$10=INputs!$A$4)</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25"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26"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2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14:cfRule type="expression" priority="24" id="{5EA91296-0836-4F99-90FB-6E85FFF5F758}">
            <xm:f>OR(INputs!$C$12=INputs!$A$3,INputs!$C$12=INputs!$A$4)</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4"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21"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19"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14:cfRule type="expression" priority="20" id="{16A926ED-8F78-42BC-BDA6-05F32C2FA35D}">
            <xm:f>OR(INputs!$C$15=INputs!$A$3,INputs!$C$15=INputs!$A$4)</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1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1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16"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15"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14"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3"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2"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1"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9"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14:cfRule type="expression" priority="10" id="{DC5962F2-A561-42BC-93D8-AB1CC3D1A962}">
            <xm:f>OR(INputs!$C$20=INputs!$A$3,INputs!$C$20=INputs!$A$4)</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5"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6"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531" id="{C0024877-88A2-4556-ABA2-7054DCF2D94B}">
            <xm:f>F24=INputs!$S$4</xm:f>
            <x14:dxf>
              <font>
                <color theme="0" tint="-0.24994659260841701"/>
              </font>
            </x14:dxf>
          </x14:cfRule>
          <xm:sqref>X22:X23</xm:sqref>
        </x14:conditionalFormatting>
        <x14:conditionalFormatting xmlns:xm="http://schemas.microsoft.com/office/excel/2006/main">
          <x14:cfRule type="expression" priority="3468"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06" id="{C4FBC5E8-AF0D-49A2-A5B6-926D08EC9C16}">
            <xm:f>F48=INputs!$S$4</xm:f>
            <x14:dxf>
              <font>
                <color theme="0" tint="-0.24994659260841701"/>
              </font>
            </x14:dxf>
          </x14:cfRule>
          <xm:sqref>X46:X47</xm:sqref>
        </x14:conditionalFormatting>
        <x14:conditionalFormatting xmlns:xm="http://schemas.microsoft.com/office/excel/2006/main">
          <x14:cfRule type="expression" priority="3344" id="{F885AC97-CEE9-49E2-A89E-09572FAC466D}">
            <xm:f>F60=INputs!$S$4</xm:f>
            <x14:dxf>
              <font>
                <color theme="0" tint="-0.24994659260841701"/>
              </font>
            </x14:dxf>
          </x14:cfRule>
          <xm:sqref>X58:X59</xm:sqref>
        </x14:conditionalFormatting>
        <x14:conditionalFormatting xmlns:xm="http://schemas.microsoft.com/office/excel/2006/main">
          <x14:cfRule type="expression" priority="3282" id="{19C11FA5-FBFC-4E25-9B61-EAC29F2C9175}">
            <xm:f>F72=INputs!$S$4</xm:f>
            <x14:dxf>
              <font>
                <color theme="0" tint="-0.24994659260841701"/>
              </font>
            </x14:dxf>
          </x14:cfRule>
          <xm:sqref>X70:X71</xm:sqref>
        </x14:conditionalFormatting>
        <x14:conditionalFormatting xmlns:xm="http://schemas.microsoft.com/office/excel/2006/main">
          <x14:cfRule type="expression" priority="3672" id="{5722F3E9-9F33-48DE-9546-C87948A8E5F5}">
            <xm:f>F12=INputs!$S$4</xm:f>
            <x14:dxf>
              <font>
                <color theme="0" tint="-0.24994659260841701"/>
              </font>
            </x14:dxf>
          </x14:cfRule>
          <xm:sqref>X82:X83 X10:X11</xm:sqref>
        </x14:conditionalFormatting>
        <x14:conditionalFormatting xmlns:xm="http://schemas.microsoft.com/office/excel/2006/main">
          <x14:cfRule type="expression" priority="3158" id="{5A55762C-33C3-4ED3-BAE7-8A54258A4FA3}">
            <xm:f>F96=INputs!$S$4</xm:f>
            <x14:dxf>
              <font>
                <color theme="0" tint="-0.24994659260841701"/>
              </font>
            </x14:dxf>
          </x14:cfRule>
          <xm:sqref>X94:X95</xm:sqref>
        </x14:conditionalFormatting>
        <x14:conditionalFormatting xmlns:xm="http://schemas.microsoft.com/office/excel/2006/main">
          <x14:cfRule type="expression" priority="3070"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08"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2946"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884"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22"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760"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698"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636"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574"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12"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450"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388"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659" id="{1C2F2F80-C610-4B90-895A-4217EEA81C39}">
            <xm:f>F12=INputs!$S$4</xm:f>
            <x14:dxf>
              <font>
                <color theme="1"/>
              </font>
            </x14:dxf>
          </x14:cfRule>
          <xm:sqref>AB12</xm:sqref>
        </x14:conditionalFormatting>
        <x14:conditionalFormatting xmlns:xm="http://schemas.microsoft.com/office/excel/2006/main">
          <x14:cfRule type="expression" priority="3660" id="{5E281A77-8122-4897-92FE-D40E0CDB92A9}">
            <xm:f>F12=INputs!$S$4</xm:f>
            <x14:dxf>
              <font>
                <color theme="1"/>
              </font>
            </x14:dxf>
          </x14:cfRule>
          <xm:sqref>AB13</xm:sqref>
        </x14:conditionalFormatting>
        <x14:conditionalFormatting xmlns:xm="http://schemas.microsoft.com/office/excel/2006/main">
          <x14:cfRule type="expression" priority="3661" id="{B6E28D55-4960-4DB2-82FC-0EACF7F1F402}">
            <xm:f>F12=INputs!$S$4</xm:f>
            <x14:dxf>
              <font>
                <color theme="1"/>
              </font>
            </x14:dxf>
          </x14:cfRule>
          <xm:sqref>AB14</xm:sqref>
        </x14:conditionalFormatting>
        <x14:conditionalFormatting xmlns:xm="http://schemas.microsoft.com/office/excel/2006/main">
          <x14:cfRule type="expression" priority="3525"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20" id="{0DEEA4D3-BB5D-43A1-9897-C8982FC31C14}">
            <xm:f>F24=INputs!$S$4</xm:f>
            <x14:dxf>
              <font>
                <color theme="1"/>
              </font>
            </x14:dxf>
          </x14:cfRule>
          <xm:sqref>AB24</xm:sqref>
        </x14:conditionalFormatting>
        <x14:conditionalFormatting xmlns:xm="http://schemas.microsoft.com/office/excel/2006/main">
          <x14:cfRule type="expression" priority="3521" id="{B0CEDBCB-BF0F-4D1C-AD7C-ED5610AE2905}">
            <xm:f>F24=INputs!$S$4</xm:f>
            <x14:dxf>
              <font>
                <color theme="1"/>
              </font>
            </x14:dxf>
          </x14:cfRule>
          <xm:sqref>AB25</xm:sqref>
        </x14:conditionalFormatting>
        <x14:conditionalFormatting xmlns:xm="http://schemas.microsoft.com/office/excel/2006/main">
          <x14:cfRule type="expression" priority="3522" id="{037AC5A3-2A54-416A-8C5F-0D9CE1B3AD2A}">
            <xm:f>F24=INputs!$S$4</xm:f>
            <x14:dxf>
              <font>
                <color theme="1"/>
              </font>
            </x14:dxf>
          </x14:cfRule>
          <xm:sqref>AB26</xm:sqref>
        </x14:conditionalFormatting>
        <x14:conditionalFormatting xmlns:xm="http://schemas.microsoft.com/office/excel/2006/main">
          <x14:cfRule type="expression" priority="131"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457" id="{24CF4AAE-31FD-4094-AFC7-6F5C959211DB}">
            <xm:f>F36=INputs!$S$4</xm:f>
            <x14:dxf>
              <font>
                <color theme="1"/>
              </font>
            </x14:dxf>
          </x14:cfRule>
          <xm:sqref>AB36</xm:sqref>
        </x14:conditionalFormatting>
        <x14:conditionalFormatting xmlns:xm="http://schemas.microsoft.com/office/excel/2006/main">
          <x14:cfRule type="expression" priority="3458" id="{FACF99C1-7538-4F96-BDFE-A2D08B2686DC}">
            <xm:f>F36=INputs!$S$4</xm:f>
            <x14:dxf>
              <font>
                <color theme="1"/>
              </font>
            </x14:dxf>
          </x14:cfRule>
          <xm:sqref>AB37</xm:sqref>
        </x14:conditionalFormatting>
        <x14:conditionalFormatting xmlns:xm="http://schemas.microsoft.com/office/excel/2006/main">
          <x14:cfRule type="expression" priority="3459" id="{883B5485-8FD9-48A3-8EA4-39137F7AB7C7}">
            <xm:f>F36=INputs!$S$4</xm:f>
            <x14:dxf>
              <font>
                <color theme="1"/>
              </font>
            </x14:dxf>
          </x14:cfRule>
          <xm:sqref>AB38</xm:sqref>
        </x14:conditionalFormatting>
        <x14:conditionalFormatting xmlns:xm="http://schemas.microsoft.com/office/excel/2006/main">
          <x14:cfRule type="expression" priority="128"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395" id="{29B4F234-A2FC-4855-93B3-1B2737BA1222}">
            <xm:f>F48=INputs!$S$4</xm:f>
            <x14:dxf>
              <font>
                <color theme="1"/>
              </font>
            </x14:dxf>
          </x14:cfRule>
          <xm:sqref>AB48</xm:sqref>
        </x14:conditionalFormatting>
        <x14:conditionalFormatting xmlns:xm="http://schemas.microsoft.com/office/excel/2006/main">
          <x14:cfRule type="expression" priority="3396" id="{2806B8EE-816B-4A55-87CC-5231F7C2517F}">
            <xm:f>F48=INputs!$S$4</xm:f>
            <x14:dxf>
              <font>
                <color theme="1"/>
              </font>
            </x14:dxf>
          </x14:cfRule>
          <xm:sqref>AB49</xm:sqref>
        </x14:conditionalFormatting>
        <x14:conditionalFormatting xmlns:xm="http://schemas.microsoft.com/office/excel/2006/main">
          <x14:cfRule type="expression" priority="3397" id="{D5719282-47F0-4C44-B7BD-A221891CEBA7}">
            <xm:f>F48=INputs!$S$4</xm:f>
            <x14:dxf>
              <font>
                <color theme="1"/>
              </font>
            </x14:dxf>
          </x14:cfRule>
          <xm:sqref>AB50</xm:sqref>
        </x14:conditionalFormatting>
        <x14:conditionalFormatting xmlns:xm="http://schemas.microsoft.com/office/excel/2006/main">
          <x14:cfRule type="expression" priority="125"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333" id="{75C21023-C404-4003-9F05-DCF4BE554EA1}">
            <xm:f>F60=INputs!$S$4</xm:f>
            <x14:dxf>
              <font>
                <color theme="1"/>
              </font>
            </x14:dxf>
          </x14:cfRule>
          <xm:sqref>AB60</xm:sqref>
        </x14:conditionalFormatting>
        <x14:conditionalFormatting xmlns:xm="http://schemas.microsoft.com/office/excel/2006/main">
          <x14:cfRule type="expression" priority="3334" id="{49D47D00-637B-4C62-AC8A-AE789872CDFF}">
            <xm:f>F60=INputs!$S$4</xm:f>
            <x14:dxf>
              <font>
                <color theme="1"/>
              </font>
            </x14:dxf>
          </x14:cfRule>
          <xm:sqref>AB61</xm:sqref>
        </x14:conditionalFormatting>
        <x14:conditionalFormatting xmlns:xm="http://schemas.microsoft.com/office/excel/2006/main">
          <x14:cfRule type="expression" priority="3335" id="{C9B44057-2CE5-4973-958E-9E4B77172E82}">
            <xm:f>F60=INputs!$S$4</xm:f>
            <x14:dxf>
              <font>
                <color theme="1"/>
              </font>
            </x14:dxf>
          </x14:cfRule>
          <xm:sqref>AB62</xm:sqref>
        </x14:conditionalFormatting>
        <x14:conditionalFormatting xmlns:xm="http://schemas.microsoft.com/office/excel/2006/main">
          <x14:cfRule type="expression" priority="122"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271" id="{C75F6B92-D4E4-4D80-9432-5359B55F59FE}">
            <xm:f>F72=INputs!$S$4</xm:f>
            <x14:dxf>
              <font>
                <color theme="1"/>
              </font>
            </x14:dxf>
          </x14:cfRule>
          <xm:sqref>AB72</xm:sqref>
        </x14:conditionalFormatting>
        <x14:conditionalFormatting xmlns:xm="http://schemas.microsoft.com/office/excel/2006/main">
          <x14:cfRule type="expression" priority="3272" id="{C7A5D276-0C6A-4DFF-84BD-AADAE1F9B238}">
            <xm:f>F72=INputs!$S$4</xm:f>
            <x14:dxf>
              <font>
                <color theme="1"/>
              </font>
            </x14:dxf>
          </x14:cfRule>
          <xm:sqref>AB73</xm:sqref>
        </x14:conditionalFormatting>
        <x14:conditionalFormatting xmlns:xm="http://schemas.microsoft.com/office/excel/2006/main">
          <x14:cfRule type="expression" priority="3273" id="{E2747BA2-0F03-4A8B-8A8B-786CDB2B74CF}">
            <xm:f>F72=INputs!$S$4</xm:f>
            <x14:dxf>
              <font>
                <color theme="1"/>
              </font>
            </x14:dxf>
          </x14:cfRule>
          <xm:sqref>AB74</xm:sqref>
        </x14:conditionalFormatting>
        <x14:conditionalFormatting xmlns:xm="http://schemas.microsoft.com/office/excel/2006/main">
          <x14:cfRule type="expression" priority="3665" id="{BB80B33D-EB3F-49B4-A434-C2F9B58E69A3}">
            <xm:f>F12=INputs!$S$4</xm:f>
            <x14:dxf>
              <font>
                <color theme="0" tint="-0.24994659260841701"/>
              </font>
            </x14:dxf>
          </x14:cfRule>
          <xm:sqref>AB82:AB83 AB10:AB11</xm:sqref>
        </x14:conditionalFormatting>
        <x14:conditionalFormatting xmlns:xm="http://schemas.microsoft.com/office/excel/2006/main">
          <x14:cfRule type="expression" priority="3209" id="{E31D4899-88B2-4C8B-A6DD-D94A4F2B88DD}">
            <xm:f>F84=INputs!$S$4</xm:f>
            <x14:dxf>
              <font>
                <color theme="1"/>
              </font>
            </x14:dxf>
          </x14:cfRule>
          <xm:sqref>AB84</xm:sqref>
        </x14:conditionalFormatting>
        <x14:conditionalFormatting xmlns:xm="http://schemas.microsoft.com/office/excel/2006/main">
          <x14:cfRule type="expression" priority="3210" id="{9F2B639F-10B7-4409-99F7-2006E737A30B}">
            <xm:f>F84=INputs!$S$4</xm:f>
            <x14:dxf>
              <font>
                <color theme="1"/>
              </font>
            </x14:dxf>
          </x14:cfRule>
          <xm:sqref>AB85</xm:sqref>
        </x14:conditionalFormatting>
        <x14:conditionalFormatting xmlns:xm="http://schemas.microsoft.com/office/excel/2006/main">
          <x14:cfRule type="expression" priority="3211" id="{67EE1A62-83FB-41EC-A295-5124D8814422}">
            <xm:f>F84=INputs!$S$4</xm:f>
            <x14:dxf>
              <font>
                <color theme="1"/>
              </font>
            </x14:dxf>
          </x14:cfRule>
          <xm:sqref>AB86</xm:sqref>
        </x14:conditionalFormatting>
        <x14:conditionalFormatting xmlns:xm="http://schemas.microsoft.com/office/excel/2006/main">
          <x14:cfRule type="expression" priority="117"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147" id="{5E4D2DA4-37EB-47BC-8663-C8288FA954BC}">
            <xm:f>F96=INputs!$S$4</xm:f>
            <x14:dxf>
              <font>
                <color theme="1"/>
              </font>
            </x14:dxf>
          </x14:cfRule>
          <xm:sqref>AB96</xm:sqref>
        </x14:conditionalFormatting>
        <x14:conditionalFormatting xmlns:xm="http://schemas.microsoft.com/office/excel/2006/main">
          <x14:cfRule type="expression" priority="3148" id="{AE28F3EB-2A72-429A-90BE-5BF892B99E1B}">
            <xm:f>F96=INputs!$S$4</xm:f>
            <x14:dxf>
              <font>
                <color theme="1"/>
              </font>
            </x14:dxf>
          </x14:cfRule>
          <xm:sqref>AB97</xm:sqref>
        </x14:conditionalFormatting>
        <x14:conditionalFormatting xmlns:xm="http://schemas.microsoft.com/office/excel/2006/main">
          <x14:cfRule type="expression" priority="3149" id="{251C09EC-C2FF-4F06-9F20-C3904F130207}">
            <xm:f>F96=INputs!$S$4</xm:f>
            <x14:dxf>
              <font>
                <color theme="1"/>
              </font>
            </x14:dxf>
          </x14:cfRule>
          <xm:sqref>AB98</xm:sqref>
        </x14:conditionalFormatting>
        <x14:conditionalFormatting xmlns:xm="http://schemas.microsoft.com/office/excel/2006/main">
          <x14:cfRule type="expression" priority="114"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059" id="{104DBB8B-9163-48CC-BDE7-9EE3E16099F2}">
            <xm:f>F108=INputs!$S$4</xm:f>
            <x14:dxf>
              <font>
                <color theme="1"/>
              </font>
            </x14:dxf>
          </x14:cfRule>
          <xm:sqref>AB108</xm:sqref>
        </x14:conditionalFormatting>
        <x14:conditionalFormatting xmlns:xm="http://schemas.microsoft.com/office/excel/2006/main">
          <x14:cfRule type="expression" priority="3060" id="{FAF502DE-44D3-4E02-996E-6CB959E634F2}">
            <xm:f>F108=INputs!$S$4</xm:f>
            <x14:dxf>
              <font>
                <color theme="1"/>
              </font>
            </x14:dxf>
          </x14:cfRule>
          <xm:sqref>AB109</xm:sqref>
        </x14:conditionalFormatting>
        <x14:conditionalFormatting xmlns:xm="http://schemas.microsoft.com/office/excel/2006/main">
          <x14:cfRule type="expression" priority="3061" id="{1B45FE53-4DA2-4052-805A-E3930A755FC4}">
            <xm:f>F108=INputs!$S$4</xm:f>
            <x14:dxf>
              <font>
                <color theme="1"/>
              </font>
            </x14:dxf>
          </x14:cfRule>
          <xm:sqref>AB110</xm:sqref>
        </x14:conditionalFormatting>
        <x14:conditionalFormatting xmlns:xm="http://schemas.microsoft.com/office/excel/2006/main">
          <x14:cfRule type="expression" priority="111"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2997" id="{57B65BD8-590A-45AB-BEC8-96B55A062F4B}">
            <xm:f>F120=INputs!$S$4</xm:f>
            <x14:dxf>
              <font>
                <color theme="1"/>
              </font>
            </x14:dxf>
          </x14:cfRule>
          <xm:sqref>AB120</xm:sqref>
        </x14:conditionalFormatting>
        <x14:conditionalFormatting xmlns:xm="http://schemas.microsoft.com/office/excel/2006/main">
          <x14:cfRule type="expression" priority="2998" id="{49880C2A-FAD0-4A53-A2EE-E877A26DF57F}">
            <xm:f>F120=INputs!$S$4</xm:f>
            <x14:dxf>
              <font>
                <color theme="1"/>
              </font>
            </x14:dxf>
          </x14:cfRule>
          <xm:sqref>AB121</xm:sqref>
        </x14:conditionalFormatting>
        <x14:conditionalFormatting xmlns:xm="http://schemas.microsoft.com/office/excel/2006/main">
          <x14:cfRule type="expression" priority="2999" id="{1A0D122E-A149-47E0-AABF-C13BBDA76A5E}">
            <xm:f>F120=INputs!$S$4</xm:f>
            <x14:dxf>
              <font>
                <color theme="1"/>
              </font>
            </x14:dxf>
          </x14:cfRule>
          <xm:sqref>AB122</xm:sqref>
        </x14:conditionalFormatting>
        <x14:conditionalFormatting xmlns:xm="http://schemas.microsoft.com/office/excel/2006/main">
          <x14:cfRule type="expression" priority="312"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2935" id="{F0885A12-E3C6-4211-BB89-18AF3B0AF750}">
            <xm:f>F132=INputs!$S$4</xm:f>
            <x14:dxf>
              <font>
                <color theme="1"/>
              </font>
            </x14:dxf>
          </x14:cfRule>
          <xm:sqref>AB132</xm:sqref>
        </x14:conditionalFormatting>
        <x14:conditionalFormatting xmlns:xm="http://schemas.microsoft.com/office/excel/2006/main">
          <x14:cfRule type="expression" priority="2936" id="{2CCB673E-2C8A-4359-9B60-9A2947A61390}">
            <xm:f>F132=INputs!$S$4</xm:f>
            <x14:dxf>
              <font>
                <color theme="1"/>
              </font>
            </x14:dxf>
          </x14:cfRule>
          <xm:sqref>AB133</xm:sqref>
        </x14:conditionalFormatting>
        <x14:conditionalFormatting xmlns:xm="http://schemas.microsoft.com/office/excel/2006/main">
          <x14:cfRule type="expression" priority="2937" id="{72318BBF-FE0A-49FF-BE04-D4BEE0EB4123}">
            <xm:f>F132=INputs!$S$4</xm:f>
            <x14:dxf>
              <font>
                <color theme="1"/>
              </font>
            </x14:dxf>
          </x14:cfRule>
          <xm:sqref>AB134</xm:sqref>
        </x14:conditionalFormatting>
        <x14:conditionalFormatting xmlns:xm="http://schemas.microsoft.com/office/excel/2006/main">
          <x14:cfRule type="expression" priority="105"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873" id="{F5AC2B12-0911-464F-BB9A-79C0FA44F1DD}">
            <xm:f>F144=INputs!$S$4</xm:f>
            <x14:dxf>
              <font>
                <color theme="1"/>
              </font>
            </x14:dxf>
          </x14:cfRule>
          <xm:sqref>AB144</xm:sqref>
        </x14:conditionalFormatting>
        <x14:conditionalFormatting xmlns:xm="http://schemas.microsoft.com/office/excel/2006/main">
          <x14:cfRule type="expression" priority="2874" id="{CE3A2055-533A-4984-B869-DD228EF4C225}">
            <xm:f>F144=INputs!$S$4</xm:f>
            <x14:dxf>
              <font>
                <color theme="1"/>
              </font>
            </x14:dxf>
          </x14:cfRule>
          <xm:sqref>AB145</xm:sqref>
        </x14:conditionalFormatting>
        <x14:conditionalFormatting xmlns:xm="http://schemas.microsoft.com/office/excel/2006/main">
          <x14:cfRule type="expression" priority="2875" id="{BA19BD9D-8F54-480A-A104-140E8AA65E17}">
            <xm:f>F144=INputs!$S$4</xm:f>
            <x14:dxf>
              <font>
                <color theme="1"/>
              </font>
            </x14:dxf>
          </x14:cfRule>
          <xm:sqref>AB146</xm:sqref>
        </x14:conditionalFormatting>
        <x14:conditionalFormatting xmlns:xm="http://schemas.microsoft.com/office/excel/2006/main">
          <x14:cfRule type="expression" priority="102"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11" id="{70A56274-75EC-4EA1-8856-9588F8547ACE}">
            <xm:f>F156=INputs!$S$4</xm:f>
            <x14:dxf>
              <font>
                <color theme="1"/>
              </font>
            </x14:dxf>
          </x14:cfRule>
          <xm:sqref>AB156</xm:sqref>
        </x14:conditionalFormatting>
        <x14:conditionalFormatting xmlns:xm="http://schemas.microsoft.com/office/excel/2006/main">
          <x14:cfRule type="expression" priority="2812" id="{FBE94215-9606-4032-AE73-D02517214DA0}">
            <xm:f>F156=INputs!$S$4</xm:f>
            <x14:dxf>
              <font>
                <color theme="1"/>
              </font>
            </x14:dxf>
          </x14:cfRule>
          <xm:sqref>AB157</xm:sqref>
        </x14:conditionalFormatting>
        <x14:conditionalFormatting xmlns:xm="http://schemas.microsoft.com/office/excel/2006/main">
          <x14:cfRule type="expression" priority="2813" id="{FD0F79E7-ACBF-41BC-ACC2-D19440253B9C}">
            <xm:f>F156=INputs!$S$4</xm:f>
            <x14:dxf>
              <font>
                <color theme="1"/>
              </font>
            </x14:dxf>
          </x14:cfRule>
          <xm:sqref>AB158</xm:sqref>
        </x14:conditionalFormatting>
        <x14:conditionalFormatting xmlns:xm="http://schemas.microsoft.com/office/excel/2006/main">
          <x14:cfRule type="expression" priority="99"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749" id="{10D57319-DDD5-44F6-8487-FA663E226911}">
            <xm:f>F168=INputs!$S$4</xm:f>
            <x14:dxf>
              <font>
                <color theme="1"/>
              </font>
            </x14:dxf>
          </x14:cfRule>
          <xm:sqref>AB168</xm:sqref>
        </x14:conditionalFormatting>
        <x14:conditionalFormatting xmlns:xm="http://schemas.microsoft.com/office/excel/2006/main">
          <x14:cfRule type="expression" priority="2750" id="{92A7BCDC-7FE0-4C67-BDCE-E5BAA13D5647}">
            <xm:f>F168=INputs!$S$4</xm:f>
            <x14:dxf>
              <font>
                <color theme="1"/>
              </font>
            </x14:dxf>
          </x14:cfRule>
          <xm:sqref>AB169</xm:sqref>
        </x14:conditionalFormatting>
        <x14:conditionalFormatting xmlns:xm="http://schemas.microsoft.com/office/excel/2006/main">
          <x14:cfRule type="expression" priority="2751" id="{A24A5B5D-159E-482C-825F-284BB7AF40DA}">
            <xm:f>F168=INputs!$S$4</xm:f>
            <x14:dxf>
              <font>
                <color theme="1"/>
              </font>
            </x14:dxf>
          </x14:cfRule>
          <xm:sqref>AB170</xm:sqref>
        </x14:conditionalFormatting>
        <x14:conditionalFormatting xmlns:xm="http://schemas.microsoft.com/office/excel/2006/main">
          <x14:cfRule type="expression" priority="96"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687" id="{39A08FDE-6F0A-44B6-8210-2B038A4AFB83}">
            <xm:f>F180=INputs!$S$4</xm:f>
            <x14:dxf>
              <font>
                <color theme="1"/>
              </font>
            </x14:dxf>
          </x14:cfRule>
          <xm:sqref>AB180</xm:sqref>
        </x14:conditionalFormatting>
        <x14:conditionalFormatting xmlns:xm="http://schemas.microsoft.com/office/excel/2006/main">
          <x14:cfRule type="expression" priority="2688" id="{103A5208-CD51-4664-B273-11D1F7449FA3}">
            <xm:f>F180=INputs!$S$4</xm:f>
            <x14:dxf>
              <font>
                <color theme="1"/>
              </font>
            </x14:dxf>
          </x14:cfRule>
          <xm:sqref>AB181</xm:sqref>
        </x14:conditionalFormatting>
        <x14:conditionalFormatting xmlns:xm="http://schemas.microsoft.com/office/excel/2006/main">
          <x14:cfRule type="expression" priority="2689" id="{A3126235-012A-488D-8407-304C9CC4C936}">
            <xm:f>F180=INputs!$S$4</xm:f>
            <x14:dxf>
              <font>
                <color theme="1"/>
              </font>
            </x14:dxf>
          </x14:cfRule>
          <xm:sqref>AB182</xm:sqref>
        </x14:conditionalFormatting>
        <x14:conditionalFormatting xmlns:xm="http://schemas.microsoft.com/office/excel/2006/main">
          <x14:cfRule type="expression" priority="93"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625" id="{54302AD9-A559-486F-90AB-0031C5D655DE}">
            <xm:f>F192=INputs!$S$4</xm:f>
            <x14:dxf>
              <font>
                <color theme="1"/>
              </font>
            </x14:dxf>
          </x14:cfRule>
          <xm:sqref>AB192</xm:sqref>
        </x14:conditionalFormatting>
        <x14:conditionalFormatting xmlns:xm="http://schemas.microsoft.com/office/excel/2006/main">
          <x14:cfRule type="expression" priority="2626" id="{ABC2D6E0-6BF1-4E4F-B42B-4A59A9807B1E}">
            <xm:f>F192=INputs!$S$4</xm:f>
            <x14:dxf>
              <font>
                <color theme="1"/>
              </font>
            </x14:dxf>
          </x14:cfRule>
          <xm:sqref>AB193</xm:sqref>
        </x14:conditionalFormatting>
        <x14:conditionalFormatting xmlns:xm="http://schemas.microsoft.com/office/excel/2006/main">
          <x14:cfRule type="expression" priority="2627" id="{5B34E7FA-F3BA-4244-A25E-8AA915182EF3}">
            <xm:f>F192=INputs!$S$4</xm:f>
            <x14:dxf>
              <font>
                <color theme="1"/>
              </font>
            </x14:dxf>
          </x14:cfRule>
          <xm:sqref>AB194</xm:sqref>
        </x14:conditionalFormatting>
        <x14:conditionalFormatting xmlns:xm="http://schemas.microsoft.com/office/excel/2006/main">
          <x14:cfRule type="expression" priority="90"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563" id="{C0A01F5A-5B80-4878-A6DA-2463100310C6}">
            <xm:f>F204=INputs!$S$4</xm:f>
            <x14:dxf>
              <font>
                <color theme="1"/>
              </font>
            </x14:dxf>
          </x14:cfRule>
          <xm:sqref>AB204</xm:sqref>
        </x14:conditionalFormatting>
        <x14:conditionalFormatting xmlns:xm="http://schemas.microsoft.com/office/excel/2006/main">
          <x14:cfRule type="expression" priority="2564" id="{8899ACA2-CBA1-47BC-BEDF-C321AACFB00D}">
            <xm:f>F204=INputs!$S$4</xm:f>
            <x14:dxf>
              <font>
                <color theme="1"/>
              </font>
            </x14:dxf>
          </x14:cfRule>
          <xm:sqref>AB205</xm:sqref>
        </x14:conditionalFormatting>
        <x14:conditionalFormatting xmlns:xm="http://schemas.microsoft.com/office/excel/2006/main">
          <x14:cfRule type="expression" priority="2565" id="{7BE329CA-A991-430C-9B6D-C6CEEBAABC63}">
            <xm:f>F204=INputs!$S$4</xm:f>
            <x14:dxf>
              <font>
                <color theme="1"/>
              </font>
            </x14:dxf>
          </x14:cfRule>
          <xm:sqref>AB206</xm:sqref>
        </x14:conditionalFormatting>
        <x14:conditionalFormatting xmlns:xm="http://schemas.microsoft.com/office/excel/2006/main">
          <x14:cfRule type="expression" priority="87"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01" id="{731701A8-7C89-4278-BC43-579A1E8BA66B}">
            <xm:f>F216=INputs!$S$4</xm:f>
            <x14:dxf>
              <font>
                <color theme="1"/>
              </font>
            </x14:dxf>
          </x14:cfRule>
          <xm:sqref>AB216</xm:sqref>
        </x14:conditionalFormatting>
        <x14:conditionalFormatting xmlns:xm="http://schemas.microsoft.com/office/excel/2006/main">
          <x14:cfRule type="expression" priority="2502" id="{197D2206-E1B5-42F3-8A9B-85CAB1D00FD8}">
            <xm:f>F216=INputs!$S$4</xm:f>
            <x14:dxf>
              <font>
                <color theme="1"/>
              </font>
            </x14:dxf>
          </x14:cfRule>
          <xm:sqref>AB217</xm:sqref>
        </x14:conditionalFormatting>
        <x14:conditionalFormatting xmlns:xm="http://schemas.microsoft.com/office/excel/2006/main">
          <x14:cfRule type="expression" priority="2503" id="{BF82ED9E-097A-4756-88FD-768D813A7EF2}">
            <xm:f>F216=INputs!$S$4</xm:f>
            <x14:dxf>
              <font>
                <color theme="1"/>
              </font>
            </x14:dxf>
          </x14:cfRule>
          <xm:sqref>AB218</xm:sqref>
        </x14:conditionalFormatting>
        <x14:conditionalFormatting xmlns:xm="http://schemas.microsoft.com/office/excel/2006/main">
          <x14:cfRule type="expression" priority="84"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439" id="{A19A4071-A6E8-44FC-8E85-A0A3DF6B1CF8}">
            <xm:f>F228=INputs!$S$4</xm:f>
            <x14:dxf>
              <font>
                <color theme="1"/>
              </font>
            </x14:dxf>
          </x14:cfRule>
          <xm:sqref>AB228</xm:sqref>
        </x14:conditionalFormatting>
        <x14:conditionalFormatting xmlns:xm="http://schemas.microsoft.com/office/excel/2006/main">
          <x14:cfRule type="expression" priority="2440" id="{57D4BA3D-B02C-4B9B-94FF-6356D45BB4C4}">
            <xm:f>F228=INputs!$S$4</xm:f>
            <x14:dxf>
              <font>
                <color theme="1"/>
              </font>
            </x14:dxf>
          </x14:cfRule>
          <xm:sqref>AB229</xm:sqref>
        </x14:conditionalFormatting>
        <x14:conditionalFormatting xmlns:xm="http://schemas.microsoft.com/office/excel/2006/main">
          <x14:cfRule type="expression" priority="2441" id="{A581AA8F-ADC4-4581-A672-CA32980ABCB5}">
            <xm:f>F228=INputs!$S$4</xm:f>
            <x14:dxf>
              <font>
                <color theme="1"/>
              </font>
            </x14:dxf>
          </x14:cfRule>
          <xm:sqref>AB230</xm:sqref>
        </x14:conditionalFormatting>
        <x14:conditionalFormatting xmlns:xm="http://schemas.microsoft.com/office/excel/2006/main">
          <x14:cfRule type="expression" priority="81"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377" id="{AB23251F-EADC-41B1-B8DF-07B0E18D4846}">
            <xm:f>F240=INputs!$S$4</xm:f>
            <x14:dxf>
              <font>
                <color theme="1"/>
              </font>
            </x14:dxf>
          </x14:cfRule>
          <xm:sqref>AB240</xm:sqref>
        </x14:conditionalFormatting>
        <x14:conditionalFormatting xmlns:xm="http://schemas.microsoft.com/office/excel/2006/main">
          <x14:cfRule type="expression" priority="2378" id="{A45CECDF-966E-4AEF-BB17-8A93DABD6646}">
            <xm:f>F240=INputs!$S$4</xm:f>
            <x14:dxf>
              <font>
                <color theme="1"/>
              </font>
            </x14:dxf>
          </x14:cfRule>
          <xm:sqref>AB241</xm:sqref>
        </x14:conditionalFormatting>
        <x14:conditionalFormatting xmlns:xm="http://schemas.microsoft.com/office/excel/2006/main">
          <x14:cfRule type="expression" priority="2379" id="{E06D70E2-7246-4310-B3A7-5E421413BC1C}">
            <xm:f>F240=INputs!$S$4</xm:f>
            <x14:dxf>
              <font>
                <color theme="1"/>
              </font>
            </x14:dxf>
          </x14:cfRule>
          <xm:sqref>AB242</xm:sqref>
        </x14:conditionalFormatting>
        <x14:conditionalFormatting xmlns:xm="http://schemas.microsoft.com/office/excel/2006/main">
          <x14:cfRule type="expression" priority="3664" id="{20B6100C-6E73-4936-BEF0-EC199964ED06}">
            <xm:f>F12=INputs!$S$4</xm:f>
            <x14:dxf>
              <font>
                <color theme="1"/>
              </font>
            </x14:dxf>
          </x14:cfRule>
          <xm:sqref>AC12:AD12</xm:sqref>
        </x14:conditionalFormatting>
        <x14:conditionalFormatting xmlns:xm="http://schemas.microsoft.com/office/excel/2006/main">
          <x14:cfRule type="expression" priority="3663" id="{40319D90-0753-4B78-90F2-09E55C668926}">
            <xm:f>F12=INputs!$S$4</xm:f>
            <x14:dxf>
              <font>
                <color theme="1"/>
              </font>
            </x14:dxf>
          </x14:cfRule>
          <xm:sqref>AC14:AD14</xm:sqref>
        </x14:conditionalFormatting>
        <x14:conditionalFormatting xmlns:xm="http://schemas.microsoft.com/office/excel/2006/main">
          <x14:cfRule type="expression" priority="3524" id="{CBC5ED21-3761-4EE9-881D-9BF0282EF2C1}">
            <xm:f>F24=INputs!$S$4</xm:f>
            <x14:dxf>
              <font>
                <color theme="1"/>
              </font>
            </x14:dxf>
          </x14:cfRule>
          <xm:sqref>AC24:AD24</xm:sqref>
        </x14:conditionalFormatting>
        <x14:conditionalFormatting xmlns:xm="http://schemas.microsoft.com/office/excel/2006/main">
          <x14:cfRule type="expression" priority="3523" id="{631DAF01-5598-489D-9688-D705A728AF5F}">
            <xm:f>F24=INputs!$S$4</xm:f>
            <x14:dxf>
              <font>
                <color theme="1"/>
              </font>
            </x14:dxf>
          </x14:cfRule>
          <xm:sqref>AC26:AD26</xm:sqref>
        </x14:conditionalFormatting>
        <x14:conditionalFormatting xmlns:xm="http://schemas.microsoft.com/office/excel/2006/main">
          <x14:cfRule type="expression" priority="3461" id="{54614DA6-F465-485B-9065-924848A4E197}">
            <xm:f>F36=INputs!$S$4</xm:f>
            <x14:dxf>
              <font>
                <color theme="1"/>
              </font>
            </x14:dxf>
          </x14:cfRule>
          <xm:sqref>AC36:AD36</xm:sqref>
        </x14:conditionalFormatting>
        <x14:conditionalFormatting xmlns:xm="http://schemas.microsoft.com/office/excel/2006/main">
          <x14:cfRule type="expression" priority="3460" id="{D35390F5-864E-4944-B38F-E9AA94BD2CC8}">
            <xm:f>F36=INputs!$S$4</xm:f>
            <x14:dxf>
              <font>
                <color theme="1"/>
              </font>
            </x14:dxf>
          </x14:cfRule>
          <xm:sqref>AC38:AD38</xm:sqref>
        </x14:conditionalFormatting>
        <x14:conditionalFormatting xmlns:xm="http://schemas.microsoft.com/office/excel/2006/main">
          <x14:cfRule type="expression" priority="3399" id="{23EB9FF0-387B-4486-9169-75EDA7CE365D}">
            <xm:f>F48=INputs!$S$4</xm:f>
            <x14:dxf>
              <font>
                <color theme="1"/>
              </font>
            </x14:dxf>
          </x14:cfRule>
          <xm:sqref>AC48:AD48</xm:sqref>
        </x14:conditionalFormatting>
        <x14:conditionalFormatting xmlns:xm="http://schemas.microsoft.com/office/excel/2006/main">
          <x14:cfRule type="expression" priority="3398" id="{08B91D6A-C14E-4DDC-A9D8-F2B007E7C0EF}">
            <xm:f>F48=INputs!$S$4</xm:f>
            <x14:dxf>
              <font>
                <color theme="1"/>
              </font>
            </x14:dxf>
          </x14:cfRule>
          <xm:sqref>AC50:AD50</xm:sqref>
        </x14:conditionalFormatting>
        <x14:conditionalFormatting xmlns:xm="http://schemas.microsoft.com/office/excel/2006/main">
          <x14:cfRule type="expression" priority="3337" id="{571A5058-2403-424D-9482-707711D1054A}">
            <xm:f>F60=INputs!$S$4</xm:f>
            <x14:dxf>
              <font>
                <color theme="1"/>
              </font>
            </x14:dxf>
          </x14:cfRule>
          <xm:sqref>AC60:AD60</xm:sqref>
        </x14:conditionalFormatting>
        <x14:conditionalFormatting xmlns:xm="http://schemas.microsoft.com/office/excel/2006/main">
          <x14:cfRule type="expression" priority="3336" id="{2157CF3C-EE6B-47CB-823A-13437A038885}">
            <xm:f>F60=INputs!$S$4</xm:f>
            <x14:dxf>
              <font>
                <color theme="1"/>
              </font>
            </x14:dxf>
          </x14:cfRule>
          <xm:sqref>AC62:AD62</xm:sqref>
        </x14:conditionalFormatting>
        <x14:conditionalFormatting xmlns:xm="http://schemas.microsoft.com/office/excel/2006/main">
          <x14:cfRule type="expression" priority="3275" id="{6CFA21B5-7676-4157-819C-720065189820}">
            <xm:f>F72=INputs!$S$4</xm:f>
            <x14:dxf>
              <font>
                <color theme="1"/>
              </font>
            </x14:dxf>
          </x14:cfRule>
          <xm:sqref>AC72:AD72</xm:sqref>
        </x14:conditionalFormatting>
        <x14:conditionalFormatting xmlns:xm="http://schemas.microsoft.com/office/excel/2006/main">
          <x14:cfRule type="expression" priority="3274" id="{6C7B7BF7-2760-47B2-B313-F9A7E70455EF}">
            <xm:f>F72=INputs!$S$4</xm:f>
            <x14:dxf>
              <font>
                <color theme="1"/>
              </font>
            </x14:dxf>
          </x14:cfRule>
          <xm:sqref>AC74:AD74</xm:sqref>
        </x14:conditionalFormatting>
        <x14:conditionalFormatting xmlns:xm="http://schemas.microsoft.com/office/excel/2006/main">
          <x14:cfRule type="expression" priority="3213" id="{8949C329-F808-4346-A15B-28D46B254B1E}">
            <xm:f>F84=INputs!$S$4</xm:f>
            <x14:dxf>
              <font>
                <color theme="1"/>
              </font>
            </x14:dxf>
          </x14:cfRule>
          <xm:sqref>AC84:AD84</xm:sqref>
        </x14:conditionalFormatting>
        <x14:conditionalFormatting xmlns:xm="http://schemas.microsoft.com/office/excel/2006/main">
          <x14:cfRule type="expression" priority="3212" id="{64A83DD3-FFCC-4D7C-9817-7CB06F8F66DC}">
            <xm:f>F84=INputs!$S$4</xm:f>
            <x14:dxf>
              <font>
                <color theme="1"/>
              </font>
            </x14:dxf>
          </x14:cfRule>
          <xm:sqref>AC86:AD86</xm:sqref>
        </x14:conditionalFormatting>
        <x14:conditionalFormatting xmlns:xm="http://schemas.microsoft.com/office/excel/2006/main">
          <x14:cfRule type="expression" priority="3151" id="{D68385B6-2764-46A0-846B-93228FF159AC}">
            <xm:f>F96=INputs!$S$4</xm:f>
            <x14:dxf>
              <font>
                <color theme="1"/>
              </font>
            </x14:dxf>
          </x14:cfRule>
          <xm:sqref>AC96:AD96</xm:sqref>
        </x14:conditionalFormatting>
        <x14:conditionalFormatting xmlns:xm="http://schemas.microsoft.com/office/excel/2006/main">
          <x14:cfRule type="expression" priority="3150" id="{21FFA0CA-DB65-4378-AA44-2E247E9CDBB9}">
            <xm:f>F96=INputs!$S$4</xm:f>
            <x14:dxf>
              <font>
                <color theme="1"/>
              </font>
            </x14:dxf>
          </x14:cfRule>
          <xm:sqref>AC98:AD98</xm:sqref>
        </x14:conditionalFormatting>
        <x14:conditionalFormatting xmlns:xm="http://schemas.microsoft.com/office/excel/2006/main">
          <x14:cfRule type="expression" priority="3063" id="{6D119F3F-05EC-472A-8A08-33071BCC6950}">
            <xm:f>F108=INputs!$S$4</xm:f>
            <x14:dxf>
              <font>
                <color theme="1"/>
              </font>
            </x14:dxf>
          </x14:cfRule>
          <xm:sqref>AC108:AD108</xm:sqref>
        </x14:conditionalFormatting>
        <x14:conditionalFormatting xmlns:xm="http://schemas.microsoft.com/office/excel/2006/main">
          <x14:cfRule type="expression" priority="3062" id="{C46A474D-7B32-421C-917E-85BA7834BD42}">
            <xm:f>F108=INputs!$S$4</xm:f>
            <x14:dxf>
              <font>
                <color theme="1"/>
              </font>
            </x14:dxf>
          </x14:cfRule>
          <xm:sqref>AC110:AD110</xm:sqref>
        </x14:conditionalFormatting>
        <x14:conditionalFormatting xmlns:xm="http://schemas.microsoft.com/office/excel/2006/main">
          <x14:cfRule type="expression" priority="3001" id="{707A115A-E98F-4C12-B223-5C685ACE879B}">
            <xm:f>F120=INputs!$S$4</xm:f>
            <x14:dxf>
              <font>
                <color theme="1"/>
              </font>
            </x14:dxf>
          </x14:cfRule>
          <xm:sqref>AC120:AD120</xm:sqref>
        </x14:conditionalFormatting>
        <x14:conditionalFormatting xmlns:xm="http://schemas.microsoft.com/office/excel/2006/main">
          <x14:cfRule type="expression" priority="3000" id="{42BA3031-A8F9-47B8-92FA-037D41B68DA4}">
            <xm:f>F120=INputs!$S$4</xm:f>
            <x14:dxf>
              <font>
                <color theme="1"/>
              </font>
            </x14:dxf>
          </x14:cfRule>
          <xm:sqref>AC122:AD122</xm:sqref>
        </x14:conditionalFormatting>
        <x14:conditionalFormatting xmlns:xm="http://schemas.microsoft.com/office/excel/2006/main">
          <x14:cfRule type="expression" priority="2939" id="{D3837503-04CF-46EB-9DCE-164CA87656AC}">
            <xm:f>F132=INputs!$S$4</xm:f>
            <x14:dxf>
              <font>
                <color theme="1"/>
              </font>
            </x14:dxf>
          </x14:cfRule>
          <xm:sqref>AC132:AD132</xm:sqref>
        </x14:conditionalFormatting>
        <x14:conditionalFormatting xmlns:xm="http://schemas.microsoft.com/office/excel/2006/main">
          <x14:cfRule type="expression" priority="2938" id="{884F6447-DD85-4A9A-ABC9-C56837E7A126}">
            <xm:f>F132=INputs!$S$4</xm:f>
            <x14:dxf>
              <font>
                <color theme="1"/>
              </font>
            </x14:dxf>
          </x14:cfRule>
          <xm:sqref>AC134:AD134</xm:sqref>
        </x14:conditionalFormatting>
        <x14:conditionalFormatting xmlns:xm="http://schemas.microsoft.com/office/excel/2006/main">
          <x14:cfRule type="expression" priority="2877" id="{5E354CAB-48C4-4A9E-BFEA-BB4F384ADEEA}">
            <xm:f>F144=INputs!$S$4</xm:f>
            <x14:dxf>
              <font>
                <color theme="1"/>
              </font>
            </x14:dxf>
          </x14:cfRule>
          <xm:sqref>AC144:AD144</xm:sqref>
        </x14:conditionalFormatting>
        <x14:conditionalFormatting xmlns:xm="http://schemas.microsoft.com/office/excel/2006/main">
          <x14:cfRule type="expression" priority="2876" id="{4B67309B-0104-4E72-A238-DCB32F14DB87}">
            <xm:f>F144=INputs!$S$4</xm:f>
            <x14:dxf>
              <font>
                <color theme="1"/>
              </font>
            </x14:dxf>
          </x14:cfRule>
          <xm:sqref>AC146:AD146</xm:sqref>
        </x14:conditionalFormatting>
        <x14:conditionalFormatting xmlns:xm="http://schemas.microsoft.com/office/excel/2006/main">
          <x14:cfRule type="expression" priority="2815" id="{7AC7EBD9-9E0B-42E0-881D-A1A71AB2F1CE}">
            <xm:f>F156=INputs!$S$4</xm:f>
            <x14:dxf>
              <font>
                <color theme="1"/>
              </font>
            </x14:dxf>
          </x14:cfRule>
          <xm:sqref>AC156:AD156</xm:sqref>
        </x14:conditionalFormatting>
        <x14:conditionalFormatting xmlns:xm="http://schemas.microsoft.com/office/excel/2006/main">
          <x14:cfRule type="expression" priority="2814" id="{C211528E-36A9-49AD-B569-AAB7F0956D60}">
            <xm:f>F156=INputs!$S$4</xm:f>
            <x14:dxf>
              <font>
                <color theme="1"/>
              </font>
            </x14:dxf>
          </x14:cfRule>
          <xm:sqref>AC158:AD158</xm:sqref>
        </x14:conditionalFormatting>
        <x14:conditionalFormatting xmlns:xm="http://schemas.microsoft.com/office/excel/2006/main">
          <x14:cfRule type="expression" priority="2753" id="{91E260F0-C085-4D80-A398-BFB418CF5E94}">
            <xm:f>F168=INputs!$S$4</xm:f>
            <x14:dxf>
              <font>
                <color theme="1"/>
              </font>
            </x14:dxf>
          </x14:cfRule>
          <xm:sqref>AC168:AD168</xm:sqref>
        </x14:conditionalFormatting>
        <x14:conditionalFormatting xmlns:xm="http://schemas.microsoft.com/office/excel/2006/main">
          <x14:cfRule type="expression" priority="2752" id="{1DD688B0-4ADF-455C-83B0-575B8017A8EF}">
            <xm:f>F168=INputs!$S$4</xm:f>
            <x14:dxf>
              <font>
                <color theme="1"/>
              </font>
            </x14:dxf>
          </x14:cfRule>
          <xm:sqref>AC170:AD170</xm:sqref>
        </x14:conditionalFormatting>
        <x14:conditionalFormatting xmlns:xm="http://schemas.microsoft.com/office/excel/2006/main">
          <x14:cfRule type="expression" priority="2691" id="{4B30F904-1DC0-4595-AEE9-10AD67757480}">
            <xm:f>F180=INputs!$S$4</xm:f>
            <x14:dxf>
              <font>
                <color theme="1"/>
              </font>
            </x14:dxf>
          </x14:cfRule>
          <xm:sqref>AC180:AD180</xm:sqref>
        </x14:conditionalFormatting>
        <x14:conditionalFormatting xmlns:xm="http://schemas.microsoft.com/office/excel/2006/main">
          <x14:cfRule type="expression" priority="2690" id="{AFA804A7-2DC5-4FAC-94C7-73A4B90CBF11}">
            <xm:f>F180=INputs!$S$4</xm:f>
            <x14:dxf>
              <font>
                <color theme="1"/>
              </font>
            </x14:dxf>
          </x14:cfRule>
          <xm:sqref>AC182:AD182</xm:sqref>
        </x14:conditionalFormatting>
        <x14:conditionalFormatting xmlns:xm="http://schemas.microsoft.com/office/excel/2006/main">
          <x14:cfRule type="expression" priority="2629" id="{DEFEBDED-19D7-4C57-A7BB-9300F0EF0C28}">
            <xm:f>F192=INputs!$S$4</xm:f>
            <x14:dxf>
              <font>
                <color theme="1"/>
              </font>
            </x14:dxf>
          </x14:cfRule>
          <xm:sqref>AC192:AD192</xm:sqref>
        </x14:conditionalFormatting>
        <x14:conditionalFormatting xmlns:xm="http://schemas.microsoft.com/office/excel/2006/main">
          <x14:cfRule type="expression" priority="2628" id="{B8E4FCA5-07DA-451B-B14A-1A2A84B077E7}">
            <xm:f>F192=INputs!$S$4</xm:f>
            <x14:dxf>
              <font>
                <color theme="1"/>
              </font>
            </x14:dxf>
          </x14:cfRule>
          <xm:sqref>AC194:AD194</xm:sqref>
        </x14:conditionalFormatting>
        <x14:conditionalFormatting xmlns:xm="http://schemas.microsoft.com/office/excel/2006/main">
          <x14:cfRule type="expression" priority="2567" id="{6569C06D-48F5-477A-B9F5-936EB0516CA3}">
            <xm:f>F204=INputs!$S$4</xm:f>
            <x14:dxf>
              <font>
                <color theme="1"/>
              </font>
            </x14:dxf>
          </x14:cfRule>
          <xm:sqref>AC204:AD204</xm:sqref>
        </x14:conditionalFormatting>
        <x14:conditionalFormatting xmlns:xm="http://schemas.microsoft.com/office/excel/2006/main">
          <x14:cfRule type="expression" priority="2566" id="{7F503794-DAFC-4733-89A9-6260237035AE}">
            <xm:f>F204=INputs!$S$4</xm:f>
            <x14:dxf>
              <font>
                <color theme="1"/>
              </font>
            </x14:dxf>
          </x14:cfRule>
          <xm:sqref>AC206:AD206</xm:sqref>
        </x14:conditionalFormatting>
        <x14:conditionalFormatting xmlns:xm="http://schemas.microsoft.com/office/excel/2006/main">
          <x14:cfRule type="expression" priority="2505" id="{B0B1626A-CB2B-48D5-9ACF-0D4F95603F48}">
            <xm:f>F216=INputs!$S$4</xm:f>
            <x14:dxf>
              <font>
                <color theme="1"/>
              </font>
            </x14:dxf>
          </x14:cfRule>
          <xm:sqref>AC216:AD216</xm:sqref>
        </x14:conditionalFormatting>
        <x14:conditionalFormatting xmlns:xm="http://schemas.microsoft.com/office/excel/2006/main">
          <x14:cfRule type="expression" priority="2504" id="{218EBC92-CC62-4A06-A116-49733B7108C5}">
            <xm:f>F216=INputs!$S$4</xm:f>
            <x14:dxf>
              <font>
                <color theme="1"/>
              </font>
            </x14:dxf>
          </x14:cfRule>
          <xm:sqref>AC218:AD218</xm:sqref>
        </x14:conditionalFormatting>
        <x14:conditionalFormatting xmlns:xm="http://schemas.microsoft.com/office/excel/2006/main">
          <x14:cfRule type="expression" priority="2443" id="{A8A40A1B-91D6-4693-8F75-696EF2BA50AF}">
            <xm:f>F228=INputs!$S$4</xm:f>
            <x14:dxf>
              <font>
                <color theme="1"/>
              </font>
            </x14:dxf>
          </x14:cfRule>
          <xm:sqref>AC228:AD228</xm:sqref>
        </x14:conditionalFormatting>
        <x14:conditionalFormatting xmlns:xm="http://schemas.microsoft.com/office/excel/2006/main">
          <x14:cfRule type="expression" priority="2442" id="{09A88215-16B9-4779-97BF-D0CBD1B17F6C}">
            <xm:f>F228=INputs!$S$4</xm:f>
            <x14:dxf>
              <font>
                <color theme="1"/>
              </font>
            </x14:dxf>
          </x14:cfRule>
          <xm:sqref>AC230:AD230</xm:sqref>
        </x14:conditionalFormatting>
        <x14:conditionalFormatting xmlns:xm="http://schemas.microsoft.com/office/excel/2006/main">
          <x14:cfRule type="expression" priority="2381" id="{0231A71F-1914-4DB0-BD46-4C1BE192059C}">
            <xm:f>F240=INputs!$S$4</xm:f>
            <x14:dxf>
              <font>
                <color theme="1"/>
              </font>
            </x14:dxf>
          </x14:cfRule>
          <xm:sqref>AC240:AD240</xm:sqref>
        </x14:conditionalFormatting>
        <x14:conditionalFormatting xmlns:xm="http://schemas.microsoft.com/office/excel/2006/main">
          <x14:cfRule type="expression" priority="2380" id="{AFAC30E3-F3E5-4B86-9D0D-7C2146D1DEDE}">
            <xm:f>F240=INputs!$S$4</xm:f>
            <x14:dxf>
              <font>
                <color theme="1"/>
              </font>
            </x14:dxf>
          </x14:cfRule>
          <xm:sqref>AC242:AD242</xm:sqref>
        </x14:conditionalFormatting>
        <x14:conditionalFormatting xmlns:xm="http://schemas.microsoft.com/office/excel/2006/main">
          <x14:cfRule type="expression" priority="3537"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475"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12"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350"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288"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226"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164"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02"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20"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2958"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896"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834"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772"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10"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648"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586"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24"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462"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00"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338"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646" id="{418FA143-DF86-41C9-A807-A43AADC81567}">
            <xm:f>$F$12=INputs!$S$3</xm:f>
            <x14:dxf>
              <font>
                <color theme="0"/>
              </font>
              <fill>
                <patternFill>
                  <bgColor theme="0"/>
                </patternFill>
              </fill>
              <border>
                <left/>
                <right/>
                <top/>
                <bottom/>
                <vertical/>
                <horizontal/>
              </border>
            </x14:dxf>
          </x14:cfRule>
          <xm:sqref>AE12:AF12</xm:sqref>
        </x14:conditionalFormatting>
        <x14:conditionalFormatting xmlns:xm="http://schemas.microsoft.com/office/excel/2006/main">
          <x14:cfRule type="expression" priority="3090"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519" id="{8F513370-71BB-41AB-B301-EA17549327B0}">
            <xm:f>$F$12=INputs!$S$3</xm:f>
            <x14:dxf>
              <font>
                <color theme="0"/>
              </font>
              <fill>
                <patternFill>
                  <bgColor theme="0"/>
                </patternFill>
              </fill>
              <border>
                <left/>
                <right/>
                <top/>
                <bottom/>
                <vertical/>
                <horizontal/>
              </border>
            </x14:dxf>
          </x14:cfRule>
          <xm:sqref>AE24:AF24</xm:sqref>
        </x14:conditionalFormatting>
        <x14:conditionalFormatting xmlns:xm="http://schemas.microsoft.com/office/excel/2006/main">
          <x14:cfRule type="expression" priority="3091"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456" id="{E9A4899A-4D38-40A1-BAAF-DB6EA2C73D29}">
            <xm:f>$F$12=INputs!$S$3</xm:f>
            <x14:dxf>
              <font>
                <color theme="0"/>
              </font>
              <fill>
                <patternFill>
                  <bgColor theme="0"/>
                </patternFill>
              </fill>
              <border>
                <left/>
                <right/>
                <top/>
                <bottom/>
                <vertical/>
                <horizontal/>
              </border>
            </x14:dxf>
          </x14:cfRule>
          <xm:sqref>AE36:AF36</xm:sqref>
        </x14:conditionalFormatting>
        <x14:conditionalFormatting xmlns:xm="http://schemas.microsoft.com/office/excel/2006/main">
          <x14:cfRule type="expression" priority="3089"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394" id="{0DADD052-9358-4F36-8EA3-ED7724840BD1}">
            <xm:f>$F$12=INputs!$S$3</xm:f>
            <x14:dxf>
              <font>
                <color theme="0"/>
              </font>
              <fill>
                <patternFill>
                  <bgColor theme="0"/>
                </patternFill>
              </fill>
              <border>
                <left/>
                <right/>
                <top/>
                <bottom/>
                <vertical/>
                <horizontal/>
              </border>
            </x14:dxf>
          </x14:cfRule>
          <xm:sqref>AE48:AF48</xm:sqref>
        </x14:conditionalFormatting>
        <x14:conditionalFormatting xmlns:xm="http://schemas.microsoft.com/office/excel/2006/main">
          <x14:cfRule type="expression" priority="3088"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332" id="{BBE19498-C224-4E53-9628-1ECCD4735AF4}">
            <xm:f>$F$12=INputs!$S$3</xm:f>
            <x14:dxf>
              <font>
                <color theme="0"/>
              </font>
              <fill>
                <patternFill>
                  <bgColor theme="0"/>
                </patternFill>
              </fill>
              <border>
                <left/>
                <right/>
                <top/>
                <bottom/>
                <vertical/>
                <horizontal/>
              </border>
            </x14:dxf>
          </x14:cfRule>
          <xm:sqref>AE60:AF60</xm:sqref>
        </x14:conditionalFormatting>
        <x14:conditionalFormatting xmlns:xm="http://schemas.microsoft.com/office/excel/2006/main">
          <x14:cfRule type="expression" priority="3087"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270" id="{6621D865-1C22-4E52-B992-F718E6CDE3B5}">
            <xm:f>$F$12=INputs!$S$3</xm:f>
            <x14:dxf>
              <font>
                <color theme="0"/>
              </font>
              <fill>
                <patternFill>
                  <bgColor theme="0"/>
                </patternFill>
              </fill>
              <border>
                <left/>
                <right/>
                <top/>
                <bottom/>
                <vertical/>
                <horizontal/>
              </border>
            </x14:dxf>
          </x14:cfRule>
          <xm:sqref>AE72:AF72</xm:sqref>
        </x14:conditionalFormatting>
        <x14:conditionalFormatting xmlns:xm="http://schemas.microsoft.com/office/excel/2006/main">
          <x14:cfRule type="expression" priority="3086"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208" id="{DACA114C-AAEC-4F9E-9656-63DFB2119F7F}">
            <xm:f>$F$12=INputs!$S$3</xm:f>
            <x14:dxf>
              <font>
                <color theme="0"/>
              </font>
              <fill>
                <patternFill>
                  <bgColor theme="0"/>
                </patternFill>
              </fill>
              <border>
                <left/>
                <right/>
                <top/>
                <bottom/>
                <vertical/>
                <horizontal/>
              </border>
            </x14:dxf>
          </x14:cfRule>
          <xm:sqref>AE84:AF84</xm:sqref>
        </x14:conditionalFormatting>
        <x14:conditionalFormatting xmlns:xm="http://schemas.microsoft.com/office/excel/2006/main">
          <x14:cfRule type="expression" priority="3085"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46" id="{D51790FA-DBCC-4230-A828-4B9E6C9D850F}">
            <xm:f>$F$12=INputs!$S$3</xm:f>
            <x14:dxf>
              <font>
                <color theme="0"/>
              </font>
              <fill>
                <patternFill>
                  <bgColor theme="0"/>
                </patternFill>
              </fill>
              <border>
                <left/>
                <right/>
                <top/>
                <bottom/>
                <vertical/>
                <horizontal/>
              </border>
            </x14:dxf>
          </x14:cfRule>
          <xm:sqref>AE96:AF96</xm:sqref>
        </x14:conditionalFormatting>
        <x14:conditionalFormatting xmlns:xm="http://schemas.microsoft.com/office/excel/2006/main">
          <x14:cfRule type="expression" priority="3084"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58" id="{05C7C41A-504C-40C2-9ABF-9FA7A38E28B0}">
            <xm:f>$F$12=INputs!$S$3</xm:f>
            <x14:dxf>
              <font>
                <color theme="0"/>
              </font>
              <fill>
                <patternFill>
                  <bgColor theme="0"/>
                </patternFill>
              </fill>
              <border>
                <left/>
                <right/>
                <top/>
                <bottom/>
                <vertical/>
                <horizontal/>
              </border>
            </x14:dxf>
          </x14:cfRule>
          <xm:sqref>AE108:AF108</xm:sqref>
        </x14:conditionalFormatting>
        <x14:conditionalFormatting xmlns:xm="http://schemas.microsoft.com/office/excel/2006/main">
          <x14:cfRule type="expression" priority="3016"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2996" id="{6ED1CA1A-DCD4-4D9A-B6F3-E7CFFCAA1F80}">
            <xm:f>$F$12=INputs!$S$3</xm:f>
            <x14:dxf>
              <font>
                <color theme="0"/>
              </font>
              <fill>
                <patternFill>
                  <bgColor theme="0"/>
                </patternFill>
              </fill>
              <border>
                <left/>
                <right/>
                <top/>
                <bottom/>
                <vertical/>
                <horizontal/>
              </border>
            </x14:dxf>
          </x14:cfRule>
          <xm:sqref>AE120:AF120</xm:sqref>
        </x14:conditionalFormatting>
        <x14:conditionalFormatting xmlns:xm="http://schemas.microsoft.com/office/excel/2006/main">
          <x14:cfRule type="expression" priority="2954"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34" id="{71D9CC76-0F6F-4607-AD2B-B2026108DDF9}">
            <xm:f>$F$12=INputs!$S$3</xm:f>
            <x14:dxf>
              <font>
                <color theme="0"/>
              </font>
              <fill>
                <patternFill>
                  <bgColor theme="0"/>
                </patternFill>
              </fill>
              <border>
                <left/>
                <right/>
                <top/>
                <bottom/>
                <vertical/>
                <horizontal/>
              </border>
            </x14:dxf>
          </x14:cfRule>
          <xm:sqref>AE132:AF132</xm:sqref>
        </x14:conditionalFormatting>
        <x14:conditionalFormatting xmlns:xm="http://schemas.microsoft.com/office/excel/2006/main">
          <x14:cfRule type="expression" priority="2892"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872" id="{820FB3A3-9CF3-407F-AFD9-E43049AD3D25}">
            <xm:f>$F$12=INputs!$S$3</xm:f>
            <x14:dxf>
              <font>
                <color theme="0"/>
              </font>
              <fill>
                <patternFill>
                  <bgColor theme="0"/>
                </patternFill>
              </fill>
              <border>
                <left/>
                <right/>
                <top/>
                <bottom/>
                <vertical/>
                <horizontal/>
              </border>
            </x14:dxf>
          </x14:cfRule>
          <xm:sqref>AE144:AF144</xm:sqref>
        </x14:conditionalFormatting>
        <x14:conditionalFormatting xmlns:xm="http://schemas.microsoft.com/office/excel/2006/main">
          <x14:cfRule type="expression" priority="2830"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10" id="{8FADA6C6-1A12-4B9D-A41D-B4F77FA68CF0}">
            <xm:f>$F$12=INputs!$S$3</xm:f>
            <x14:dxf>
              <font>
                <color theme="0"/>
              </font>
              <fill>
                <patternFill>
                  <bgColor theme="0"/>
                </patternFill>
              </fill>
              <border>
                <left/>
                <right/>
                <top/>
                <bottom/>
                <vertical/>
                <horizontal/>
              </border>
            </x14:dxf>
          </x14:cfRule>
          <xm:sqref>AE156:AF156</xm:sqref>
        </x14:conditionalFormatting>
        <x14:conditionalFormatting xmlns:xm="http://schemas.microsoft.com/office/excel/2006/main">
          <x14:cfRule type="expression" priority="2768"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48" id="{3CDA7547-DEED-4BA7-B2DD-8C77EB033458}">
            <xm:f>$F$12=INputs!$S$3</xm:f>
            <x14:dxf>
              <font>
                <color theme="0"/>
              </font>
              <fill>
                <patternFill>
                  <bgColor theme="0"/>
                </patternFill>
              </fill>
              <border>
                <left/>
                <right/>
                <top/>
                <bottom/>
                <vertical/>
                <horizontal/>
              </border>
            </x14:dxf>
          </x14:cfRule>
          <xm:sqref>AE168:AF168</xm:sqref>
        </x14:conditionalFormatting>
        <x14:conditionalFormatting xmlns:xm="http://schemas.microsoft.com/office/excel/2006/main">
          <x14:cfRule type="expression" priority="2706"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686" id="{2D2E2CF0-3FD3-42EC-8875-70D56FA2B3B1}">
            <xm:f>$F$12=INputs!$S$3</xm:f>
            <x14:dxf>
              <font>
                <color theme="0"/>
              </font>
              <fill>
                <patternFill>
                  <bgColor theme="0"/>
                </patternFill>
              </fill>
              <border>
                <left/>
                <right/>
                <top/>
                <bottom/>
                <vertical/>
                <horizontal/>
              </border>
            </x14:dxf>
          </x14:cfRule>
          <xm:sqref>AE180:AF180</xm:sqref>
        </x14:conditionalFormatting>
        <x14:conditionalFormatting xmlns:xm="http://schemas.microsoft.com/office/excel/2006/main">
          <x14:cfRule type="expression" priority="2644"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24" id="{D68A2DE0-048E-48AB-B8A4-3020ED1F1E35}">
            <xm:f>$F$12=INputs!$S$3</xm:f>
            <x14:dxf>
              <font>
                <color theme="0"/>
              </font>
              <fill>
                <patternFill>
                  <bgColor theme="0"/>
                </patternFill>
              </fill>
              <border>
                <left/>
                <right/>
                <top/>
                <bottom/>
                <vertical/>
                <horizontal/>
              </border>
            </x14:dxf>
          </x14:cfRule>
          <xm:sqref>AE192:AF192</xm:sqref>
        </x14:conditionalFormatting>
        <x14:conditionalFormatting xmlns:xm="http://schemas.microsoft.com/office/excel/2006/main">
          <x14:cfRule type="expression" priority="2582"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62" id="{9D7984F1-54FB-4A45-9EDB-64C21ACDDF8E}">
            <xm:f>$F$12=INputs!$S$3</xm:f>
            <x14:dxf>
              <font>
                <color theme="0"/>
              </font>
              <fill>
                <patternFill>
                  <bgColor theme="0"/>
                </patternFill>
              </fill>
              <border>
                <left/>
                <right/>
                <top/>
                <bottom/>
                <vertical/>
                <horizontal/>
              </border>
            </x14:dxf>
          </x14:cfRule>
          <xm:sqref>AE204:AF204</xm:sqref>
        </x14:conditionalFormatting>
        <x14:conditionalFormatting xmlns:xm="http://schemas.microsoft.com/office/excel/2006/main">
          <x14:cfRule type="expression" priority="2520"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00" id="{D30A43B1-2528-45B2-B071-1F3B2E0CA1B2}">
            <xm:f>$F$12=INputs!$S$3</xm:f>
            <x14:dxf>
              <font>
                <color theme="0"/>
              </font>
              <fill>
                <patternFill>
                  <bgColor theme="0"/>
                </patternFill>
              </fill>
              <border>
                <left/>
                <right/>
                <top/>
                <bottom/>
                <vertical/>
                <horizontal/>
              </border>
            </x14:dxf>
          </x14:cfRule>
          <xm:sqref>AE216:AF216</xm:sqref>
        </x14:conditionalFormatting>
        <x14:conditionalFormatting xmlns:xm="http://schemas.microsoft.com/office/excel/2006/main">
          <x14:cfRule type="expression" priority="2458"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38" id="{F2BE4E56-203B-44ED-891B-AE3BEC296BF1}">
            <xm:f>$F$12=INputs!$S$3</xm:f>
            <x14:dxf>
              <font>
                <color theme="0"/>
              </font>
              <fill>
                <patternFill>
                  <bgColor theme="0"/>
                </patternFill>
              </fill>
              <border>
                <left/>
                <right/>
                <top/>
                <bottom/>
                <vertical/>
                <horizontal/>
              </border>
            </x14:dxf>
          </x14:cfRule>
          <xm:sqref>AE228:AF228</xm:sqref>
        </x14:conditionalFormatting>
        <x14:conditionalFormatting xmlns:xm="http://schemas.microsoft.com/office/excel/2006/main">
          <x14:cfRule type="expression" priority="2396"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376" id="{37A41C06-6BD6-42B3-9962-74293BC5B75C}">
            <xm:f>$F$12=INputs!$S$3</xm:f>
            <x14:dxf>
              <font>
                <color theme="0"/>
              </font>
              <fill>
                <patternFill>
                  <bgColor theme="0"/>
                </patternFill>
              </fill>
              <border>
                <left/>
                <right/>
                <top/>
                <bottom/>
                <vertical/>
                <horizontal/>
              </border>
            </x14:dxf>
          </x14:cfRule>
          <xm:sqref>AE240:AF240</xm:sqref>
        </x14:conditionalFormatting>
        <x14:conditionalFormatting xmlns:xm="http://schemas.microsoft.com/office/excel/2006/main">
          <x14:cfRule type="expression" priority="2334" id="{15DBE410-9049-4625-A760-DC4A48FB588B}">
            <xm:f>OR(AC242=INputs!$BB$3,AC242=INputs!$BB$4)</xm:f>
            <x14:dxf>
              <font>
                <color theme="0" tint="-0.34998626667073579"/>
              </font>
            </x14:dxf>
          </x14:cfRule>
          <xm:sqref>AE241:AF241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K10" activePane="bottomRight" state="frozen"/>
      <selection pane="topRight" activeCell="B1" sqref="B1"/>
      <selection pane="bottomLeft" activeCell="A4" sqref="A4"/>
      <selection pane="bottomRight" activeCell="U63" sqref="U63"/>
    </sheetView>
  </sheetViews>
  <sheetFormatPr defaultRowHeight="14.5" outlineLevelRow="1" x14ac:dyDescent="0.35"/>
  <cols>
    <col min="1" max="1" width="3.26953125" style="87" customWidth="1"/>
    <col min="2" max="2" width="47.8164062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5" customHeight="1" thickBot="1" x14ac:dyDescent="0.4">
      <c r="B1" s="579" t="s">
        <v>75</v>
      </c>
      <c r="C1" s="579"/>
      <c r="D1" s="579"/>
    </row>
    <row r="2" spans="1:26" s="13" customFormat="1" ht="37.5" thickBot="1" x14ac:dyDescent="0.4">
      <c r="A2" s="90"/>
      <c r="B2" s="97" t="s">
        <v>117</v>
      </c>
      <c r="C2" s="41"/>
      <c r="D2" s="588" t="s">
        <v>170</v>
      </c>
      <c r="E2" s="626"/>
      <c r="F2" s="626"/>
      <c r="G2" s="589"/>
      <c r="H2" s="41"/>
      <c r="I2" s="97" t="s">
        <v>171</v>
      </c>
      <c r="J2" s="41"/>
      <c r="K2" s="97" t="s">
        <v>172</v>
      </c>
      <c r="L2" s="41"/>
      <c r="M2" s="97" t="s">
        <v>173</v>
      </c>
      <c r="N2" s="41"/>
      <c r="O2" s="97" t="s">
        <v>174</v>
      </c>
      <c r="P2" s="41"/>
      <c r="Q2" s="588" t="s">
        <v>175</v>
      </c>
      <c r="R2" s="626"/>
      <c r="S2" s="589"/>
      <c r="T2" s="41"/>
      <c r="U2" s="97" t="s">
        <v>311</v>
      </c>
      <c r="V2" s="41"/>
      <c r="W2" s="97" t="s">
        <v>176</v>
      </c>
      <c r="X2" s="41"/>
      <c r="Y2" s="97" t="s">
        <v>177</v>
      </c>
    </row>
    <row r="3" spans="1:26" ht="230" hidden="1" customHeight="1" outlineLevel="1" x14ac:dyDescent="0.35">
      <c r="A3" s="371" t="s">
        <v>322</v>
      </c>
      <c r="B3" s="162" t="s">
        <v>126</v>
      </c>
      <c r="C3" s="157"/>
      <c r="D3" s="630" t="s">
        <v>178</v>
      </c>
      <c r="E3" s="630"/>
      <c r="F3" s="630"/>
      <c r="G3" s="630"/>
      <c r="H3" s="157"/>
      <c r="I3" s="163"/>
      <c r="J3" s="157"/>
      <c r="K3" s="165" t="s">
        <v>179</v>
      </c>
      <c r="L3" s="161"/>
      <c r="M3" s="166" t="s">
        <v>180</v>
      </c>
      <c r="N3" s="161"/>
      <c r="O3" s="166" t="s">
        <v>181</v>
      </c>
      <c r="P3" s="161"/>
      <c r="Q3" s="627" t="s">
        <v>182</v>
      </c>
      <c r="R3" s="628"/>
      <c r="S3" s="629"/>
      <c r="T3" s="184"/>
      <c r="U3" s="183" t="s">
        <v>310</v>
      </c>
      <c r="V3" s="161"/>
      <c r="W3" s="159"/>
      <c r="X3" s="161"/>
      <c r="Y3" s="159" t="s">
        <v>183</v>
      </c>
      <c r="Z3" s="150"/>
    </row>
    <row r="4" spans="1:26" ht="29" hidden="1" outlineLevel="1" x14ac:dyDescent="0.35">
      <c r="A4" s="632" t="s">
        <v>99</v>
      </c>
      <c r="B4" s="368" t="s">
        <v>184</v>
      </c>
      <c r="C4" s="169"/>
      <c r="D4" s="563" t="s">
        <v>185</v>
      </c>
      <c r="E4" s="563"/>
      <c r="F4" s="563"/>
      <c r="G4" s="563"/>
      <c r="H4" s="169"/>
      <c r="I4" s="168"/>
      <c r="J4" s="169"/>
      <c r="K4" s="168"/>
      <c r="L4" s="131"/>
      <c r="M4" s="170"/>
      <c r="N4" s="131"/>
      <c r="O4" s="170"/>
      <c r="P4" s="131"/>
      <c r="Q4" s="565"/>
      <c r="R4" s="565"/>
      <c r="S4" s="565"/>
      <c r="T4" s="131"/>
      <c r="U4" s="170"/>
      <c r="V4" s="131"/>
      <c r="W4" s="170"/>
      <c r="X4" s="131"/>
      <c r="Y4" s="167" t="s">
        <v>186</v>
      </c>
    </row>
    <row r="5" spans="1:26" ht="15" hidden="1" customHeight="1" outlineLevel="1" x14ac:dyDescent="0.35">
      <c r="A5" s="632"/>
      <c r="B5" s="369"/>
      <c r="C5" s="169"/>
      <c r="D5" s="600"/>
      <c r="E5" s="600"/>
      <c r="F5" s="600"/>
      <c r="G5" s="600"/>
      <c r="H5" s="169"/>
      <c r="I5" s="168"/>
      <c r="J5" s="169"/>
      <c r="K5" s="168"/>
      <c r="L5" s="131"/>
      <c r="M5" s="170"/>
      <c r="N5" s="131"/>
      <c r="O5" s="170"/>
      <c r="P5" s="131"/>
      <c r="Q5" s="565"/>
      <c r="R5" s="565"/>
      <c r="S5" s="565"/>
      <c r="T5" s="131"/>
      <c r="U5" s="170"/>
      <c r="V5" s="131"/>
      <c r="W5" s="170"/>
      <c r="X5" s="131"/>
      <c r="Y5" s="170"/>
    </row>
    <row r="6" spans="1:26" ht="15" hidden="1" customHeight="1" outlineLevel="1" x14ac:dyDescent="0.35">
      <c r="A6" s="632"/>
      <c r="B6" s="369"/>
      <c r="C6" s="169"/>
      <c r="D6" s="600"/>
      <c r="E6" s="600"/>
      <c r="F6" s="600"/>
      <c r="G6" s="600"/>
      <c r="H6" s="169"/>
      <c r="I6" s="168"/>
      <c r="J6" s="169"/>
      <c r="K6" s="168"/>
      <c r="L6" s="131"/>
      <c r="M6" s="170"/>
      <c r="N6" s="131"/>
      <c r="O6" s="170"/>
      <c r="P6" s="131"/>
      <c r="Q6" s="565"/>
      <c r="R6" s="565"/>
      <c r="S6" s="565"/>
      <c r="T6" s="131"/>
      <c r="U6" s="170"/>
      <c r="V6" s="131"/>
      <c r="W6" s="170"/>
      <c r="X6" s="131"/>
      <c r="Y6" s="170"/>
    </row>
    <row r="7" spans="1:26" ht="15" hidden="1" customHeight="1" outlineLevel="1" x14ac:dyDescent="0.35">
      <c r="A7" s="632"/>
      <c r="B7" s="369"/>
      <c r="C7" s="169"/>
      <c r="D7" s="600"/>
      <c r="E7" s="600"/>
      <c r="F7" s="600"/>
      <c r="G7" s="600"/>
      <c r="H7" s="169"/>
      <c r="I7" s="168"/>
      <c r="J7" s="169"/>
      <c r="K7" s="168"/>
      <c r="L7" s="131"/>
      <c r="M7" s="170"/>
      <c r="N7" s="131"/>
      <c r="O7" s="170"/>
      <c r="P7" s="131"/>
      <c r="Q7" s="565"/>
      <c r="R7" s="565"/>
      <c r="S7" s="565"/>
      <c r="T7" s="131"/>
      <c r="U7" s="170"/>
      <c r="V7" s="131"/>
      <c r="W7" s="170"/>
      <c r="X7" s="131"/>
      <c r="Y7" s="170"/>
    </row>
    <row r="8" spans="1:26" ht="15" hidden="1" customHeight="1" outlineLevel="1" x14ac:dyDescent="0.35">
      <c r="A8" s="632"/>
      <c r="B8" s="369"/>
      <c r="C8" s="169"/>
      <c r="D8" s="600"/>
      <c r="E8" s="600"/>
      <c r="F8" s="600"/>
      <c r="G8" s="600"/>
      <c r="H8" s="169"/>
      <c r="I8" s="168"/>
      <c r="J8" s="169"/>
      <c r="K8" s="168"/>
      <c r="L8" s="131"/>
      <c r="M8" s="170"/>
      <c r="N8" s="131"/>
      <c r="O8" s="170"/>
      <c r="P8" s="131"/>
      <c r="Q8" s="565"/>
      <c r="R8" s="565"/>
      <c r="S8" s="565"/>
      <c r="T8" s="131"/>
      <c r="U8" s="170"/>
      <c r="V8" s="131"/>
      <c r="W8" s="170"/>
      <c r="X8" s="131"/>
      <c r="Y8" s="170"/>
    </row>
    <row r="9" spans="1:26" s="13" customFormat="1" ht="15" customHeight="1" collapsed="1" x14ac:dyDescent="0.35">
      <c r="A9" s="90"/>
      <c r="B9" s="8"/>
      <c r="D9" s="8" t="s">
        <v>109</v>
      </c>
      <c r="E9" s="8"/>
      <c r="F9" s="631" t="s">
        <v>108</v>
      </c>
      <c r="G9" s="631"/>
      <c r="I9" s="8" t="s">
        <v>109</v>
      </c>
      <c r="K9" s="8" t="s">
        <v>109</v>
      </c>
      <c r="M9" s="8" t="s">
        <v>109</v>
      </c>
      <c r="O9" s="8" t="s">
        <v>109</v>
      </c>
      <c r="Q9" s="8" t="s">
        <v>109</v>
      </c>
      <c r="R9" s="8"/>
      <c r="S9" s="8" t="s">
        <v>109</v>
      </c>
      <c r="U9" s="8" t="s">
        <v>109</v>
      </c>
      <c r="W9" s="8" t="s">
        <v>109</v>
      </c>
      <c r="Y9" s="8" t="s">
        <v>109</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4">
        <v>1</v>
      </c>
      <c r="B11" s="385" t="str">
        <f>VLOOKUP(A11,INputs!$G$3:$O$22,8,FALSE)</f>
        <v>Please fill out Sensitivity Labels Tab</v>
      </c>
      <c r="C11" s="185"/>
      <c r="D11" s="10"/>
      <c r="E11" s="185"/>
      <c r="F11" s="186" t="b">
        <v>0</v>
      </c>
      <c r="G11" s="185" t="s">
        <v>187</v>
      </c>
      <c r="H11" s="185"/>
      <c r="I11" s="10"/>
      <c r="J11" s="185"/>
      <c r="K11" s="10"/>
      <c r="L11" s="185"/>
      <c r="M11" s="10"/>
      <c r="N11" s="185"/>
      <c r="O11" s="10"/>
      <c r="P11" s="185"/>
      <c r="Q11" s="10"/>
      <c r="R11" s="185"/>
      <c r="S11" s="10"/>
      <c r="T11" s="185"/>
      <c r="U11" s="10"/>
      <c r="V11" s="185"/>
      <c r="W11" s="10"/>
      <c r="X11" s="185"/>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4">
        <v>2</v>
      </c>
      <c r="B13" s="385" t="str">
        <f>VLOOKUP(A13,INputs!$G$3:$O$22,8,FALSE)</f>
        <v>Please fill out Sensitivity Labels Tab</v>
      </c>
      <c r="C13" s="185"/>
      <c r="D13" s="10"/>
      <c r="E13" s="185"/>
      <c r="F13" s="186" t="b">
        <v>0</v>
      </c>
      <c r="G13" s="185" t="s">
        <v>187</v>
      </c>
      <c r="H13" s="185"/>
      <c r="I13" s="10"/>
      <c r="J13" s="185"/>
      <c r="K13" s="10"/>
      <c r="L13" s="185"/>
      <c r="M13" s="10"/>
      <c r="N13" s="185"/>
      <c r="O13" s="10"/>
      <c r="P13" s="185"/>
      <c r="Q13" s="10"/>
      <c r="R13" s="185"/>
      <c r="S13" s="10"/>
      <c r="T13" s="185"/>
      <c r="U13" s="10"/>
      <c r="V13" s="185"/>
      <c r="W13" s="10"/>
      <c r="X13" s="185"/>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4">
        <v>3</v>
      </c>
      <c r="B15" s="385" t="str">
        <f>VLOOKUP(A15,INputs!$G$3:$O$22,8,FALSE)</f>
        <v>Please fill out Sensitivity Labels Tab</v>
      </c>
      <c r="C15" s="185"/>
      <c r="D15" s="10"/>
      <c r="E15" s="185"/>
      <c r="F15" s="186" t="b">
        <v>0</v>
      </c>
      <c r="G15" s="185" t="s">
        <v>187</v>
      </c>
      <c r="H15" s="185"/>
      <c r="I15" s="10"/>
      <c r="J15" s="185"/>
      <c r="K15" s="10"/>
      <c r="L15" s="185"/>
      <c r="M15" s="10"/>
      <c r="N15" s="185"/>
      <c r="O15" s="10"/>
      <c r="P15" s="185"/>
      <c r="Q15" s="10"/>
      <c r="R15" s="185"/>
      <c r="S15" s="10"/>
      <c r="T15" s="185"/>
      <c r="U15" s="10"/>
      <c r="V15" s="185"/>
      <c r="W15" s="10"/>
      <c r="X15" s="185"/>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4">
        <v>4</v>
      </c>
      <c r="B17" s="385" t="str">
        <f>VLOOKUP(A17,INputs!$G$3:$O$22,8,FALSE)</f>
        <v>Please fill out Sensitivity Labels Tab</v>
      </c>
      <c r="C17" s="185"/>
      <c r="D17" s="10"/>
      <c r="E17" s="185"/>
      <c r="F17" s="186" t="b">
        <v>0</v>
      </c>
      <c r="G17" s="185" t="s">
        <v>187</v>
      </c>
      <c r="H17" s="185"/>
      <c r="I17" s="10"/>
      <c r="J17" s="185"/>
      <c r="K17" s="10"/>
      <c r="L17" s="185"/>
      <c r="M17" s="10"/>
      <c r="N17" s="185"/>
      <c r="O17" s="10"/>
      <c r="P17" s="185"/>
      <c r="Q17" s="10"/>
      <c r="R17" s="185"/>
      <c r="S17" s="10"/>
      <c r="T17" s="185"/>
      <c r="U17" s="10"/>
      <c r="V17" s="185"/>
      <c r="W17" s="10"/>
      <c r="X17" s="185"/>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4">
        <v>5</v>
      </c>
      <c r="B19" s="385" t="str">
        <f>VLOOKUP(A19,INputs!$G$3:$O$22,8,FALSE)</f>
        <v>Please fill out Sensitivity Labels Tab</v>
      </c>
      <c r="C19" s="185"/>
      <c r="D19" s="10"/>
      <c r="E19" s="185"/>
      <c r="F19" s="186" t="b">
        <v>0</v>
      </c>
      <c r="G19" s="185" t="s">
        <v>187</v>
      </c>
      <c r="H19" s="185"/>
      <c r="I19" s="10"/>
      <c r="J19" s="185"/>
      <c r="K19" s="10"/>
      <c r="L19" s="185"/>
      <c r="M19" s="10"/>
      <c r="N19" s="185"/>
      <c r="O19" s="10"/>
      <c r="P19" s="185"/>
      <c r="Q19" s="10"/>
      <c r="R19" s="185"/>
      <c r="S19" s="10"/>
      <c r="T19" s="185"/>
      <c r="U19" s="10"/>
      <c r="V19" s="185"/>
      <c r="W19" s="10"/>
      <c r="X19" s="185"/>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4">
        <v>6</v>
      </c>
      <c r="B21" s="385" t="str">
        <f>VLOOKUP(A21,INputs!$G$3:$O$22,8,FALSE)</f>
        <v>Please fill out Sensitivity Labels Tab</v>
      </c>
      <c r="C21" s="185"/>
      <c r="D21" s="10"/>
      <c r="E21" s="185"/>
      <c r="F21" s="186" t="b">
        <v>0</v>
      </c>
      <c r="G21" s="185" t="s">
        <v>187</v>
      </c>
      <c r="H21" s="185"/>
      <c r="I21" s="10"/>
      <c r="J21" s="185"/>
      <c r="K21" s="10"/>
      <c r="L21" s="185"/>
      <c r="M21" s="10"/>
      <c r="N21" s="185"/>
      <c r="O21" s="10"/>
      <c r="P21" s="185"/>
      <c r="Q21" s="10"/>
      <c r="R21" s="185"/>
      <c r="S21" s="10"/>
      <c r="T21" s="185"/>
      <c r="U21" s="10"/>
      <c r="V21" s="185"/>
      <c r="W21" s="10"/>
      <c r="X21" s="185"/>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4">
        <v>7</v>
      </c>
      <c r="B23" s="385" t="str">
        <f>VLOOKUP(A23,INputs!$G$3:$O$22,8,FALSE)</f>
        <v>Please fill out Sensitivity Labels Tab</v>
      </c>
      <c r="C23" s="185"/>
      <c r="D23" s="10"/>
      <c r="E23" s="185"/>
      <c r="F23" s="186" t="b">
        <v>0</v>
      </c>
      <c r="G23" s="185" t="s">
        <v>187</v>
      </c>
      <c r="H23" s="185"/>
      <c r="I23" s="10"/>
      <c r="J23" s="185"/>
      <c r="K23" s="10"/>
      <c r="L23" s="185"/>
      <c r="M23" s="10"/>
      <c r="N23" s="185"/>
      <c r="O23" s="10"/>
      <c r="P23" s="185"/>
      <c r="Q23" s="10"/>
      <c r="R23" s="185"/>
      <c r="S23" s="10"/>
      <c r="T23" s="185"/>
      <c r="U23" s="10"/>
      <c r="V23" s="185"/>
      <c r="W23" s="10"/>
      <c r="X23" s="185"/>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4">
        <v>8</v>
      </c>
      <c r="B25" s="385" t="str">
        <f>VLOOKUP(A25,INputs!$G$3:$O$22,8,FALSE)</f>
        <v>Please fill out Sensitivity Labels Tab</v>
      </c>
      <c r="C25" s="185"/>
      <c r="D25" s="10"/>
      <c r="E25" s="185"/>
      <c r="F25" s="186" t="b">
        <v>0</v>
      </c>
      <c r="G25" s="185" t="s">
        <v>187</v>
      </c>
      <c r="H25" s="185"/>
      <c r="I25" s="10"/>
      <c r="J25" s="185"/>
      <c r="K25" s="10"/>
      <c r="L25" s="185"/>
      <c r="M25" s="10"/>
      <c r="N25" s="185"/>
      <c r="O25" s="10"/>
      <c r="P25" s="185"/>
      <c r="Q25" s="10"/>
      <c r="R25" s="185"/>
      <c r="S25" s="10"/>
      <c r="T25" s="185"/>
      <c r="U25" s="10"/>
      <c r="V25" s="185"/>
      <c r="W25" s="10"/>
      <c r="X25" s="185"/>
      <c r="Y25" s="10"/>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4">
        <v>9</v>
      </c>
      <c r="B27" s="385" t="str">
        <f>VLOOKUP(A27,INputs!$G$3:$O$22,8,FALSE)</f>
        <v>Please fill out Sensitivity Labels Tab</v>
      </c>
      <c r="C27" s="185"/>
      <c r="D27" s="10"/>
      <c r="E27" s="185"/>
      <c r="F27" s="186" t="b">
        <v>0</v>
      </c>
      <c r="G27" s="185" t="s">
        <v>187</v>
      </c>
      <c r="H27" s="185"/>
      <c r="I27" s="10"/>
      <c r="J27" s="185"/>
      <c r="K27" s="10"/>
      <c r="L27" s="185"/>
      <c r="M27" s="10"/>
      <c r="N27" s="185"/>
      <c r="O27" s="10"/>
      <c r="P27" s="185"/>
      <c r="Q27" s="10"/>
      <c r="R27" s="185"/>
      <c r="S27" s="10"/>
      <c r="T27" s="185"/>
      <c r="U27" s="10"/>
      <c r="V27" s="185"/>
      <c r="W27" s="10"/>
      <c r="X27" s="185"/>
      <c r="Y27" s="10"/>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4">
        <v>10</v>
      </c>
      <c r="B29" s="385" t="str">
        <f>VLOOKUP(A29,INputs!$G$3:$O$22,8,FALSE)</f>
        <v>Please fill out Sensitivity Labels Tab</v>
      </c>
      <c r="C29" s="185"/>
      <c r="D29" s="10"/>
      <c r="E29" s="185"/>
      <c r="F29" s="186" t="b">
        <v>0</v>
      </c>
      <c r="G29" s="185" t="s">
        <v>187</v>
      </c>
      <c r="H29" s="185"/>
      <c r="I29" s="10"/>
      <c r="J29" s="185"/>
      <c r="K29" s="10"/>
      <c r="L29" s="185"/>
      <c r="M29" s="10"/>
      <c r="N29" s="185"/>
      <c r="O29" s="10"/>
      <c r="P29" s="185"/>
      <c r="Q29" s="10"/>
      <c r="R29" s="185"/>
      <c r="S29" s="10"/>
      <c r="T29" s="185"/>
      <c r="U29" s="10"/>
      <c r="V29" s="185"/>
      <c r="W29" s="10"/>
      <c r="X29" s="185"/>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4">
        <f>A29+1</f>
        <v>11</v>
      </c>
      <c r="B31" s="385" t="str">
        <f>VLOOKUP(A31,INputs!$G$3:$O$22,8,FALSE)</f>
        <v>Please fill out Sensitivity Labels Tab</v>
      </c>
      <c r="C31" s="185"/>
      <c r="D31" s="10"/>
      <c r="E31" s="185"/>
      <c r="F31" s="186" t="b">
        <v>0</v>
      </c>
      <c r="G31" s="185" t="s">
        <v>187</v>
      </c>
      <c r="H31" s="185"/>
      <c r="I31" s="10"/>
      <c r="J31" s="185"/>
      <c r="K31" s="10"/>
      <c r="L31" s="185"/>
      <c r="M31" s="10"/>
      <c r="N31" s="185"/>
      <c r="O31" s="10"/>
      <c r="P31" s="185"/>
      <c r="Q31" s="10"/>
      <c r="R31" s="185"/>
      <c r="S31" s="10"/>
      <c r="T31" s="185"/>
      <c r="U31" s="10"/>
      <c r="V31" s="185"/>
      <c r="W31" s="10"/>
      <c r="X31" s="185"/>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4">
        <f>A31+1</f>
        <v>12</v>
      </c>
      <c r="B33" s="385" t="str">
        <f>VLOOKUP(A33,INputs!$G$3:$O$22,8,FALSE)</f>
        <v>Please fill out Sensitivity Labels Tab</v>
      </c>
      <c r="C33" s="185"/>
      <c r="D33" s="10"/>
      <c r="E33" s="185"/>
      <c r="F33" s="186" t="b">
        <v>0</v>
      </c>
      <c r="G33" s="185" t="s">
        <v>187</v>
      </c>
      <c r="H33" s="185"/>
      <c r="I33" s="10"/>
      <c r="J33" s="185"/>
      <c r="K33" s="10"/>
      <c r="L33" s="185"/>
      <c r="M33" s="10"/>
      <c r="N33" s="185"/>
      <c r="O33" s="10"/>
      <c r="P33" s="185"/>
      <c r="Q33" s="10"/>
      <c r="R33" s="185"/>
      <c r="S33" s="10"/>
      <c r="T33" s="185"/>
      <c r="U33" s="10"/>
      <c r="V33" s="185"/>
      <c r="W33" s="10"/>
      <c r="X33" s="185"/>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4">
        <f>A33+1</f>
        <v>13</v>
      </c>
      <c r="B35" s="385" t="str">
        <f>VLOOKUP(A35,INputs!$G$3:$O$22,8,FALSE)</f>
        <v>Please fill out Sensitivity Labels Tab</v>
      </c>
      <c r="C35" s="185"/>
      <c r="D35" s="10"/>
      <c r="E35" s="185"/>
      <c r="F35" s="186" t="b">
        <v>0</v>
      </c>
      <c r="G35" s="185" t="s">
        <v>187</v>
      </c>
      <c r="H35" s="185"/>
      <c r="I35" s="10"/>
      <c r="J35" s="185"/>
      <c r="K35" s="10"/>
      <c r="L35" s="185"/>
      <c r="M35" s="10"/>
      <c r="N35" s="185"/>
      <c r="O35" s="10"/>
      <c r="P35" s="185"/>
      <c r="Q35" s="10"/>
      <c r="R35" s="185"/>
      <c r="S35" s="10"/>
      <c r="T35" s="185"/>
      <c r="U35" s="10"/>
      <c r="V35" s="185"/>
      <c r="W35" s="10"/>
      <c r="X35" s="185"/>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4">
        <f>A35+1</f>
        <v>14</v>
      </c>
      <c r="B37" s="385" t="str">
        <f>VLOOKUP(A37,INputs!$G$3:$O$22,8,FALSE)</f>
        <v>Please fill out Sensitivity Labels Tab</v>
      </c>
      <c r="C37" s="185"/>
      <c r="D37" s="10"/>
      <c r="E37" s="185"/>
      <c r="F37" s="186" t="b">
        <v>0</v>
      </c>
      <c r="G37" s="185" t="s">
        <v>187</v>
      </c>
      <c r="H37" s="185"/>
      <c r="I37" s="10"/>
      <c r="J37" s="185"/>
      <c r="K37" s="10"/>
      <c r="L37" s="185"/>
      <c r="M37" s="10"/>
      <c r="N37" s="185"/>
      <c r="O37" s="10"/>
      <c r="P37" s="185"/>
      <c r="Q37" s="10"/>
      <c r="R37" s="185"/>
      <c r="S37" s="10"/>
      <c r="T37" s="185"/>
      <c r="U37" s="10"/>
      <c r="V37" s="185"/>
      <c r="W37" s="10"/>
      <c r="X37" s="185"/>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4">
        <f>A37+1</f>
        <v>15</v>
      </c>
      <c r="B39" s="385" t="str">
        <f>VLOOKUP(A39,INputs!$G$3:$O$22,8,FALSE)</f>
        <v>Please fill out Sensitivity Labels Tab</v>
      </c>
      <c r="C39" s="185"/>
      <c r="D39" s="10"/>
      <c r="E39" s="185"/>
      <c r="F39" s="186" t="b">
        <v>0</v>
      </c>
      <c r="G39" s="185" t="s">
        <v>187</v>
      </c>
      <c r="H39" s="185"/>
      <c r="I39" s="10"/>
      <c r="J39" s="185"/>
      <c r="K39" s="10"/>
      <c r="L39" s="185"/>
      <c r="M39" s="10"/>
      <c r="N39" s="185"/>
      <c r="O39" s="10"/>
      <c r="P39" s="185"/>
      <c r="Q39" s="10"/>
      <c r="R39" s="185"/>
      <c r="S39" s="10"/>
      <c r="T39" s="185"/>
      <c r="U39" s="10"/>
      <c r="V39" s="185"/>
      <c r="W39" s="10"/>
      <c r="X39" s="185"/>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4">
        <f>A39+1</f>
        <v>16</v>
      </c>
      <c r="B41" s="385" t="str">
        <f>VLOOKUP(A41,INputs!$G$3:$O$22,8,FALSE)</f>
        <v>Please fill out Sensitivity Labels Tab</v>
      </c>
      <c r="C41" s="185"/>
      <c r="D41" s="10"/>
      <c r="E41" s="185"/>
      <c r="F41" s="186" t="b">
        <v>0</v>
      </c>
      <c r="G41" s="185" t="s">
        <v>187</v>
      </c>
      <c r="H41" s="185"/>
      <c r="I41" s="10"/>
      <c r="J41" s="185"/>
      <c r="K41" s="10"/>
      <c r="L41" s="185"/>
      <c r="M41" s="10"/>
      <c r="N41" s="185"/>
      <c r="O41" s="10"/>
      <c r="P41" s="185"/>
      <c r="Q41" s="10"/>
      <c r="R41" s="185"/>
      <c r="S41" s="10"/>
      <c r="T41" s="185"/>
      <c r="U41" s="10"/>
      <c r="V41" s="185"/>
      <c r="W41" s="10"/>
      <c r="X41" s="185"/>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4">
        <f>A41+1</f>
        <v>17</v>
      </c>
      <c r="B43" s="385" t="str">
        <f>VLOOKUP(A43,INputs!$G$3:$O$22,8,FALSE)</f>
        <v>Please fill out Sensitivity Labels Tab</v>
      </c>
      <c r="C43" s="185"/>
      <c r="D43" s="10"/>
      <c r="E43" s="185"/>
      <c r="F43" s="186" t="b">
        <v>0</v>
      </c>
      <c r="G43" s="185" t="s">
        <v>187</v>
      </c>
      <c r="H43" s="185"/>
      <c r="I43" s="10"/>
      <c r="J43" s="185"/>
      <c r="K43" s="10"/>
      <c r="L43" s="185"/>
      <c r="M43" s="10"/>
      <c r="N43" s="185"/>
      <c r="O43" s="10"/>
      <c r="P43" s="185"/>
      <c r="Q43" s="10"/>
      <c r="R43" s="185"/>
      <c r="S43" s="10"/>
      <c r="T43" s="185"/>
      <c r="U43" s="10"/>
      <c r="V43" s="185"/>
      <c r="W43" s="10"/>
      <c r="X43" s="185"/>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4">
        <f>A43+1</f>
        <v>18</v>
      </c>
      <c r="B45" s="385" t="str">
        <f>VLOOKUP(A45,INputs!$G$3:$O$22,8,FALSE)</f>
        <v>Please fill out Sensitivity Labels Tab</v>
      </c>
      <c r="C45" s="185"/>
      <c r="D45" s="10"/>
      <c r="E45" s="185"/>
      <c r="F45" s="186" t="b">
        <v>0</v>
      </c>
      <c r="G45" s="185" t="s">
        <v>187</v>
      </c>
      <c r="H45" s="185"/>
      <c r="I45" s="10"/>
      <c r="J45" s="185"/>
      <c r="K45" s="10"/>
      <c r="L45" s="185"/>
      <c r="M45" s="10"/>
      <c r="N45" s="185"/>
      <c r="O45" s="10"/>
      <c r="P45" s="185"/>
      <c r="Q45" s="10"/>
      <c r="R45" s="185"/>
      <c r="S45" s="10"/>
      <c r="T45" s="185"/>
      <c r="U45" s="10"/>
      <c r="V45" s="185"/>
      <c r="W45" s="10"/>
      <c r="X45" s="185"/>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4">
        <f>A45+1</f>
        <v>19</v>
      </c>
      <c r="B47" s="385" t="str">
        <f>VLOOKUP(A47,INputs!$G$3:$O$22,8,FALSE)</f>
        <v>Please fill out Sensitivity Labels Tab</v>
      </c>
      <c r="C47" s="185"/>
      <c r="D47" s="10"/>
      <c r="E47" s="185"/>
      <c r="F47" s="186" t="b">
        <v>0</v>
      </c>
      <c r="G47" s="185" t="s">
        <v>187</v>
      </c>
      <c r="H47" s="185"/>
      <c r="I47" s="10"/>
      <c r="J47" s="185"/>
      <c r="K47" s="10"/>
      <c r="L47" s="185"/>
      <c r="M47" s="10"/>
      <c r="N47" s="185"/>
      <c r="O47" s="10"/>
      <c r="P47" s="185"/>
      <c r="Q47" s="10"/>
      <c r="R47" s="185"/>
      <c r="S47" s="10"/>
      <c r="T47" s="185"/>
      <c r="U47" s="387"/>
      <c r="V47" s="185"/>
      <c r="W47" s="10"/>
      <c r="X47" s="185"/>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4">
        <f>A47+1</f>
        <v>20</v>
      </c>
      <c r="B49" s="385" t="str">
        <f>VLOOKUP(A49,INputs!$G$3:$O$22,8,FALSE)</f>
        <v>Please fill out Sensitivity Labels Tab</v>
      </c>
      <c r="C49" s="185"/>
      <c r="D49" s="10"/>
      <c r="E49" s="185"/>
      <c r="F49" s="186" t="b">
        <v>0</v>
      </c>
      <c r="G49" s="185" t="s">
        <v>187</v>
      </c>
      <c r="H49" s="185"/>
      <c r="I49" s="10"/>
      <c r="J49" s="185"/>
      <c r="K49" s="10"/>
      <c r="L49" s="185"/>
      <c r="M49" s="10"/>
      <c r="N49" s="185"/>
      <c r="O49" s="10"/>
      <c r="P49" s="185"/>
      <c r="Q49" s="10"/>
      <c r="R49" s="185"/>
      <c r="S49" s="10"/>
      <c r="T49" s="185"/>
      <c r="U49" s="10"/>
      <c r="V49" s="185"/>
      <c r="W49" s="10"/>
      <c r="X49" s="185"/>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E13" sqref="E13"/>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76</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117</v>
      </c>
      <c r="E3" s="653" t="s">
        <v>188</v>
      </c>
      <c r="F3" s="654"/>
      <c r="H3" s="647" t="s">
        <v>189</v>
      </c>
      <c r="I3" s="648"/>
      <c r="K3" s="647" t="s">
        <v>190</v>
      </c>
      <c r="L3" s="648"/>
      <c r="N3" s="98" t="s">
        <v>191</v>
      </c>
      <c r="P3" s="647" t="s">
        <v>192</v>
      </c>
      <c r="Q3" s="648"/>
      <c r="S3" s="647" t="s">
        <v>193</v>
      </c>
      <c r="T3" s="648"/>
    </row>
    <row r="4" spans="1:21" s="3" customFormat="1" ht="189" hidden="1" customHeight="1" outlineLevel="1" x14ac:dyDescent="0.35">
      <c r="A4" s="234" t="s">
        <v>322</v>
      </c>
      <c r="B4" s="154"/>
      <c r="C4" s="162" t="s">
        <v>126</v>
      </c>
      <c r="D4" s="161"/>
      <c r="E4" s="636" t="s">
        <v>77</v>
      </c>
      <c r="F4" s="636"/>
      <c r="G4" s="161"/>
      <c r="H4" s="636" t="s">
        <v>194</v>
      </c>
      <c r="I4" s="636"/>
      <c r="J4" s="161"/>
      <c r="K4" s="636" t="s">
        <v>195</v>
      </c>
      <c r="L4" s="636"/>
      <c r="M4" s="161"/>
      <c r="N4" s="164" t="s">
        <v>196</v>
      </c>
      <c r="O4" s="161"/>
      <c r="P4" s="636" t="s">
        <v>197</v>
      </c>
      <c r="Q4" s="636"/>
      <c r="R4" s="161"/>
      <c r="S4" s="636" t="s">
        <v>198</v>
      </c>
      <c r="T4" s="615"/>
    </row>
    <row r="5" spans="1:21" s="3" customFormat="1" ht="43.5" hidden="1" outlineLevel="1" x14ac:dyDescent="0.35">
      <c r="A5" s="633" t="s">
        <v>99</v>
      </c>
      <c r="B5" s="234"/>
      <c r="C5" s="167" t="s">
        <v>199</v>
      </c>
      <c r="D5" s="131"/>
      <c r="E5" s="565"/>
      <c r="F5" s="565"/>
      <c r="G5" s="131"/>
      <c r="H5" s="565"/>
      <c r="I5" s="565"/>
      <c r="J5" s="131"/>
      <c r="K5" s="565"/>
      <c r="L5" s="565"/>
      <c r="M5" s="131"/>
      <c r="N5" s="170"/>
      <c r="O5" s="131"/>
      <c r="P5" s="565"/>
      <c r="Q5" s="565"/>
      <c r="R5" s="131"/>
      <c r="S5" s="563" t="s">
        <v>200</v>
      </c>
      <c r="T5" s="563"/>
    </row>
    <row r="6" spans="1:21" s="3" customFormat="1" hidden="1" outlineLevel="1" x14ac:dyDescent="0.35">
      <c r="A6" s="633"/>
      <c r="B6" s="234"/>
      <c r="C6" s="170"/>
      <c r="D6" s="131"/>
      <c r="E6" s="565"/>
      <c r="F6" s="565"/>
      <c r="G6" s="131"/>
      <c r="H6" s="565"/>
      <c r="I6" s="565"/>
      <c r="J6" s="131"/>
      <c r="K6" s="565"/>
      <c r="L6" s="565"/>
      <c r="M6" s="131"/>
      <c r="N6" s="170"/>
      <c r="O6" s="131"/>
      <c r="P6" s="565"/>
      <c r="Q6" s="565"/>
      <c r="R6" s="131"/>
      <c r="S6" s="565"/>
      <c r="T6" s="565"/>
    </row>
    <row r="7" spans="1:21" s="3" customFormat="1" hidden="1" outlineLevel="1" x14ac:dyDescent="0.35">
      <c r="A7" s="633"/>
      <c r="B7" s="234"/>
      <c r="C7" s="170"/>
      <c r="D7" s="131"/>
      <c r="E7" s="565"/>
      <c r="F7" s="565"/>
      <c r="G7" s="131"/>
      <c r="H7" s="565"/>
      <c r="I7" s="565"/>
      <c r="J7" s="131"/>
      <c r="K7" s="565"/>
      <c r="L7" s="565"/>
      <c r="M7" s="131"/>
      <c r="N7" s="170"/>
      <c r="O7" s="131"/>
      <c r="P7" s="565"/>
      <c r="Q7" s="565"/>
      <c r="R7" s="131"/>
      <c r="S7" s="565"/>
      <c r="T7" s="565"/>
    </row>
    <row r="8" spans="1:21" s="3" customFormat="1" hidden="1" outlineLevel="1" x14ac:dyDescent="0.35">
      <c r="A8" s="633"/>
      <c r="B8" s="234"/>
      <c r="C8" s="170"/>
      <c r="D8" s="131"/>
      <c r="E8" s="569"/>
      <c r="F8" s="569"/>
      <c r="G8" s="131"/>
      <c r="H8" s="565"/>
      <c r="I8" s="565"/>
      <c r="J8" s="131"/>
      <c r="K8" s="565"/>
      <c r="L8" s="565"/>
      <c r="M8" s="131"/>
      <c r="N8" s="170"/>
      <c r="O8" s="131"/>
      <c r="P8" s="565"/>
      <c r="Q8" s="565"/>
      <c r="R8" s="131"/>
      <c r="S8" s="565"/>
      <c r="T8" s="565"/>
    </row>
    <row r="9" spans="1:21" s="3" customFormat="1" hidden="1" outlineLevel="1" x14ac:dyDescent="0.35">
      <c r="A9" s="633"/>
      <c r="B9" s="234"/>
      <c r="C9" s="170"/>
      <c r="D9" s="131"/>
      <c r="E9" s="634"/>
      <c r="F9" s="635"/>
      <c r="G9" s="131"/>
      <c r="H9" s="565"/>
      <c r="I9" s="569"/>
      <c r="J9" s="131"/>
      <c r="K9" s="565"/>
      <c r="L9" s="565"/>
      <c r="M9" s="131"/>
      <c r="N9" s="170"/>
      <c r="O9" s="131"/>
      <c r="P9" s="565"/>
      <c r="Q9" s="565"/>
      <c r="R9" s="131"/>
      <c r="S9" s="565"/>
      <c r="T9" s="565"/>
    </row>
    <row r="10" spans="1:21" ht="15" collapsed="1" thickBot="1" x14ac:dyDescent="0.4">
      <c r="C10" s="8"/>
      <c r="E10" s="656" t="s">
        <v>108</v>
      </c>
      <c r="F10" s="656"/>
      <c r="G10" s="182"/>
      <c r="H10" s="37"/>
      <c r="I10" s="181" t="s">
        <v>109</v>
      </c>
      <c r="K10" s="36"/>
      <c r="L10" s="24" t="s">
        <v>108</v>
      </c>
      <c r="M10" s="24"/>
      <c r="N10" s="16"/>
      <c r="P10" s="38"/>
      <c r="Q10" s="24" t="s">
        <v>108</v>
      </c>
      <c r="R10" s="24"/>
      <c r="S10" s="625" t="s">
        <v>108</v>
      </c>
      <c r="T10" s="625"/>
      <c r="U10" s="29"/>
    </row>
    <row r="11" spans="1:21" ht="3.5" customHeight="1" thickBot="1" x14ac:dyDescent="0.4">
      <c r="C11" s="310"/>
      <c r="D11" s="238"/>
      <c r="E11" s="238"/>
      <c r="F11" s="238"/>
      <c r="G11" s="238"/>
      <c r="H11" s="238"/>
      <c r="I11" s="238"/>
      <c r="J11" s="238"/>
      <c r="K11" s="238"/>
      <c r="L11" s="238"/>
      <c r="M11" s="238"/>
      <c r="N11" s="238"/>
      <c r="O11" s="238"/>
      <c r="P11" s="238"/>
      <c r="Q11" s="238"/>
      <c r="R11" s="238"/>
      <c r="S11" s="238"/>
      <c r="T11" s="311"/>
    </row>
    <row r="12" spans="1:21" ht="15" hidden="1" thickBot="1" x14ac:dyDescent="0.4">
      <c r="C12" s="30"/>
      <c r="D12" s="30"/>
      <c r="E12" s="30"/>
      <c r="F12" s="30"/>
      <c r="G12" s="30"/>
      <c r="H12" s="30"/>
      <c r="I12" s="229"/>
      <c r="J12" s="30"/>
      <c r="K12" s="30"/>
      <c r="L12" s="30"/>
      <c r="M12" s="30"/>
      <c r="N12" s="30"/>
      <c r="O12" s="30"/>
      <c r="P12" s="30"/>
      <c r="Q12" s="30"/>
      <c r="R12" s="30"/>
      <c r="S12" s="30"/>
      <c r="T12" s="30"/>
    </row>
    <row r="13" spans="1:21" ht="16.5" thickBot="1" x14ac:dyDescent="0.4">
      <c r="A13" s="650">
        <v>1</v>
      </c>
      <c r="B13" s="13">
        <f>A13+10</f>
        <v>11</v>
      </c>
      <c r="C13" s="644" t="str">
        <f>VLOOKUP(A13,INputs!$G$3:$O$22,9,FALSE)</f>
        <v>Please fill out Sensitivity Labels Tab</v>
      </c>
      <c r="D13" s="62"/>
      <c r="E13" s="60" t="b">
        <v>0</v>
      </c>
      <c r="F13" s="61" t="s">
        <v>201</v>
      </c>
      <c r="G13" s="62"/>
      <c r="H13" s="637"/>
      <c r="I13" s="637"/>
      <c r="J13" s="63"/>
      <c r="K13" s="77" t="b">
        <v>0</v>
      </c>
      <c r="L13" s="63" t="s">
        <v>202</v>
      </c>
      <c r="M13" s="62"/>
      <c r="N13" s="480" t="s">
        <v>203</v>
      </c>
      <c r="O13" s="62"/>
      <c r="P13" s="638" t="s">
        <v>204</v>
      </c>
      <c r="Q13" s="638"/>
      <c r="R13" s="62"/>
      <c r="S13" s="639" t="s">
        <v>205</v>
      </c>
      <c r="T13" s="640"/>
    </row>
    <row r="14" spans="1:21" ht="16" x14ac:dyDescent="0.35">
      <c r="A14" s="651"/>
      <c r="B14" s="250">
        <f>B13+1</f>
        <v>12</v>
      </c>
      <c r="C14" s="645"/>
      <c r="E14" s="64" t="b">
        <v>0</v>
      </c>
      <c r="F14" s="65" t="s">
        <v>206</v>
      </c>
      <c r="H14" s="44"/>
      <c r="I14" s="581" t="s">
        <v>108</v>
      </c>
      <c r="J14" s="581"/>
      <c r="K14" s="641" t="b">
        <v>0</v>
      </c>
      <c r="L14" s="624" t="s">
        <v>204</v>
      </c>
      <c r="N14" s="40" t="s">
        <v>109</v>
      </c>
      <c r="P14" s="45" t="b">
        <v>0</v>
      </c>
      <c r="Q14" s="44" t="s">
        <v>207</v>
      </c>
      <c r="S14" s="45" t="b">
        <v>0</v>
      </c>
      <c r="T14" s="72" t="s">
        <v>208</v>
      </c>
    </row>
    <row r="15" spans="1:21" ht="16" x14ac:dyDescent="0.35">
      <c r="A15" s="651"/>
      <c r="B15" s="250">
        <f>B14+1</f>
        <v>13</v>
      </c>
      <c r="C15" s="645"/>
      <c r="E15" s="64" t="b">
        <v>0</v>
      </c>
      <c r="F15" s="65" t="s">
        <v>209</v>
      </c>
      <c r="H15" s="45" t="b">
        <v>0</v>
      </c>
      <c r="I15" s="624" t="s">
        <v>210</v>
      </c>
      <c r="J15" s="44"/>
      <c r="K15" s="641"/>
      <c r="L15" s="624"/>
      <c r="N15" s="44"/>
      <c r="P15" s="44"/>
      <c r="Q15" s="46"/>
      <c r="S15" s="642" t="s">
        <v>211</v>
      </c>
      <c r="T15" s="643"/>
    </row>
    <row r="16" spans="1:21" x14ac:dyDescent="0.35">
      <c r="A16" s="651"/>
      <c r="B16" s="250">
        <f>B15+1</f>
        <v>14</v>
      </c>
      <c r="C16" s="645"/>
      <c r="H16" s="44"/>
      <c r="I16" s="624"/>
      <c r="J16" s="44"/>
      <c r="P16" s="45" t="b">
        <v>0</v>
      </c>
      <c r="Q16" s="44" t="s">
        <v>212</v>
      </c>
      <c r="S16" s="45" t="b">
        <v>0</v>
      </c>
      <c r="T16" s="72" t="s">
        <v>213</v>
      </c>
    </row>
    <row r="17" spans="1:20" x14ac:dyDescent="0.35">
      <c r="A17" s="651"/>
      <c r="B17" s="250">
        <f>B16+1</f>
        <v>15</v>
      </c>
      <c r="C17" s="645"/>
      <c r="H17" s="44"/>
      <c r="I17" s="44"/>
      <c r="J17" s="44"/>
      <c r="Q17" s="23" t="s">
        <v>107</v>
      </c>
      <c r="S17" s="45" t="b">
        <v>0</v>
      </c>
      <c r="T17" s="72" t="s">
        <v>214</v>
      </c>
    </row>
    <row r="18" spans="1:20" ht="15" thickBot="1" x14ac:dyDescent="0.4">
      <c r="A18" s="652"/>
      <c r="B18" s="250">
        <f>B17+1</f>
        <v>16</v>
      </c>
      <c r="C18" s="646"/>
      <c r="D18" s="67"/>
      <c r="E18" s="67"/>
      <c r="F18" s="67"/>
      <c r="G18" s="67"/>
      <c r="H18" s="74"/>
      <c r="I18" s="74"/>
      <c r="J18" s="74"/>
      <c r="K18" s="67"/>
      <c r="L18" s="67"/>
      <c r="M18" s="67"/>
      <c r="N18" s="67"/>
      <c r="O18" s="67"/>
      <c r="P18" s="67"/>
      <c r="Q18" s="68"/>
      <c r="R18" s="67"/>
      <c r="S18" s="124" t="b">
        <v>0</v>
      </c>
      <c r="T18" s="125" t="s">
        <v>215</v>
      </c>
    </row>
    <row r="19" spans="1:20" ht="15" hidden="1" thickBot="1" x14ac:dyDescent="0.4">
      <c r="C19" s="310"/>
      <c r="D19" s="238"/>
      <c r="E19" s="238"/>
      <c r="F19" s="238"/>
      <c r="G19" s="238"/>
      <c r="H19" s="238"/>
      <c r="I19" s="238"/>
      <c r="J19" s="238"/>
      <c r="K19" s="238"/>
      <c r="L19" s="238"/>
      <c r="M19" s="238"/>
      <c r="N19" s="238"/>
      <c r="O19" s="238"/>
      <c r="P19" s="238"/>
      <c r="Q19" s="238"/>
      <c r="R19" s="238"/>
      <c r="S19" s="238"/>
      <c r="T19" s="311"/>
    </row>
    <row r="20" spans="1:20" ht="3.5" customHeight="1" thickBot="1" x14ac:dyDescent="0.4">
      <c r="C20" s="310"/>
      <c r="D20" s="238"/>
      <c r="E20" s="238"/>
      <c r="F20" s="238"/>
      <c r="G20" s="238"/>
      <c r="H20" s="238"/>
      <c r="I20" s="238"/>
      <c r="J20" s="238"/>
      <c r="K20" s="238"/>
      <c r="L20" s="238"/>
      <c r="M20" s="238"/>
      <c r="N20" s="238"/>
      <c r="O20" s="238"/>
      <c r="P20" s="238"/>
      <c r="Q20" s="238"/>
      <c r="R20" s="238"/>
      <c r="S20" s="238"/>
      <c r="T20" s="311"/>
    </row>
    <row r="21" spans="1:20" ht="15" hidden="1" thickBot="1" x14ac:dyDescent="0.4">
      <c r="C21" s="310"/>
      <c r="D21" s="238"/>
      <c r="E21" s="238"/>
      <c r="F21" s="238"/>
      <c r="G21" s="238"/>
      <c r="H21" s="238"/>
      <c r="I21" s="238"/>
      <c r="J21" s="238"/>
      <c r="K21" s="238"/>
      <c r="L21" s="238"/>
      <c r="M21" s="238"/>
      <c r="N21" s="238"/>
      <c r="O21" s="238"/>
      <c r="P21" s="238"/>
      <c r="Q21" s="238"/>
      <c r="R21" s="238"/>
      <c r="S21" s="238"/>
      <c r="T21" s="311"/>
    </row>
    <row r="22" spans="1:20" ht="16.5" customHeight="1" thickBot="1" x14ac:dyDescent="0.4">
      <c r="A22" s="547">
        <f>A13+1</f>
        <v>2</v>
      </c>
      <c r="B22" s="13">
        <f>B13+10</f>
        <v>21</v>
      </c>
      <c r="C22" s="644" t="str">
        <f>VLOOKUP(A22,INputs!$G$3:$O$22,9,FALSE)</f>
        <v>Please fill out Sensitivity Labels Tab</v>
      </c>
      <c r="D22" s="62"/>
      <c r="E22" s="60" t="b">
        <v>0</v>
      </c>
      <c r="F22" s="61" t="s">
        <v>201</v>
      </c>
      <c r="G22" s="62"/>
      <c r="H22" s="637"/>
      <c r="I22" s="649"/>
      <c r="J22" s="63"/>
      <c r="K22" s="77" t="b">
        <v>0</v>
      </c>
      <c r="L22" s="63" t="s">
        <v>202</v>
      </c>
      <c r="M22" s="62"/>
      <c r="N22" s="480" t="s">
        <v>203</v>
      </c>
      <c r="O22" s="62"/>
      <c r="P22" s="638" t="s">
        <v>204</v>
      </c>
      <c r="Q22" s="638"/>
      <c r="R22" s="62"/>
      <c r="S22" s="639" t="s">
        <v>205</v>
      </c>
      <c r="T22" s="640"/>
    </row>
    <row r="23" spans="1:20" ht="16" x14ac:dyDescent="0.35">
      <c r="A23" s="548"/>
      <c r="B23" s="242">
        <f>B22+1</f>
        <v>22</v>
      </c>
      <c r="C23" s="645"/>
      <c r="E23" s="64" t="b">
        <v>0</v>
      </c>
      <c r="F23" s="65" t="s">
        <v>206</v>
      </c>
      <c r="H23" s="44"/>
      <c r="I23" s="581" t="s">
        <v>108</v>
      </c>
      <c r="J23" s="581"/>
      <c r="K23" s="641" t="b">
        <v>0</v>
      </c>
      <c r="L23" s="624" t="s">
        <v>204</v>
      </c>
      <c r="N23" s="40" t="s">
        <v>109</v>
      </c>
      <c r="P23" s="45" t="b">
        <v>0</v>
      </c>
      <c r="Q23" s="44" t="s">
        <v>207</v>
      </c>
      <c r="S23" s="45" t="b">
        <v>0</v>
      </c>
      <c r="T23" s="72" t="s">
        <v>208</v>
      </c>
    </row>
    <row r="24" spans="1:20" ht="16" x14ac:dyDescent="0.35">
      <c r="A24" s="548"/>
      <c r="B24" s="242">
        <f>B23+1</f>
        <v>23</v>
      </c>
      <c r="C24" s="645"/>
      <c r="E24" s="64" t="b">
        <v>0</v>
      </c>
      <c r="F24" s="65" t="s">
        <v>209</v>
      </c>
      <c r="H24" s="45" t="b">
        <v>0</v>
      </c>
      <c r="I24" s="624" t="s">
        <v>210</v>
      </c>
      <c r="J24" s="44"/>
      <c r="K24" s="641"/>
      <c r="L24" s="624"/>
      <c r="N24" s="44"/>
      <c r="P24" s="44"/>
      <c r="Q24" s="46"/>
      <c r="S24" s="642" t="s">
        <v>211</v>
      </c>
      <c r="T24" s="643"/>
    </row>
    <row r="25" spans="1:20" x14ac:dyDescent="0.35">
      <c r="A25" s="548"/>
      <c r="B25" s="242">
        <f>B24+1</f>
        <v>24</v>
      </c>
      <c r="C25" s="645"/>
      <c r="H25" s="44"/>
      <c r="I25" s="624"/>
      <c r="J25" s="44"/>
      <c r="P25" s="45" t="b">
        <v>0</v>
      </c>
      <c r="Q25" s="44" t="s">
        <v>212</v>
      </c>
      <c r="S25" s="45" t="b">
        <v>0</v>
      </c>
      <c r="T25" s="72" t="s">
        <v>213</v>
      </c>
    </row>
    <row r="26" spans="1:20" x14ac:dyDescent="0.35">
      <c r="A26" s="548"/>
      <c r="B26" s="242">
        <f>B25+1</f>
        <v>25</v>
      </c>
      <c r="C26" s="645"/>
      <c r="H26" s="44"/>
      <c r="I26" s="44"/>
      <c r="J26" s="44"/>
      <c r="Q26" s="23" t="s">
        <v>107</v>
      </c>
      <c r="S26" s="45" t="b">
        <v>0</v>
      </c>
      <c r="T26" s="72" t="s">
        <v>214</v>
      </c>
    </row>
    <row r="27" spans="1:20" ht="15" thickBot="1" x14ac:dyDescent="0.4">
      <c r="A27" s="549"/>
      <c r="B27" s="242">
        <f>B26+1</f>
        <v>26</v>
      </c>
      <c r="C27" s="646"/>
      <c r="D27" s="67"/>
      <c r="E27" s="67"/>
      <c r="F27" s="67"/>
      <c r="G27" s="67"/>
      <c r="H27" s="74"/>
      <c r="I27" s="74"/>
      <c r="J27" s="74"/>
      <c r="K27" s="67"/>
      <c r="L27" s="67"/>
      <c r="M27" s="67"/>
      <c r="N27" s="67"/>
      <c r="O27" s="67"/>
      <c r="P27" s="67"/>
      <c r="Q27" s="68"/>
      <c r="R27" s="67"/>
      <c r="S27" s="124" t="b">
        <v>0</v>
      </c>
      <c r="T27" s="125" t="s">
        <v>215</v>
      </c>
    </row>
    <row r="28" spans="1:20" ht="15" hidden="1" thickBot="1" x14ac:dyDescent="0.4">
      <c r="C28" s="310"/>
      <c r="D28" s="238"/>
      <c r="E28" s="238"/>
      <c r="F28" s="238"/>
      <c r="G28" s="238"/>
      <c r="H28" s="238"/>
      <c r="I28" s="238"/>
      <c r="J28" s="238"/>
      <c r="K28" s="238"/>
      <c r="L28" s="238"/>
      <c r="M28" s="238"/>
      <c r="N28" s="238"/>
      <c r="O28" s="238"/>
      <c r="P28" s="238"/>
      <c r="Q28" s="238"/>
      <c r="R28" s="238"/>
      <c r="S28" s="238"/>
      <c r="T28" s="311"/>
    </row>
    <row r="29" spans="1:20" ht="3.5" customHeight="1" thickBot="1" x14ac:dyDescent="0.4">
      <c r="C29" s="310"/>
      <c r="D29" s="238"/>
      <c r="E29" s="238"/>
      <c r="F29" s="238"/>
      <c r="G29" s="238"/>
      <c r="H29" s="238"/>
      <c r="I29" s="238"/>
      <c r="J29" s="238"/>
      <c r="K29" s="238"/>
      <c r="L29" s="238"/>
      <c r="M29" s="238"/>
      <c r="N29" s="238"/>
      <c r="O29" s="238"/>
      <c r="P29" s="238"/>
      <c r="Q29" s="238"/>
      <c r="R29" s="238"/>
      <c r="S29" s="238"/>
      <c r="T29" s="311"/>
    </row>
    <row r="30" spans="1:20" ht="15" hidden="1" thickBot="1" x14ac:dyDescent="0.4">
      <c r="C30" s="310"/>
      <c r="D30" s="238"/>
      <c r="E30" s="238"/>
      <c r="F30" s="238"/>
      <c r="G30" s="238"/>
      <c r="H30" s="238"/>
      <c r="I30" s="238"/>
      <c r="J30" s="238"/>
      <c r="K30" s="238"/>
      <c r="L30" s="238"/>
      <c r="M30" s="238"/>
      <c r="N30" s="238"/>
      <c r="O30" s="238"/>
      <c r="P30" s="238"/>
      <c r="Q30" s="238"/>
      <c r="R30" s="238"/>
      <c r="S30" s="238"/>
      <c r="T30" s="311"/>
    </row>
    <row r="31" spans="1:20" ht="16.5" customHeight="1" thickBot="1" x14ac:dyDescent="0.4">
      <c r="A31" s="547">
        <f>A22+1</f>
        <v>3</v>
      </c>
      <c r="B31" s="13">
        <f>B22+10</f>
        <v>31</v>
      </c>
      <c r="C31" s="644" t="str">
        <f>VLOOKUP(A31,INputs!$G$3:$O$22,9,FALSE)</f>
        <v>Please fill out Sensitivity Labels Tab</v>
      </c>
      <c r="D31" s="62"/>
      <c r="E31" s="60" t="b">
        <v>0</v>
      </c>
      <c r="F31" s="61" t="s">
        <v>201</v>
      </c>
      <c r="G31" s="62"/>
      <c r="H31" s="637"/>
      <c r="I31" s="637"/>
      <c r="J31" s="63"/>
      <c r="K31" s="77" t="b">
        <v>0</v>
      </c>
      <c r="L31" s="63" t="s">
        <v>202</v>
      </c>
      <c r="M31" s="62"/>
      <c r="N31" s="480" t="s">
        <v>203</v>
      </c>
      <c r="O31" s="62"/>
      <c r="P31" s="638" t="s">
        <v>204</v>
      </c>
      <c r="Q31" s="638"/>
      <c r="R31" s="62"/>
      <c r="S31" s="639" t="s">
        <v>205</v>
      </c>
      <c r="T31" s="640"/>
    </row>
    <row r="32" spans="1:20" ht="16" x14ac:dyDescent="0.35">
      <c r="A32" s="548"/>
      <c r="B32" s="242">
        <f>B31+1</f>
        <v>32</v>
      </c>
      <c r="C32" s="645"/>
      <c r="E32" s="64" t="b">
        <v>0</v>
      </c>
      <c r="F32" s="65" t="s">
        <v>206</v>
      </c>
      <c r="H32" s="44"/>
      <c r="I32" s="581" t="s">
        <v>108</v>
      </c>
      <c r="J32" s="581"/>
      <c r="K32" s="641" t="b">
        <v>0</v>
      </c>
      <c r="L32" s="624" t="s">
        <v>204</v>
      </c>
      <c r="N32" s="40" t="s">
        <v>109</v>
      </c>
      <c r="P32" s="45" t="b">
        <v>0</v>
      </c>
      <c r="Q32" s="44" t="s">
        <v>207</v>
      </c>
      <c r="S32" s="45" t="b">
        <v>0</v>
      </c>
      <c r="T32" s="72" t="s">
        <v>208</v>
      </c>
    </row>
    <row r="33" spans="1:20" ht="16" x14ac:dyDescent="0.35">
      <c r="A33" s="548"/>
      <c r="B33" s="242">
        <f>B32+1</f>
        <v>33</v>
      </c>
      <c r="C33" s="645"/>
      <c r="E33" s="64" t="b">
        <v>0</v>
      </c>
      <c r="F33" s="65" t="s">
        <v>209</v>
      </c>
      <c r="H33" s="45" t="b">
        <v>0</v>
      </c>
      <c r="I33" s="624" t="s">
        <v>210</v>
      </c>
      <c r="J33" s="44"/>
      <c r="K33" s="641"/>
      <c r="L33" s="624"/>
      <c r="N33" s="44"/>
      <c r="P33" s="44"/>
      <c r="Q33" s="46"/>
      <c r="S33" s="642" t="s">
        <v>211</v>
      </c>
      <c r="T33" s="643"/>
    </row>
    <row r="34" spans="1:20" x14ac:dyDescent="0.35">
      <c r="A34" s="548"/>
      <c r="B34" s="242">
        <f>B33+1</f>
        <v>34</v>
      </c>
      <c r="C34" s="645"/>
      <c r="H34" s="44"/>
      <c r="I34" s="624"/>
      <c r="J34" s="44"/>
      <c r="P34" s="45" t="b">
        <v>0</v>
      </c>
      <c r="Q34" s="44" t="s">
        <v>212</v>
      </c>
      <c r="S34" s="45" t="b">
        <v>0</v>
      </c>
      <c r="T34" s="72" t="s">
        <v>213</v>
      </c>
    </row>
    <row r="35" spans="1:20" x14ac:dyDescent="0.35">
      <c r="A35" s="548"/>
      <c r="B35" s="242">
        <f>B34+1</f>
        <v>35</v>
      </c>
      <c r="C35" s="645"/>
      <c r="H35" s="44"/>
      <c r="I35" s="44"/>
      <c r="J35" s="44"/>
      <c r="Q35" s="23" t="s">
        <v>107</v>
      </c>
      <c r="S35" s="45" t="b">
        <v>0</v>
      </c>
      <c r="T35" s="72" t="s">
        <v>214</v>
      </c>
    </row>
    <row r="36" spans="1:20" ht="15" thickBot="1" x14ac:dyDescent="0.4">
      <c r="A36" s="549"/>
      <c r="B36" s="242">
        <f>B35+1</f>
        <v>36</v>
      </c>
      <c r="C36" s="646"/>
      <c r="D36" s="67"/>
      <c r="E36" s="67"/>
      <c r="F36" s="67"/>
      <c r="G36" s="67"/>
      <c r="H36" s="74"/>
      <c r="I36" s="74"/>
      <c r="J36" s="74"/>
      <c r="K36" s="67"/>
      <c r="L36" s="67"/>
      <c r="M36" s="67"/>
      <c r="N36" s="67"/>
      <c r="O36" s="67"/>
      <c r="P36" s="67"/>
      <c r="Q36" s="68"/>
      <c r="R36" s="67"/>
      <c r="S36" s="124" t="b">
        <v>0</v>
      </c>
      <c r="T36" s="125" t="s">
        <v>215</v>
      </c>
    </row>
    <row r="37" spans="1:20" ht="15" hidden="1" thickBot="1" x14ac:dyDescent="0.4">
      <c r="C37" s="310"/>
      <c r="D37" s="238"/>
      <c r="E37" s="238"/>
      <c r="F37" s="238"/>
      <c r="G37" s="238"/>
      <c r="H37" s="238"/>
      <c r="I37" s="238"/>
      <c r="J37" s="238"/>
      <c r="K37" s="238"/>
      <c r="L37" s="238"/>
      <c r="M37" s="238"/>
      <c r="N37" s="238"/>
      <c r="O37" s="238"/>
      <c r="P37" s="238"/>
      <c r="Q37" s="238"/>
      <c r="R37" s="238"/>
      <c r="S37" s="238"/>
      <c r="T37" s="311"/>
    </row>
    <row r="38" spans="1:20" ht="3.5" customHeight="1" thickBot="1" x14ac:dyDescent="0.4">
      <c r="C38" s="310"/>
      <c r="D38" s="238"/>
      <c r="E38" s="238"/>
      <c r="F38" s="238"/>
      <c r="G38" s="238"/>
      <c r="H38" s="238"/>
      <c r="I38" s="238"/>
      <c r="J38" s="238"/>
      <c r="K38" s="238"/>
      <c r="L38" s="238"/>
      <c r="M38" s="238"/>
      <c r="N38" s="238"/>
      <c r="O38" s="238"/>
      <c r="P38" s="238"/>
      <c r="Q38" s="238"/>
      <c r="R38" s="238"/>
      <c r="S38" s="238"/>
      <c r="T38" s="311"/>
    </row>
    <row r="39" spans="1:20" ht="15" hidden="1" thickBot="1" x14ac:dyDescent="0.4">
      <c r="C39" s="310"/>
      <c r="D39" s="238"/>
      <c r="E39" s="238"/>
      <c r="F39" s="238"/>
      <c r="G39" s="238"/>
      <c r="H39" s="238"/>
      <c r="I39" s="238"/>
      <c r="J39" s="238"/>
      <c r="K39" s="238"/>
      <c r="L39" s="238"/>
      <c r="M39" s="238"/>
      <c r="N39" s="238"/>
      <c r="O39" s="238"/>
      <c r="P39" s="238"/>
      <c r="Q39" s="238"/>
      <c r="R39" s="238"/>
      <c r="S39" s="238"/>
      <c r="T39" s="311"/>
    </row>
    <row r="40" spans="1:20" ht="16.5" thickBot="1" x14ac:dyDescent="0.4">
      <c r="A40" s="547">
        <f>A31+1</f>
        <v>4</v>
      </c>
      <c r="B40" s="13">
        <f>B31+10</f>
        <v>41</v>
      </c>
      <c r="C40" s="644" t="str">
        <f>VLOOKUP(A40,INputs!$G$3:$O$22,9,FALSE)</f>
        <v>Please fill out Sensitivity Labels Tab</v>
      </c>
      <c r="E40" s="64" t="b">
        <v>0</v>
      </c>
      <c r="F40" s="65" t="s">
        <v>201</v>
      </c>
      <c r="H40" s="649"/>
      <c r="I40" s="649"/>
      <c r="J40" s="44"/>
      <c r="K40" s="45" t="b">
        <v>0</v>
      </c>
      <c r="L40" s="44" t="s">
        <v>202</v>
      </c>
      <c r="M40" s="62"/>
      <c r="N40" s="480" t="s">
        <v>203</v>
      </c>
      <c r="O40" s="62"/>
      <c r="P40" s="655" t="s">
        <v>204</v>
      </c>
      <c r="Q40" s="655"/>
      <c r="S40" s="642" t="s">
        <v>205</v>
      </c>
      <c r="T40" s="643"/>
    </row>
    <row r="41" spans="1:20" ht="16" x14ac:dyDescent="0.35">
      <c r="A41" s="548"/>
      <c r="B41" s="242">
        <f>B40+1</f>
        <v>42</v>
      </c>
      <c r="C41" s="645"/>
      <c r="E41" s="64" t="b">
        <v>0</v>
      </c>
      <c r="F41" s="65" t="s">
        <v>206</v>
      </c>
      <c r="H41" s="44"/>
      <c r="I41" s="581" t="s">
        <v>108</v>
      </c>
      <c r="J41" s="581"/>
      <c r="K41" s="641" t="b">
        <v>0</v>
      </c>
      <c r="L41" s="624" t="s">
        <v>204</v>
      </c>
      <c r="N41" s="40" t="s">
        <v>109</v>
      </c>
      <c r="P41" s="45" t="b">
        <v>0</v>
      </c>
      <c r="Q41" s="44" t="s">
        <v>207</v>
      </c>
      <c r="S41" s="45" t="b">
        <v>0</v>
      </c>
      <c r="T41" s="72" t="s">
        <v>208</v>
      </c>
    </row>
    <row r="42" spans="1:20" ht="16" x14ac:dyDescent="0.35">
      <c r="A42" s="548"/>
      <c r="B42" s="242">
        <f>B41+1</f>
        <v>43</v>
      </c>
      <c r="C42" s="645"/>
      <c r="E42" s="64" t="b">
        <v>0</v>
      </c>
      <c r="F42" s="65" t="s">
        <v>209</v>
      </c>
      <c r="H42" s="45" t="b">
        <v>0</v>
      </c>
      <c r="I42" s="624" t="s">
        <v>210</v>
      </c>
      <c r="J42" s="44"/>
      <c r="K42" s="641"/>
      <c r="L42" s="657"/>
      <c r="N42" s="44"/>
      <c r="P42" s="44"/>
      <c r="Q42" s="46"/>
      <c r="S42" s="642" t="s">
        <v>211</v>
      </c>
      <c r="T42" s="643"/>
    </row>
    <row r="43" spans="1:20" x14ac:dyDescent="0.35">
      <c r="A43" s="548"/>
      <c r="B43" s="242">
        <f>B42+1</f>
        <v>44</v>
      </c>
      <c r="C43" s="645"/>
      <c r="H43" s="44"/>
      <c r="I43" s="624"/>
      <c r="J43" s="44"/>
      <c r="P43" s="45" t="b">
        <v>0</v>
      </c>
      <c r="Q43" s="44" t="s">
        <v>212</v>
      </c>
      <c r="S43" s="45" t="b">
        <v>0</v>
      </c>
      <c r="T43" s="72" t="s">
        <v>213</v>
      </c>
    </row>
    <row r="44" spans="1:20" x14ac:dyDescent="0.35">
      <c r="A44" s="548"/>
      <c r="B44" s="242">
        <f>B43+1</f>
        <v>45</v>
      </c>
      <c r="C44" s="645"/>
      <c r="H44" s="44"/>
      <c r="I44" s="44"/>
      <c r="J44" s="44"/>
      <c r="Q44" s="23" t="s">
        <v>107</v>
      </c>
      <c r="S44" s="45" t="b">
        <v>0</v>
      </c>
      <c r="T44" s="72" t="s">
        <v>214</v>
      </c>
    </row>
    <row r="45" spans="1:20" ht="15" thickBot="1" x14ac:dyDescent="0.4">
      <c r="A45" s="549"/>
      <c r="B45" s="242">
        <f>B44+1</f>
        <v>46</v>
      </c>
      <c r="C45" s="646"/>
      <c r="D45" s="67"/>
      <c r="E45" s="67"/>
      <c r="F45" s="67"/>
      <c r="G45" s="67"/>
      <c r="H45" s="74"/>
      <c r="I45" s="74"/>
      <c r="J45" s="74"/>
      <c r="K45" s="67"/>
      <c r="L45" s="67"/>
      <c r="M45" s="67"/>
      <c r="N45" s="67"/>
      <c r="O45" s="67"/>
      <c r="P45" s="67"/>
      <c r="Q45" s="68"/>
      <c r="R45" s="67"/>
      <c r="S45" s="124" t="b">
        <v>0</v>
      </c>
      <c r="T45" s="125" t="s">
        <v>215</v>
      </c>
    </row>
    <row r="46" spans="1:20" ht="15" hidden="1" thickBot="1" x14ac:dyDescent="0.4">
      <c r="C46" s="310"/>
      <c r="D46" s="238"/>
      <c r="E46" s="238"/>
      <c r="F46" s="238"/>
      <c r="G46" s="238"/>
      <c r="H46" s="238"/>
      <c r="I46" s="238"/>
      <c r="J46" s="238"/>
      <c r="K46" s="238"/>
      <c r="L46" s="238"/>
      <c r="M46" s="238"/>
      <c r="N46" s="238"/>
      <c r="O46" s="238"/>
      <c r="P46" s="238"/>
      <c r="Q46" s="238"/>
      <c r="R46" s="238"/>
      <c r="S46" s="238"/>
      <c r="T46" s="311"/>
    </row>
    <row r="47" spans="1:20" ht="3.5" customHeight="1" thickBot="1" x14ac:dyDescent="0.4">
      <c r="C47" s="310"/>
      <c r="D47" s="238"/>
      <c r="E47" s="238"/>
      <c r="F47" s="238"/>
      <c r="G47" s="238"/>
      <c r="H47" s="238"/>
      <c r="I47" s="238"/>
      <c r="J47" s="238"/>
      <c r="K47" s="238"/>
      <c r="L47" s="238"/>
      <c r="M47" s="238"/>
      <c r="N47" s="238"/>
      <c r="O47" s="238"/>
      <c r="P47" s="238"/>
      <c r="Q47" s="238"/>
      <c r="R47" s="238"/>
      <c r="S47" s="238"/>
      <c r="T47" s="311"/>
    </row>
    <row r="48" spans="1:20" ht="15" hidden="1" thickBot="1" x14ac:dyDescent="0.4">
      <c r="C48" s="310"/>
      <c r="D48" s="238"/>
      <c r="E48" s="238"/>
      <c r="F48" s="238"/>
      <c r="G48" s="238"/>
      <c r="H48" s="238"/>
      <c r="I48" s="238"/>
      <c r="J48" s="238"/>
      <c r="K48" s="238"/>
      <c r="L48" s="238"/>
      <c r="M48" s="238"/>
      <c r="N48" s="238"/>
      <c r="O48" s="238"/>
      <c r="P48" s="238"/>
      <c r="Q48" s="238"/>
      <c r="R48" s="238"/>
      <c r="S48" s="238"/>
      <c r="T48" s="311"/>
    </row>
    <row r="49" spans="1:20" ht="16.5" thickBot="1" x14ac:dyDescent="0.4">
      <c r="A49" s="547">
        <f>A40+1</f>
        <v>5</v>
      </c>
      <c r="B49" s="13">
        <f>B40+10</f>
        <v>51</v>
      </c>
      <c r="C49" s="644" t="str">
        <f>VLOOKUP(A49,INputs!$G$3:$O$22,9,FALSE)</f>
        <v>Please fill out Sensitivity Labels Tab</v>
      </c>
      <c r="D49" s="62"/>
      <c r="E49" s="60" t="b">
        <v>0</v>
      </c>
      <c r="F49" s="61" t="s">
        <v>201</v>
      </c>
      <c r="G49" s="62"/>
      <c r="H49" s="637"/>
      <c r="I49" s="637"/>
      <c r="J49" s="63"/>
      <c r="K49" s="77" t="b">
        <v>0</v>
      </c>
      <c r="L49" s="63" t="s">
        <v>202</v>
      </c>
      <c r="M49" s="62"/>
      <c r="N49" s="480" t="s">
        <v>203</v>
      </c>
      <c r="O49" s="62"/>
      <c r="P49" s="638" t="s">
        <v>204</v>
      </c>
      <c r="Q49" s="638"/>
      <c r="R49" s="62"/>
      <c r="S49" s="639" t="s">
        <v>205</v>
      </c>
      <c r="T49" s="640"/>
    </row>
    <row r="50" spans="1:20" ht="16" x14ac:dyDescent="0.35">
      <c r="A50" s="548"/>
      <c r="B50" s="242">
        <f>B49+1</f>
        <v>52</v>
      </c>
      <c r="C50" s="645"/>
      <c r="E50" s="64" t="b">
        <v>0</v>
      </c>
      <c r="F50" s="65" t="s">
        <v>206</v>
      </c>
      <c r="H50" s="44"/>
      <c r="I50" s="581" t="s">
        <v>108</v>
      </c>
      <c r="J50" s="581"/>
      <c r="K50" s="641" t="b">
        <v>0</v>
      </c>
      <c r="L50" s="624" t="s">
        <v>204</v>
      </c>
      <c r="N50" s="40" t="s">
        <v>109</v>
      </c>
      <c r="P50" s="45" t="b">
        <v>0</v>
      </c>
      <c r="Q50" s="44" t="s">
        <v>207</v>
      </c>
      <c r="S50" s="45" t="b">
        <v>0</v>
      </c>
      <c r="T50" s="72" t="s">
        <v>208</v>
      </c>
    </row>
    <row r="51" spans="1:20" ht="16" x14ac:dyDescent="0.35">
      <c r="A51" s="548"/>
      <c r="B51" s="242">
        <f>B50+1</f>
        <v>53</v>
      </c>
      <c r="C51" s="645"/>
      <c r="E51" s="64" t="b">
        <v>0</v>
      </c>
      <c r="F51" s="65" t="s">
        <v>209</v>
      </c>
      <c r="H51" s="45" t="b">
        <v>0</v>
      </c>
      <c r="I51" s="624" t="s">
        <v>210</v>
      </c>
      <c r="J51" s="44"/>
      <c r="K51" s="641"/>
      <c r="L51" s="624"/>
      <c r="N51" s="44"/>
      <c r="P51" s="44"/>
      <c r="Q51" s="46"/>
      <c r="S51" s="642" t="s">
        <v>211</v>
      </c>
      <c r="T51" s="643"/>
    </row>
    <row r="52" spans="1:20" x14ac:dyDescent="0.35">
      <c r="A52" s="548"/>
      <c r="B52" s="242">
        <f>B51+1</f>
        <v>54</v>
      </c>
      <c r="C52" s="645"/>
      <c r="H52" s="44"/>
      <c r="I52" s="624"/>
      <c r="J52" s="44"/>
      <c r="P52" s="45" t="b">
        <v>0</v>
      </c>
      <c r="Q52" s="44" t="s">
        <v>212</v>
      </c>
      <c r="S52" s="45" t="b">
        <v>0</v>
      </c>
      <c r="T52" s="72" t="s">
        <v>213</v>
      </c>
    </row>
    <row r="53" spans="1:20" x14ac:dyDescent="0.35">
      <c r="A53" s="548"/>
      <c r="B53" s="242">
        <f>B52+1</f>
        <v>55</v>
      </c>
      <c r="C53" s="645"/>
      <c r="H53" s="44"/>
      <c r="I53" s="44"/>
      <c r="J53" s="44"/>
      <c r="Q53" s="23" t="s">
        <v>107</v>
      </c>
      <c r="S53" s="45" t="b">
        <v>0</v>
      </c>
      <c r="T53" s="72" t="s">
        <v>214</v>
      </c>
    </row>
    <row r="54" spans="1:20" ht="15" thickBot="1" x14ac:dyDescent="0.4">
      <c r="A54" s="549"/>
      <c r="B54" s="242">
        <f>B53+1</f>
        <v>56</v>
      </c>
      <c r="C54" s="646"/>
      <c r="D54" s="67"/>
      <c r="E54" s="67"/>
      <c r="F54" s="67"/>
      <c r="G54" s="67"/>
      <c r="H54" s="74"/>
      <c r="I54" s="74"/>
      <c r="J54" s="74"/>
      <c r="K54" s="67"/>
      <c r="L54" s="67"/>
      <c r="M54" s="67"/>
      <c r="N54" s="67"/>
      <c r="O54" s="67"/>
      <c r="P54" s="67"/>
      <c r="Q54" s="68"/>
      <c r="R54" s="67"/>
      <c r="S54" s="124" t="b">
        <v>0</v>
      </c>
      <c r="T54" s="125" t="s">
        <v>215</v>
      </c>
    </row>
    <row r="55" spans="1:20" ht="15" hidden="1" thickBot="1" x14ac:dyDescent="0.4">
      <c r="C55" s="310"/>
      <c r="D55" s="238"/>
      <c r="E55" s="238"/>
      <c r="F55" s="238"/>
      <c r="G55" s="238"/>
      <c r="H55" s="238"/>
      <c r="I55" s="238"/>
      <c r="J55" s="238"/>
      <c r="K55" s="238"/>
      <c r="L55" s="238"/>
      <c r="M55" s="238"/>
      <c r="N55" s="238"/>
      <c r="O55" s="238"/>
      <c r="P55" s="238"/>
      <c r="Q55" s="238"/>
      <c r="R55" s="238"/>
      <c r="S55" s="238"/>
      <c r="T55" s="311"/>
    </row>
    <row r="56" spans="1:20" ht="3.5" customHeight="1" thickBot="1" x14ac:dyDescent="0.4">
      <c r="C56" s="310"/>
      <c r="D56" s="238"/>
      <c r="E56" s="238"/>
      <c r="F56" s="238"/>
      <c r="G56" s="238"/>
      <c r="H56" s="238"/>
      <c r="I56" s="238"/>
      <c r="J56" s="238"/>
      <c r="K56" s="238"/>
      <c r="L56" s="238"/>
      <c r="M56" s="238"/>
      <c r="N56" s="238"/>
      <c r="O56" s="238"/>
      <c r="P56" s="238"/>
      <c r="Q56" s="238"/>
      <c r="R56" s="238"/>
      <c r="S56" s="238"/>
      <c r="T56" s="311"/>
    </row>
    <row r="57" spans="1:20" ht="15" hidden="1" thickBot="1" x14ac:dyDescent="0.4">
      <c r="C57" s="310"/>
      <c r="D57" s="238"/>
      <c r="E57" s="238"/>
      <c r="F57" s="238"/>
      <c r="G57" s="238"/>
      <c r="H57" s="238"/>
      <c r="I57" s="238"/>
      <c r="J57" s="238"/>
      <c r="K57" s="238"/>
      <c r="L57" s="238"/>
      <c r="M57" s="238"/>
      <c r="N57" s="238"/>
      <c r="O57" s="238"/>
      <c r="P57" s="238"/>
      <c r="Q57" s="238"/>
      <c r="R57" s="238"/>
      <c r="S57" s="238"/>
      <c r="T57" s="311"/>
    </row>
    <row r="58" spans="1:20" ht="16.5" thickBot="1" x14ac:dyDescent="0.4">
      <c r="A58" s="547">
        <f>A49+1</f>
        <v>6</v>
      </c>
      <c r="B58" s="13">
        <f>B49+10</f>
        <v>61</v>
      </c>
      <c r="C58" s="644" t="str">
        <f>VLOOKUP(A58,INputs!$G$3:$O$22,9,FALSE)</f>
        <v>Please fill out Sensitivity Labels Tab</v>
      </c>
      <c r="D58" s="62"/>
      <c r="E58" s="60" t="b">
        <v>0</v>
      </c>
      <c r="F58" s="61" t="s">
        <v>201</v>
      </c>
      <c r="G58" s="62"/>
      <c r="H58" s="637"/>
      <c r="I58" s="637"/>
      <c r="J58" s="63"/>
      <c r="K58" s="77" t="b">
        <v>0</v>
      </c>
      <c r="L58" s="63" t="s">
        <v>202</v>
      </c>
      <c r="M58" s="62"/>
      <c r="N58" s="480" t="s">
        <v>203</v>
      </c>
      <c r="O58" s="62"/>
      <c r="P58" s="638" t="s">
        <v>204</v>
      </c>
      <c r="Q58" s="638"/>
      <c r="R58" s="62"/>
      <c r="S58" s="639" t="s">
        <v>205</v>
      </c>
      <c r="T58" s="640"/>
    </row>
    <row r="59" spans="1:20" ht="16" x14ac:dyDescent="0.35">
      <c r="A59" s="548"/>
      <c r="B59" s="242">
        <f>B58+1</f>
        <v>62</v>
      </c>
      <c r="C59" s="645"/>
      <c r="E59" s="64" t="b">
        <v>0</v>
      </c>
      <c r="F59" s="65" t="s">
        <v>206</v>
      </c>
      <c r="H59" s="44"/>
      <c r="I59" s="581" t="s">
        <v>108</v>
      </c>
      <c r="J59" s="581"/>
      <c r="K59" s="641" t="b">
        <v>0</v>
      </c>
      <c r="L59" s="624" t="s">
        <v>204</v>
      </c>
      <c r="N59" s="40" t="s">
        <v>109</v>
      </c>
      <c r="P59" s="45" t="b">
        <v>0</v>
      </c>
      <c r="Q59" s="44" t="s">
        <v>207</v>
      </c>
      <c r="S59" s="45" t="b">
        <v>0</v>
      </c>
      <c r="T59" s="72" t="s">
        <v>208</v>
      </c>
    </row>
    <row r="60" spans="1:20" ht="16" x14ac:dyDescent="0.35">
      <c r="A60" s="548"/>
      <c r="B60" s="242">
        <f>B59+1</f>
        <v>63</v>
      </c>
      <c r="C60" s="645"/>
      <c r="E60" s="64" t="b">
        <v>0</v>
      </c>
      <c r="F60" s="65" t="s">
        <v>209</v>
      </c>
      <c r="H60" s="45" t="b">
        <v>0</v>
      </c>
      <c r="I60" s="624" t="s">
        <v>210</v>
      </c>
      <c r="J60" s="44"/>
      <c r="K60" s="641"/>
      <c r="L60" s="624"/>
      <c r="N60" s="44"/>
      <c r="P60" s="44"/>
      <c r="Q60" s="46"/>
      <c r="S60" s="642" t="s">
        <v>211</v>
      </c>
      <c r="T60" s="643"/>
    </row>
    <row r="61" spans="1:20" x14ac:dyDescent="0.35">
      <c r="A61" s="548"/>
      <c r="B61" s="242">
        <f>B60+1</f>
        <v>64</v>
      </c>
      <c r="C61" s="645"/>
      <c r="H61" s="44"/>
      <c r="I61" s="624"/>
      <c r="J61" s="44"/>
      <c r="P61" s="45" t="b">
        <v>0</v>
      </c>
      <c r="Q61" s="44" t="s">
        <v>212</v>
      </c>
      <c r="S61" s="45" t="b">
        <v>0</v>
      </c>
      <c r="T61" s="72" t="s">
        <v>213</v>
      </c>
    </row>
    <row r="62" spans="1:20" x14ac:dyDescent="0.35">
      <c r="A62" s="548"/>
      <c r="B62" s="242">
        <f>B61+1</f>
        <v>65</v>
      </c>
      <c r="C62" s="645"/>
      <c r="H62" s="44"/>
      <c r="I62" s="44"/>
      <c r="J62" s="44"/>
      <c r="Q62" s="23" t="s">
        <v>107</v>
      </c>
      <c r="S62" s="45" t="b">
        <v>0</v>
      </c>
      <c r="T62" s="72" t="s">
        <v>214</v>
      </c>
    </row>
    <row r="63" spans="1:20" ht="15" thickBot="1" x14ac:dyDescent="0.4">
      <c r="A63" s="549"/>
      <c r="B63" s="242">
        <f>B62+1</f>
        <v>66</v>
      </c>
      <c r="C63" s="646"/>
      <c r="D63" s="67"/>
      <c r="E63" s="67"/>
      <c r="F63" s="67"/>
      <c r="G63" s="67"/>
      <c r="H63" s="74"/>
      <c r="I63" s="74"/>
      <c r="J63" s="74"/>
      <c r="K63" s="67"/>
      <c r="L63" s="67"/>
      <c r="M63" s="67"/>
      <c r="N63" s="67"/>
      <c r="O63" s="67"/>
      <c r="P63" s="67"/>
      <c r="Q63" s="68"/>
      <c r="R63" s="67"/>
      <c r="S63" s="124" t="b">
        <v>0</v>
      </c>
      <c r="T63" s="125" t="s">
        <v>215</v>
      </c>
    </row>
    <row r="64" spans="1:20" ht="15" hidden="1" thickBot="1" x14ac:dyDescent="0.4">
      <c r="C64" s="310"/>
      <c r="D64" s="238"/>
      <c r="E64" s="238"/>
      <c r="F64" s="238"/>
      <c r="G64" s="238"/>
      <c r="H64" s="238"/>
      <c r="I64" s="238"/>
      <c r="J64" s="238"/>
      <c r="K64" s="238"/>
      <c r="L64" s="238"/>
      <c r="M64" s="238"/>
      <c r="N64" s="238"/>
      <c r="O64" s="238"/>
      <c r="P64" s="238"/>
      <c r="Q64" s="238"/>
      <c r="R64" s="238"/>
      <c r="S64" s="238"/>
      <c r="T64" s="311"/>
    </row>
    <row r="65" spans="1:20" ht="3.5" customHeight="1" thickBot="1" x14ac:dyDescent="0.4">
      <c r="C65" s="310"/>
      <c r="D65" s="238"/>
      <c r="E65" s="238"/>
      <c r="F65" s="238"/>
      <c r="G65" s="238"/>
      <c r="H65" s="238"/>
      <c r="I65" s="238"/>
      <c r="J65" s="238"/>
      <c r="K65" s="238"/>
      <c r="L65" s="238"/>
      <c r="M65" s="238"/>
      <c r="N65" s="238"/>
      <c r="O65" s="238"/>
      <c r="P65" s="238"/>
      <c r="Q65" s="238"/>
      <c r="R65" s="238"/>
      <c r="S65" s="238"/>
      <c r="T65" s="311"/>
    </row>
    <row r="66" spans="1:20" ht="15" hidden="1" thickBot="1" x14ac:dyDescent="0.4">
      <c r="C66" s="310"/>
      <c r="D66" s="238"/>
      <c r="E66" s="238"/>
      <c r="F66" s="238"/>
      <c r="G66" s="238"/>
      <c r="H66" s="238"/>
      <c r="I66" s="238"/>
      <c r="J66" s="238"/>
      <c r="K66" s="238"/>
      <c r="L66" s="238"/>
      <c r="M66" s="238"/>
      <c r="N66" s="238"/>
      <c r="O66" s="238"/>
      <c r="P66" s="238"/>
      <c r="Q66" s="238"/>
      <c r="R66" s="238"/>
      <c r="S66" s="238"/>
      <c r="T66" s="311"/>
    </row>
    <row r="67" spans="1:20" ht="16.5" thickBot="1" x14ac:dyDescent="0.4">
      <c r="A67" s="547">
        <f>A58+1</f>
        <v>7</v>
      </c>
      <c r="B67" s="13">
        <f>B58+10</f>
        <v>71</v>
      </c>
      <c r="C67" s="644" t="str">
        <f>VLOOKUP(A67,INputs!$G$3:$O$22,9,FALSE)</f>
        <v>Please fill out Sensitivity Labels Tab</v>
      </c>
      <c r="D67" s="62"/>
      <c r="E67" s="60" t="b">
        <v>0</v>
      </c>
      <c r="F67" s="61" t="s">
        <v>201</v>
      </c>
      <c r="G67" s="62"/>
      <c r="H67" s="637" t="s">
        <v>42</v>
      </c>
      <c r="I67" s="637"/>
      <c r="J67" s="63"/>
      <c r="K67" s="77" t="b">
        <v>0</v>
      </c>
      <c r="L67" s="63" t="s">
        <v>202</v>
      </c>
      <c r="M67" s="62"/>
      <c r="N67" s="480" t="s">
        <v>203</v>
      </c>
      <c r="O67" s="62"/>
      <c r="P67" s="638" t="s">
        <v>204</v>
      </c>
      <c r="Q67" s="638"/>
      <c r="R67" s="62"/>
      <c r="S67" s="639" t="s">
        <v>205</v>
      </c>
      <c r="T67" s="640"/>
    </row>
    <row r="68" spans="1:20" ht="16" x14ac:dyDescent="0.35">
      <c r="A68" s="548"/>
      <c r="B68" s="242">
        <f>B67+1</f>
        <v>72</v>
      </c>
      <c r="C68" s="645"/>
      <c r="E68" s="64" t="b">
        <v>0</v>
      </c>
      <c r="F68" s="65" t="s">
        <v>206</v>
      </c>
      <c r="H68" s="44"/>
      <c r="I68" s="581" t="s">
        <v>108</v>
      </c>
      <c r="J68" s="581"/>
      <c r="K68" s="641" t="b">
        <v>0</v>
      </c>
      <c r="L68" s="624" t="s">
        <v>204</v>
      </c>
      <c r="N68" s="40" t="s">
        <v>109</v>
      </c>
      <c r="P68" s="45" t="b">
        <v>0</v>
      </c>
      <c r="Q68" s="44" t="s">
        <v>207</v>
      </c>
      <c r="S68" s="45" t="b">
        <v>0</v>
      </c>
      <c r="T68" s="72" t="s">
        <v>208</v>
      </c>
    </row>
    <row r="69" spans="1:20" ht="16" x14ac:dyDescent="0.35">
      <c r="A69" s="548"/>
      <c r="B69" s="242">
        <f>B68+1</f>
        <v>73</v>
      </c>
      <c r="C69" s="645"/>
      <c r="E69" s="64" t="b">
        <v>0</v>
      </c>
      <c r="F69" s="65" t="s">
        <v>209</v>
      </c>
      <c r="H69" s="45" t="b">
        <v>0</v>
      </c>
      <c r="I69" s="624" t="s">
        <v>210</v>
      </c>
      <c r="J69" s="44"/>
      <c r="K69" s="641"/>
      <c r="L69" s="624"/>
      <c r="N69" s="44"/>
      <c r="P69" s="44"/>
      <c r="Q69" s="46"/>
      <c r="S69" s="642" t="s">
        <v>211</v>
      </c>
      <c r="T69" s="643"/>
    </row>
    <row r="70" spans="1:20" x14ac:dyDescent="0.35">
      <c r="A70" s="548"/>
      <c r="B70" s="242">
        <f>B69+1</f>
        <v>74</v>
      </c>
      <c r="C70" s="645"/>
      <c r="H70" s="44"/>
      <c r="I70" s="624"/>
      <c r="J70" s="44"/>
      <c r="P70" s="45" t="b">
        <v>0</v>
      </c>
      <c r="Q70" s="44" t="s">
        <v>212</v>
      </c>
      <c r="S70" s="45" t="b">
        <v>0</v>
      </c>
      <c r="T70" s="72" t="s">
        <v>213</v>
      </c>
    </row>
    <row r="71" spans="1:20" x14ac:dyDescent="0.35">
      <c r="A71" s="548"/>
      <c r="B71" s="242">
        <f>B70+1</f>
        <v>75</v>
      </c>
      <c r="C71" s="645"/>
      <c r="H71" s="44"/>
      <c r="I71" s="44"/>
      <c r="J71" s="44"/>
      <c r="Q71" s="23" t="s">
        <v>107</v>
      </c>
      <c r="S71" s="45" t="b">
        <v>0</v>
      </c>
      <c r="T71" s="72" t="s">
        <v>214</v>
      </c>
    </row>
    <row r="72" spans="1:20" ht="15" thickBot="1" x14ac:dyDescent="0.4">
      <c r="A72" s="549"/>
      <c r="B72" s="242">
        <f>B71+1</f>
        <v>76</v>
      </c>
      <c r="C72" s="646"/>
      <c r="D72" s="67"/>
      <c r="E72" s="67"/>
      <c r="F72" s="67"/>
      <c r="G72" s="67"/>
      <c r="H72" s="74"/>
      <c r="I72" s="74"/>
      <c r="J72" s="74"/>
      <c r="K72" s="67"/>
      <c r="L72" s="67"/>
      <c r="M72" s="67"/>
      <c r="N72" s="67"/>
      <c r="O72" s="67"/>
      <c r="P72" s="67"/>
      <c r="Q72" s="68"/>
      <c r="R72" s="67"/>
      <c r="S72" s="124" t="b">
        <v>0</v>
      </c>
      <c r="T72" s="125" t="s">
        <v>215</v>
      </c>
    </row>
    <row r="73" spans="1:20" ht="15" hidden="1" thickBot="1" x14ac:dyDescent="0.4">
      <c r="C73" s="310"/>
      <c r="D73" s="238"/>
      <c r="E73" s="238"/>
      <c r="F73" s="238"/>
      <c r="G73" s="238"/>
      <c r="H73" s="238"/>
      <c r="I73" s="238"/>
      <c r="J73" s="238"/>
      <c r="K73" s="238"/>
      <c r="L73" s="238"/>
      <c r="M73" s="238"/>
      <c r="N73" s="238"/>
      <c r="O73" s="238"/>
      <c r="P73" s="238"/>
      <c r="Q73" s="238"/>
      <c r="R73" s="238"/>
      <c r="S73" s="238"/>
      <c r="T73" s="311"/>
    </row>
    <row r="74" spans="1:20" ht="3.5" customHeight="1" thickBot="1" x14ac:dyDescent="0.4">
      <c r="C74" s="310"/>
      <c r="D74" s="238"/>
      <c r="E74" s="238"/>
      <c r="F74" s="238"/>
      <c r="G74" s="238"/>
      <c r="H74" s="238"/>
      <c r="I74" s="238"/>
      <c r="J74" s="238"/>
      <c r="K74" s="238"/>
      <c r="L74" s="238"/>
      <c r="M74" s="238"/>
      <c r="N74" s="238"/>
      <c r="O74" s="238"/>
      <c r="P74" s="238"/>
      <c r="Q74" s="238"/>
      <c r="R74" s="238"/>
      <c r="S74" s="238"/>
      <c r="T74" s="311"/>
    </row>
    <row r="75" spans="1:20" ht="15" hidden="1" thickBot="1" x14ac:dyDescent="0.4">
      <c r="C75" s="310"/>
      <c r="D75" s="238"/>
      <c r="E75" s="238"/>
      <c r="F75" s="238"/>
      <c r="G75" s="238"/>
      <c r="H75" s="238"/>
      <c r="I75" s="238"/>
      <c r="J75" s="238"/>
      <c r="K75" s="238"/>
      <c r="L75" s="238"/>
      <c r="M75" s="238"/>
      <c r="N75" s="238"/>
      <c r="O75" s="238"/>
      <c r="P75" s="238"/>
      <c r="Q75" s="238"/>
      <c r="R75" s="238"/>
      <c r="S75" s="238"/>
      <c r="T75" s="311"/>
    </row>
    <row r="76" spans="1:20" ht="16.5" thickBot="1" x14ac:dyDescent="0.4">
      <c r="A76" s="547">
        <f>A67+1</f>
        <v>8</v>
      </c>
      <c r="B76" s="13">
        <f>B67+10</f>
        <v>81</v>
      </c>
      <c r="C76" s="644" t="str">
        <f>VLOOKUP(A76,INputs!$G$3:$O$22,9,FALSE)</f>
        <v>Please fill out Sensitivity Labels Tab</v>
      </c>
      <c r="D76" s="62"/>
      <c r="E76" s="60" t="b">
        <v>0</v>
      </c>
      <c r="F76" s="61" t="s">
        <v>201</v>
      </c>
      <c r="G76" s="62"/>
      <c r="H76" s="637" t="s">
        <v>42</v>
      </c>
      <c r="I76" s="637"/>
      <c r="J76" s="63"/>
      <c r="K76" s="77" t="b">
        <v>0</v>
      </c>
      <c r="L76" s="63" t="s">
        <v>202</v>
      </c>
      <c r="M76" s="62"/>
      <c r="N76" s="480" t="s">
        <v>203</v>
      </c>
      <c r="O76" s="62"/>
      <c r="P76" s="638" t="s">
        <v>204</v>
      </c>
      <c r="Q76" s="638"/>
      <c r="R76" s="62"/>
      <c r="S76" s="639" t="s">
        <v>205</v>
      </c>
      <c r="T76" s="640"/>
    </row>
    <row r="77" spans="1:20" ht="16" x14ac:dyDescent="0.35">
      <c r="A77" s="548"/>
      <c r="B77" s="242">
        <f>B76+1</f>
        <v>82</v>
      </c>
      <c r="C77" s="645"/>
      <c r="E77" s="64" t="b">
        <v>0</v>
      </c>
      <c r="F77" s="65" t="s">
        <v>206</v>
      </c>
      <c r="H77" s="44"/>
      <c r="I77" s="581" t="s">
        <v>108</v>
      </c>
      <c r="J77" s="581"/>
      <c r="K77" s="641" t="b">
        <v>0</v>
      </c>
      <c r="L77" s="624" t="s">
        <v>204</v>
      </c>
      <c r="N77" s="40" t="s">
        <v>109</v>
      </c>
      <c r="P77" s="45" t="b">
        <v>0</v>
      </c>
      <c r="Q77" s="44" t="s">
        <v>207</v>
      </c>
      <c r="S77" s="45" t="b">
        <v>0</v>
      </c>
      <c r="T77" s="72" t="s">
        <v>208</v>
      </c>
    </row>
    <row r="78" spans="1:20" ht="16" x14ac:dyDescent="0.35">
      <c r="A78" s="548"/>
      <c r="B78" s="242">
        <f>B77+1</f>
        <v>83</v>
      </c>
      <c r="C78" s="645"/>
      <c r="E78" s="64" t="b">
        <v>0</v>
      </c>
      <c r="F78" s="65" t="s">
        <v>209</v>
      </c>
      <c r="H78" s="45" t="b">
        <v>0</v>
      </c>
      <c r="I78" s="624" t="s">
        <v>210</v>
      </c>
      <c r="J78" s="44"/>
      <c r="K78" s="641"/>
      <c r="L78" s="624"/>
      <c r="N78" s="44"/>
      <c r="P78" s="44"/>
      <c r="Q78" s="46"/>
      <c r="S78" s="642" t="s">
        <v>211</v>
      </c>
      <c r="T78" s="643"/>
    </row>
    <row r="79" spans="1:20" x14ac:dyDescent="0.35">
      <c r="A79" s="548"/>
      <c r="B79" s="242">
        <f>B78+1</f>
        <v>84</v>
      </c>
      <c r="C79" s="645"/>
      <c r="H79" s="44"/>
      <c r="I79" s="624"/>
      <c r="J79" s="44"/>
      <c r="P79" s="45" t="b">
        <v>0</v>
      </c>
      <c r="Q79" s="44" t="s">
        <v>212</v>
      </c>
      <c r="S79" s="45" t="b">
        <v>0</v>
      </c>
      <c r="T79" s="72" t="s">
        <v>213</v>
      </c>
    </row>
    <row r="80" spans="1:20" x14ac:dyDescent="0.35">
      <c r="A80" s="548"/>
      <c r="B80" s="242">
        <f>B79+1</f>
        <v>85</v>
      </c>
      <c r="C80" s="645"/>
      <c r="H80" s="44"/>
      <c r="I80" s="44"/>
      <c r="J80" s="44"/>
      <c r="Q80" s="23" t="s">
        <v>107</v>
      </c>
      <c r="S80" s="45" t="b">
        <v>0</v>
      </c>
      <c r="T80" s="72" t="s">
        <v>214</v>
      </c>
    </row>
    <row r="81" spans="1:20" ht="15" thickBot="1" x14ac:dyDescent="0.4">
      <c r="A81" s="549"/>
      <c r="B81" s="242">
        <f>B80+1</f>
        <v>86</v>
      </c>
      <c r="C81" s="646"/>
      <c r="D81" s="67"/>
      <c r="E81" s="67"/>
      <c r="F81" s="67"/>
      <c r="G81" s="67"/>
      <c r="H81" s="74"/>
      <c r="I81" s="74"/>
      <c r="J81" s="74"/>
      <c r="K81" s="67"/>
      <c r="L81" s="67"/>
      <c r="M81" s="67"/>
      <c r="N81" s="67"/>
      <c r="O81" s="67"/>
      <c r="P81" s="67"/>
      <c r="Q81" s="68"/>
      <c r="R81" s="67"/>
      <c r="S81" s="124" t="b">
        <v>0</v>
      </c>
      <c r="T81" s="125" t="s">
        <v>215</v>
      </c>
    </row>
    <row r="82" spans="1:20" ht="15" hidden="1" thickBot="1" x14ac:dyDescent="0.4">
      <c r="C82" s="310"/>
      <c r="D82" s="238"/>
      <c r="E82" s="238"/>
      <c r="F82" s="238"/>
      <c r="G82" s="238"/>
      <c r="H82" s="238"/>
      <c r="I82" s="238"/>
      <c r="J82" s="238"/>
      <c r="K82" s="238"/>
      <c r="L82" s="238"/>
      <c r="M82" s="238"/>
      <c r="N82" s="238"/>
      <c r="O82" s="238"/>
      <c r="P82" s="238"/>
      <c r="Q82" s="238"/>
      <c r="R82" s="238"/>
      <c r="S82" s="238"/>
      <c r="T82" s="311"/>
    </row>
    <row r="83" spans="1:20" ht="3.5" customHeight="1" thickBot="1" x14ac:dyDescent="0.4">
      <c r="C83" s="310"/>
      <c r="D83" s="238"/>
      <c r="E83" s="238"/>
      <c r="F83" s="238"/>
      <c r="G83" s="238"/>
      <c r="H83" s="238"/>
      <c r="I83" s="238"/>
      <c r="J83" s="238"/>
      <c r="K83" s="238"/>
      <c r="L83" s="238"/>
      <c r="M83" s="238"/>
      <c r="N83" s="238"/>
      <c r="O83" s="238"/>
      <c r="P83" s="238"/>
      <c r="Q83" s="238"/>
      <c r="R83" s="238"/>
      <c r="S83" s="238"/>
      <c r="T83" s="311"/>
    </row>
    <row r="84" spans="1:20" ht="15" hidden="1" thickBot="1" x14ac:dyDescent="0.4">
      <c r="C84" s="310"/>
      <c r="D84" s="238"/>
      <c r="E84" s="238"/>
      <c r="F84" s="238"/>
      <c r="G84" s="238"/>
      <c r="H84" s="238"/>
      <c r="I84" s="238"/>
      <c r="J84" s="238"/>
      <c r="K84" s="238"/>
      <c r="L84" s="238"/>
      <c r="M84" s="238"/>
      <c r="N84" s="238"/>
      <c r="O84" s="238"/>
      <c r="P84" s="238"/>
      <c r="Q84" s="238"/>
      <c r="R84" s="238"/>
      <c r="S84" s="238"/>
      <c r="T84" s="311"/>
    </row>
    <row r="85" spans="1:20" ht="16.5" thickBot="1" x14ac:dyDescent="0.4">
      <c r="A85" s="547">
        <f>A76+1</f>
        <v>9</v>
      </c>
      <c r="B85" s="13">
        <f>B76+10</f>
        <v>91</v>
      </c>
      <c r="C85" s="644" t="str">
        <f>VLOOKUP(A85,INputs!$G$3:$O$22,9,FALSE)</f>
        <v>Please fill out Sensitivity Labels Tab</v>
      </c>
      <c r="D85" s="62"/>
      <c r="E85" s="60" t="b">
        <v>0</v>
      </c>
      <c r="F85" s="61" t="s">
        <v>201</v>
      </c>
      <c r="G85" s="62"/>
      <c r="H85" s="637" t="s">
        <v>42</v>
      </c>
      <c r="I85" s="637"/>
      <c r="J85" s="63"/>
      <c r="K85" s="77" t="b">
        <v>0</v>
      </c>
      <c r="L85" s="63" t="s">
        <v>202</v>
      </c>
      <c r="M85" s="62"/>
      <c r="N85" s="480" t="s">
        <v>203</v>
      </c>
      <c r="O85" s="62"/>
      <c r="P85" s="638" t="s">
        <v>204</v>
      </c>
      <c r="Q85" s="638"/>
      <c r="R85" s="62"/>
      <c r="S85" s="639" t="s">
        <v>205</v>
      </c>
      <c r="T85" s="640"/>
    </row>
    <row r="86" spans="1:20" ht="16" x14ac:dyDescent="0.35">
      <c r="A86" s="548"/>
      <c r="B86" s="242">
        <f>B85+1</f>
        <v>92</v>
      </c>
      <c r="C86" s="645"/>
      <c r="E86" s="64" t="b">
        <v>0</v>
      </c>
      <c r="F86" s="65" t="s">
        <v>206</v>
      </c>
      <c r="H86" s="44"/>
      <c r="I86" s="581" t="s">
        <v>108</v>
      </c>
      <c r="J86" s="581"/>
      <c r="K86" s="641" t="b">
        <v>0</v>
      </c>
      <c r="L86" s="624" t="s">
        <v>204</v>
      </c>
      <c r="N86" s="40" t="s">
        <v>109</v>
      </c>
      <c r="P86" s="45" t="b">
        <v>0</v>
      </c>
      <c r="Q86" s="44" t="s">
        <v>207</v>
      </c>
      <c r="S86" s="45" t="b">
        <v>0</v>
      </c>
      <c r="T86" s="72" t="s">
        <v>208</v>
      </c>
    </row>
    <row r="87" spans="1:20" ht="16" x14ac:dyDescent="0.35">
      <c r="A87" s="548"/>
      <c r="B87" s="242">
        <f>B86+1</f>
        <v>93</v>
      </c>
      <c r="C87" s="645"/>
      <c r="E87" s="64" t="b">
        <v>0</v>
      </c>
      <c r="F87" s="65" t="s">
        <v>209</v>
      </c>
      <c r="H87" s="45" t="b">
        <v>0</v>
      </c>
      <c r="I87" s="624" t="s">
        <v>210</v>
      </c>
      <c r="J87" s="44"/>
      <c r="K87" s="641"/>
      <c r="L87" s="624"/>
      <c r="N87" s="44"/>
      <c r="P87" s="44"/>
      <c r="Q87" s="46"/>
      <c r="S87" s="642" t="s">
        <v>211</v>
      </c>
      <c r="T87" s="643"/>
    </row>
    <row r="88" spans="1:20" x14ac:dyDescent="0.35">
      <c r="A88" s="548"/>
      <c r="B88" s="242">
        <f>B87+1</f>
        <v>94</v>
      </c>
      <c r="C88" s="645"/>
      <c r="H88" s="44"/>
      <c r="I88" s="624"/>
      <c r="J88" s="44"/>
      <c r="P88" s="45" t="b">
        <v>0</v>
      </c>
      <c r="Q88" s="44" t="s">
        <v>212</v>
      </c>
      <c r="S88" s="45" t="b">
        <v>0</v>
      </c>
      <c r="T88" s="72" t="s">
        <v>213</v>
      </c>
    </row>
    <row r="89" spans="1:20" x14ac:dyDescent="0.35">
      <c r="A89" s="548"/>
      <c r="B89" s="242">
        <f>B88+1</f>
        <v>95</v>
      </c>
      <c r="C89" s="645"/>
      <c r="H89" s="44"/>
      <c r="I89" s="44"/>
      <c r="J89" s="44"/>
      <c r="Q89" s="23" t="s">
        <v>107</v>
      </c>
      <c r="S89" s="45" t="b">
        <v>0</v>
      </c>
      <c r="T89" s="72" t="s">
        <v>214</v>
      </c>
    </row>
    <row r="90" spans="1:20" ht="15" thickBot="1" x14ac:dyDescent="0.4">
      <c r="A90" s="549"/>
      <c r="B90" s="242">
        <f>B89+1</f>
        <v>96</v>
      </c>
      <c r="C90" s="646"/>
      <c r="D90" s="67"/>
      <c r="E90" s="67"/>
      <c r="F90" s="67"/>
      <c r="G90" s="67"/>
      <c r="H90" s="74"/>
      <c r="I90" s="74"/>
      <c r="J90" s="74"/>
      <c r="K90" s="67"/>
      <c r="L90" s="67"/>
      <c r="M90" s="67"/>
      <c r="N90" s="67"/>
      <c r="O90" s="67"/>
      <c r="P90" s="67"/>
      <c r="Q90" s="68"/>
      <c r="R90" s="67"/>
      <c r="S90" s="124" t="b">
        <v>0</v>
      </c>
      <c r="T90" s="125" t="s">
        <v>215</v>
      </c>
    </row>
    <row r="91" spans="1:20" ht="15" hidden="1" thickBot="1" x14ac:dyDescent="0.4">
      <c r="C91" s="310"/>
      <c r="D91" s="238"/>
      <c r="E91" s="238"/>
      <c r="F91" s="238"/>
      <c r="G91" s="238"/>
      <c r="H91" s="238"/>
      <c r="I91" s="238"/>
      <c r="J91" s="238"/>
      <c r="K91" s="238"/>
      <c r="L91" s="238"/>
      <c r="M91" s="238"/>
      <c r="N91" s="238"/>
      <c r="O91" s="238"/>
      <c r="P91" s="238"/>
      <c r="Q91" s="238"/>
      <c r="R91" s="238"/>
      <c r="S91" s="238"/>
      <c r="T91" s="311"/>
    </row>
    <row r="92" spans="1:20" ht="3.5" customHeight="1" thickBot="1" x14ac:dyDescent="0.4">
      <c r="C92" s="310"/>
      <c r="D92" s="238"/>
      <c r="E92" s="238"/>
      <c r="F92" s="238"/>
      <c r="G92" s="238"/>
      <c r="H92" s="238"/>
      <c r="I92" s="238"/>
      <c r="J92" s="238"/>
      <c r="K92" s="238"/>
      <c r="L92" s="238"/>
      <c r="M92" s="238"/>
      <c r="N92" s="238"/>
      <c r="O92" s="238"/>
      <c r="P92" s="238"/>
      <c r="Q92" s="238"/>
      <c r="R92" s="238"/>
      <c r="S92" s="238"/>
      <c r="T92" s="311"/>
    </row>
    <row r="93" spans="1:20" ht="15" hidden="1" thickBot="1" x14ac:dyDescent="0.4">
      <c r="C93" s="310"/>
      <c r="D93" s="238"/>
      <c r="E93" s="238"/>
      <c r="F93" s="238"/>
      <c r="G93" s="238"/>
      <c r="H93" s="238"/>
      <c r="I93" s="238"/>
      <c r="J93" s="238"/>
      <c r="K93" s="238"/>
      <c r="L93" s="238"/>
      <c r="M93" s="238"/>
      <c r="N93" s="238"/>
      <c r="O93" s="238"/>
      <c r="P93" s="238"/>
      <c r="Q93" s="238"/>
      <c r="R93" s="238"/>
      <c r="S93" s="238"/>
      <c r="T93" s="311"/>
    </row>
    <row r="94" spans="1:20" ht="16.5" thickBot="1" x14ac:dyDescent="0.4">
      <c r="A94" s="547">
        <f>A85+1</f>
        <v>10</v>
      </c>
      <c r="B94" s="13">
        <f>B85+10</f>
        <v>101</v>
      </c>
      <c r="C94" s="644" t="str">
        <f>VLOOKUP(A94,INputs!$G$3:$O$22,9,FALSE)</f>
        <v>Please fill out Sensitivity Labels Tab</v>
      </c>
      <c r="D94" s="62"/>
      <c r="E94" s="60" t="b">
        <v>0</v>
      </c>
      <c r="F94" s="61" t="s">
        <v>201</v>
      </c>
      <c r="G94" s="62"/>
      <c r="H94" s="637"/>
      <c r="I94" s="637"/>
      <c r="J94" s="63"/>
      <c r="K94" s="77" t="b">
        <v>0</v>
      </c>
      <c r="L94" s="63" t="s">
        <v>202</v>
      </c>
      <c r="M94" s="62"/>
      <c r="N94" s="480" t="s">
        <v>203</v>
      </c>
      <c r="O94" s="62"/>
      <c r="P94" s="638" t="s">
        <v>204</v>
      </c>
      <c r="Q94" s="638"/>
      <c r="R94" s="62"/>
      <c r="S94" s="639" t="s">
        <v>205</v>
      </c>
      <c r="T94" s="640"/>
    </row>
    <row r="95" spans="1:20" ht="16" x14ac:dyDescent="0.35">
      <c r="A95" s="548"/>
      <c r="B95" s="242">
        <f>B94+1</f>
        <v>102</v>
      </c>
      <c r="C95" s="645"/>
      <c r="E95" s="64" t="b">
        <v>0</v>
      </c>
      <c r="F95" s="65" t="s">
        <v>206</v>
      </c>
      <c r="H95" s="44"/>
      <c r="I95" s="581" t="s">
        <v>108</v>
      </c>
      <c r="J95" s="581"/>
      <c r="K95" s="641" t="b">
        <v>0</v>
      </c>
      <c r="L95" s="624" t="s">
        <v>204</v>
      </c>
      <c r="N95" s="40" t="s">
        <v>109</v>
      </c>
      <c r="P95" s="45" t="b">
        <v>0</v>
      </c>
      <c r="Q95" s="44" t="s">
        <v>207</v>
      </c>
      <c r="S95" s="45" t="b">
        <v>0</v>
      </c>
      <c r="T95" s="72" t="s">
        <v>208</v>
      </c>
    </row>
    <row r="96" spans="1:20" ht="16" x14ac:dyDescent="0.35">
      <c r="A96" s="548"/>
      <c r="B96" s="242">
        <f>B95+1</f>
        <v>103</v>
      </c>
      <c r="C96" s="645"/>
      <c r="E96" s="64" t="b">
        <v>0</v>
      </c>
      <c r="F96" s="65" t="s">
        <v>209</v>
      </c>
      <c r="H96" s="45" t="b">
        <v>0</v>
      </c>
      <c r="I96" s="624" t="s">
        <v>210</v>
      </c>
      <c r="J96" s="44"/>
      <c r="K96" s="641"/>
      <c r="L96" s="624"/>
      <c r="N96" s="44"/>
      <c r="P96" s="44"/>
      <c r="Q96" s="46"/>
      <c r="S96" s="642" t="s">
        <v>211</v>
      </c>
      <c r="T96" s="643"/>
    </row>
    <row r="97" spans="1:20" x14ac:dyDescent="0.35">
      <c r="A97" s="548"/>
      <c r="B97" s="242">
        <f>B96+1</f>
        <v>104</v>
      </c>
      <c r="C97" s="645"/>
      <c r="H97" s="44"/>
      <c r="I97" s="624"/>
      <c r="J97" s="44"/>
      <c r="P97" s="45" t="b">
        <v>0</v>
      </c>
      <c r="Q97" s="44" t="s">
        <v>212</v>
      </c>
      <c r="S97" s="45" t="b">
        <v>0</v>
      </c>
      <c r="T97" s="72" t="s">
        <v>213</v>
      </c>
    </row>
    <row r="98" spans="1:20" x14ac:dyDescent="0.35">
      <c r="A98" s="548"/>
      <c r="B98" s="242">
        <f>B97+1</f>
        <v>105</v>
      </c>
      <c r="C98" s="645"/>
      <c r="H98" s="44"/>
      <c r="I98" s="44"/>
      <c r="J98" s="44"/>
      <c r="Q98" s="23" t="s">
        <v>107</v>
      </c>
      <c r="S98" s="45" t="b">
        <v>0</v>
      </c>
      <c r="T98" s="72" t="s">
        <v>214</v>
      </c>
    </row>
    <row r="99" spans="1:20" ht="15" thickBot="1" x14ac:dyDescent="0.4">
      <c r="A99" s="549"/>
      <c r="B99" s="242">
        <f>B98+1</f>
        <v>106</v>
      </c>
      <c r="C99" s="646"/>
      <c r="D99" s="67"/>
      <c r="E99" s="67"/>
      <c r="F99" s="67"/>
      <c r="G99" s="67"/>
      <c r="H99" s="74"/>
      <c r="I99" s="74"/>
      <c r="J99" s="74"/>
      <c r="K99" s="67"/>
      <c r="L99" s="67"/>
      <c r="M99" s="67"/>
      <c r="N99" s="67"/>
      <c r="O99" s="67"/>
      <c r="P99" s="67"/>
      <c r="Q99" s="68"/>
      <c r="R99" s="67"/>
      <c r="S99" s="124" t="b">
        <v>0</v>
      </c>
      <c r="T99" s="125" t="s">
        <v>215</v>
      </c>
    </row>
    <row r="100" spans="1:20" ht="15" hidden="1" thickBot="1" x14ac:dyDescent="0.4">
      <c r="C100" s="310"/>
      <c r="D100" s="238"/>
      <c r="E100" s="238"/>
      <c r="F100" s="238"/>
      <c r="G100" s="238"/>
      <c r="H100" s="238"/>
      <c r="I100" s="238"/>
      <c r="J100" s="238"/>
      <c r="K100" s="238"/>
      <c r="L100" s="238"/>
      <c r="M100" s="238"/>
      <c r="N100" s="238"/>
      <c r="O100" s="238"/>
      <c r="P100" s="238"/>
      <c r="Q100" s="238"/>
      <c r="R100" s="238"/>
      <c r="S100" s="238"/>
      <c r="T100" s="311"/>
    </row>
    <row r="101" spans="1:20" ht="3.5" customHeight="1" thickBot="1" x14ac:dyDescent="0.4">
      <c r="C101" s="310"/>
      <c r="D101" s="238"/>
      <c r="E101" s="238"/>
      <c r="F101" s="238"/>
      <c r="G101" s="238"/>
      <c r="H101" s="238"/>
      <c r="I101" s="238"/>
      <c r="J101" s="238"/>
      <c r="K101" s="238"/>
      <c r="L101" s="238"/>
      <c r="M101" s="238"/>
      <c r="N101" s="238"/>
      <c r="O101" s="238"/>
      <c r="P101" s="238"/>
      <c r="Q101" s="238"/>
      <c r="R101" s="238"/>
      <c r="S101" s="238"/>
      <c r="T101" s="311"/>
    </row>
    <row r="102" spans="1:20" ht="15" hidden="1" thickBot="1" x14ac:dyDescent="0.4">
      <c r="C102" s="310"/>
      <c r="D102" s="238"/>
      <c r="E102" s="238"/>
      <c r="F102" s="238"/>
      <c r="G102" s="238"/>
      <c r="H102" s="238"/>
      <c r="I102" s="238"/>
      <c r="J102" s="238"/>
      <c r="K102" s="238"/>
      <c r="L102" s="238"/>
      <c r="M102" s="238"/>
      <c r="N102" s="238"/>
      <c r="O102" s="238"/>
      <c r="P102" s="238"/>
      <c r="Q102" s="238"/>
      <c r="R102" s="238"/>
      <c r="S102" s="238"/>
      <c r="T102" s="311"/>
    </row>
    <row r="103" spans="1:20" ht="16.5" thickBot="1" x14ac:dyDescent="0.4">
      <c r="A103" s="547">
        <f>A94+1</f>
        <v>11</v>
      </c>
      <c r="B103" s="13">
        <f>B94+10</f>
        <v>111</v>
      </c>
      <c r="C103" s="644" t="str">
        <f>VLOOKUP(A103,INputs!$G$3:$O$22,9,FALSE)</f>
        <v>Please fill out Sensitivity Labels Tab</v>
      </c>
      <c r="D103" s="62"/>
      <c r="E103" s="60" t="b">
        <v>0</v>
      </c>
      <c r="F103" s="61" t="s">
        <v>201</v>
      </c>
      <c r="G103" s="62"/>
      <c r="H103" s="637"/>
      <c r="I103" s="637"/>
      <c r="J103" s="63"/>
      <c r="K103" s="77" t="b">
        <v>0</v>
      </c>
      <c r="L103" s="63" t="s">
        <v>202</v>
      </c>
      <c r="M103" s="62"/>
      <c r="N103" s="480" t="s">
        <v>203</v>
      </c>
      <c r="O103" s="62"/>
      <c r="P103" s="638" t="s">
        <v>204</v>
      </c>
      <c r="Q103" s="638"/>
      <c r="R103" s="62"/>
      <c r="S103" s="639" t="s">
        <v>205</v>
      </c>
      <c r="T103" s="640"/>
    </row>
    <row r="104" spans="1:20" ht="16" x14ac:dyDescent="0.35">
      <c r="A104" s="548"/>
      <c r="B104" s="242">
        <f>B103+1</f>
        <v>112</v>
      </c>
      <c r="C104" s="645"/>
      <c r="E104" s="64" t="b">
        <v>0</v>
      </c>
      <c r="F104" s="65" t="s">
        <v>206</v>
      </c>
      <c r="H104" s="44"/>
      <c r="I104" s="581" t="s">
        <v>108</v>
      </c>
      <c r="J104" s="581"/>
      <c r="K104" s="641" t="b">
        <v>0</v>
      </c>
      <c r="L104" s="624" t="s">
        <v>204</v>
      </c>
      <c r="N104" s="40" t="s">
        <v>109</v>
      </c>
      <c r="P104" s="45" t="b">
        <v>0</v>
      </c>
      <c r="Q104" s="44" t="s">
        <v>207</v>
      </c>
      <c r="S104" s="45" t="b">
        <v>0</v>
      </c>
      <c r="T104" s="72" t="s">
        <v>208</v>
      </c>
    </row>
    <row r="105" spans="1:20" ht="16" x14ac:dyDescent="0.35">
      <c r="A105" s="548"/>
      <c r="B105" s="242">
        <f>B104+1</f>
        <v>113</v>
      </c>
      <c r="C105" s="645"/>
      <c r="E105" s="64" t="b">
        <v>0</v>
      </c>
      <c r="F105" s="65" t="s">
        <v>209</v>
      </c>
      <c r="H105" s="45" t="b">
        <v>0</v>
      </c>
      <c r="I105" s="624" t="s">
        <v>210</v>
      </c>
      <c r="J105" s="44"/>
      <c r="K105" s="641"/>
      <c r="L105" s="624"/>
      <c r="N105" s="44"/>
      <c r="P105" s="44"/>
      <c r="Q105" s="46"/>
      <c r="S105" s="642" t="s">
        <v>211</v>
      </c>
      <c r="T105" s="643"/>
    </row>
    <row r="106" spans="1:20" x14ac:dyDescent="0.35">
      <c r="A106" s="548"/>
      <c r="B106" s="242">
        <f>B105+1</f>
        <v>114</v>
      </c>
      <c r="C106" s="645"/>
      <c r="H106" s="44"/>
      <c r="I106" s="624"/>
      <c r="J106" s="44"/>
      <c r="P106" s="45" t="b">
        <v>0</v>
      </c>
      <c r="Q106" s="44" t="s">
        <v>212</v>
      </c>
      <c r="S106" s="45" t="b">
        <v>0</v>
      </c>
      <c r="T106" s="72" t="s">
        <v>213</v>
      </c>
    </row>
    <row r="107" spans="1:20" x14ac:dyDescent="0.35">
      <c r="A107" s="548"/>
      <c r="B107" s="242">
        <f>B106+1</f>
        <v>115</v>
      </c>
      <c r="C107" s="645"/>
      <c r="H107" s="44"/>
      <c r="I107" s="44"/>
      <c r="J107" s="44"/>
      <c r="Q107" s="23" t="s">
        <v>107</v>
      </c>
      <c r="S107" s="45" t="b">
        <v>0</v>
      </c>
      <c r="T107" s="72" t="s">
        <v>214</v>
      </c>
    </row>
    <row r="108" spans="1:20" ht="15" thickBot="1" x14ac:dyDescent="0.4">
      <c r="A108" s="549"/>
      <c r="B108" s="242">
        <f>B107+1</f>
        <v>116</v>
      </c>
      <c r="C108" s="646"/>
      <c r="D108" s="67"/>
      <c r="E108" s="67"/>
      <c r="F108" s="67"/>
      <c r="G108" s="67"/>
      <c r="H108" s="74"/>
      <c r="I108" s="74"/>
      <c r="J108" s="74"/>
      <c r="K108" s="67"/>
      <c r="L108" s="67"/>
      <c r="M108" s="67"/>
      <c r="N108" s="67"/>
      <c r="O108" s="67"/>
      <c r="P108" s="67"/>
      <c r="Q108" s="68"/>
      <c r="R108" s="67"/>
      <c r="S108" s="124" t="b">
        <v>0</v>
      </c>
      <c r="T108" s="125" t="s">
        <v>215</v>
      </c>
    </row>
    <row r="109" spans="1:20" ht="15" hidden="1" thickBot="1" x14ac:dyDescent="0.4">
      <c r="C109" s="310"/>
      <c r="D109" s="238"/>
      <c r="E109" s="238"/>
      <c r="F109" s="238"/>
      <c r="G109" s="238"/>
      <c r="H109" s="238"/>
      <c r="I109" s="238"/>
      <c r="J109" s="238"/>
      <c r="K109" s="238"/>
      <c r="L109" s="238"/>
      <c r="M109" s="238"/>
      <c r="N109" s="238"/>
      <c r="O109" s="238"/>
      <c r="P109" s="238"/>
      <c r="Q109" s="238"/>
      <c r="R109" s="238"/>
      <c r="S109" s="238"/>
      <c r="T109" s="311"/>
    </row>
    <row r="110" spans="1:20" ht="3.5" customHeight="1" thickBot="1" x14ac:dyDescent="0.4">
      <c r="C110" s="310"/>
      <c r="D110" s="238"/>
      <c r="E110" s="238"/>
      <c r="F110" s="238"/>
      <c r="G110" s="238"/>
      <c r="H110" s="238"/>
      <c r="I110" s="238"/>
      <c r="J110" s="238"/>
      <c r="K110" s="238"/>
      <c r="L110" s="238"/>
      <c r="M110" s="238"/>
      <c r="N110" s="238"/>
      <c r="O110" s="238"/>
      <c r="P110" s="238"/>
      <c r="Q110" s="238"/>
      <c r="R110" s="238"/>
      <c r="S110" s="238"/>
      <c r="T110" s="311"/>
    </row>
    <row r="111" spans="1:20" ht="15" hidden="1" thickBot="1" x14ac:dyDescent="0.4">
      <c r="C111" s="310"/>
      <c r="D111" s="238"/>
      <c r="E111" s="238"/>
      <c r="F111" s="238"/>
      <c r="G111" s="238"/>
      <c r="H111" s="238"/>
      <c r="I111" s="238"/>
      <c r="J111" s="238"/>
      <c r="K111" s="238"/>
      <c r="L111" s="238"/>
      <c r="M111" s="238"/>
      <c r="N111" s="238"/>
      <c r="O111" s="238"/>
      <c r="P111" s="238"/>
      <c r="Q111" s="238"/>
      <c r="R111" s="238"/>
      <c r="S111" s="238"/>
      <c r="T111" s="311"/>
    </row>
    <row r="112" spans="1:20" ht="16.5" thickBot="1" x14ac:dyDescent="0.4">
      <c r="A112" s="547">
        <f>A103+1</f>
        <v>12</v>
      </c>
      <c r="B112" s="13">
        <f>B103+10</f>
        <v>121</v>
      </c>
      <c r="C112" s="644" t="str">
        <f>VLOOKUP(A112,INputs!$G$3:$O$22,9,FALSE)</f>
        <v>Please fill out Sensitivity Labels Tab</v>
      </c>
      <c r="D112" s="62"/>
      <c r="E112" s="60" t="b">
        <v>0</v>
      </c>
      <c r="F112" s="61" t="s">
        <v>201</v>
      </c>
      <c r="G112" s="62"/>
      <c r="H112" s="637"/>
      <c r="I112" s="637"/>
      <c r="J112" s="63"/>
      <c r="K112" s="77" t="b">
        <v>0</v>
      </c>
      <c r="L112" s="63" t="s">
        <v>202</v>
      </c>
      <c r="M112" s="62"/>
      <c r="N112" s="480" t="s">
        <v>203</v>
      </c>
      <c r="O112" s="62"/>
      <c r="P112" s="638" t="s">
        <v>204</v>
      </c>
      <c r="Q112" s="638"/>
      <c r="R112" s="62"/>
      <c r="S112" s="639" t="s">
        <v>205</v>
      </c>
      <c r="T112" s="640"/>
    </row>
    <row r="113" spans="1:20" ht="16" x14ac:dyDescent="0.35">
      <c r="A113" s="548"/>
      <c r="B113" s="242">
        <f>B112+1</f>
        <v>122</v>
      </c>
      <c r="C113" s="645"/>
      <c r="E113" s="64" t="b">
        <v>0</v>
      </c>
      <c r="F113" s="65" t="s">
        <v>206</v>
      </c>
      <c r="H113" s="44"/>
      <c r="I113" s="581" t="s">
        <v>108</v>
      </c>
      <c r="J113" s="581"/>
      <c r="K113" s="641" t="b">
        <v>0</v>
      </c>
      <c r="L113" s="624" t="s">
        <v>204</v>
      </c>
      <c r="N113" s="40" t="s">
        <v>109</v>
      </c>
      <c r="P113" s="45" t="b">
        <v>0</v>
      </c>
      <c r="Q113" s="44" t="s">
        <v>207</v>
      </c>
      <c r="S113" s="45" t="b">
        <v>0</v>
      </c>
      <c r="T113" s="72" t="s">
        <v>208</v>
      </c>
    </row>
    <row r="114" spans="1:20" ht="16" x14ac:dyDescent="0.35">
      <c r="A114" s="548"/>
      <c r="B114" s="242">
        <f>B113+1</f>
        <v>123</v>
      </c>
      <c r="C114" s="645"/>
      <c r="E114" s="64" t="b">
        <v>0</v>
      </c>
      <c r="F114" s="65" t="s">
        <v>209</v>
      </c>
      <c r="H114" s="45" t="b">
        <v>0</v>
      </c>
      <c r="I114" s="624" t="s">
        <v>210</v>
      </c>
      <c r="J114" s="44"/>
      <c r="K114" s="641"/>
      <c r="L114" s="624"/>
      <c r="N114" s="44"/>
      <c r="P114" s="44"/>
      <c r="Q114" s="46"/>
      <c r="S114" s="642" t="s">
        <v>211</v>
      </c>
      <c r="T114" s="643"/>
    </row>
    <row r="115" spans="1:20" x14ac:dyDescent="0.35">
      <c r="A115" s="548"/>
      <c r="B115" s="242">
        <f>B114+1</f>
        <v>124</v>
      </c>
      <c r="C115" s="645"/>
      <c r="H115" s="44"/>
      <c r="I115" s="624"/>
      <c r="J115" s="44"/>
      <c r="P115" s="45" t="b">
        <v>0</v>
      </c>
      <c r="Q115" s="44" t="s">
        <v>212</v>
      </c>
      <c r="S115" s="45" t="b">
        <v>0</v>
      </c>
      <c r="T115" s="72" t="s">
        <v>213</v>
      </c>
    </row>
    <row r="116" spans="1:20" x14ac:dyDescent="0.35">
      <c r="A116" s="548"/>
      <c r="B116" s="242">
        <f>B115+1</f>
        <v>125</v>
      </c>
      <c r="C116" s="645"/>
      <c r="H116" s="44"/>
      <c r="I116" s="44"/>
      <c r="J116" s="44"/>
      <c r="Q116" s="23" t="s">
        <v>107</v>
      </c>
      <c r="S116" s="45" t="b">
        <v>0</v>
      </c>
      <c r="T116" s="72" t="s">
        <v>214</v>
      </c>
    </row>
    <row r="117" spans="1:20" ht="15" thickBot="1" x14ac:dyDescent="0.4">
      <c r="A117" s="549"/>
      <c r="B117" s="242">
        <f>B116+1</f>
        <v>126</v>
      </c>
      <c r="C117" s="646"/>
      <c r="D117" s="67"/>
      <c r="E117" s="67"/>
      <c r="F117" s="67"/>
      <c r="G117" s="67"/>
      <c r="H117" s="74"/>
      <c r="I117" s="74"/>
      <c r="J117" s="74"/>
      <c r="K117" s="67"/>
      <c r="L117" s="67"/>
      <c r="M117" s="67"/>
      <c r="N117" s="67"/>
      <c r="O117" s="67"/>
      <c r="P117" s="67"/>
      <c r="Q117" s="68"/>
      <c r="R117" s="67"/>
      <c r="S117" s="124" t="b">
        <v>0</v>
      </c>
      <c r="T117" s="125" t="s">
        <v>215</v>
      </c>
    </row>
    <row r="118" spans="1:20" ht="15" hidden="1" thickBot="1" x14ac:dyDescent="0.4">
      <c r="C118" s="310"/>
      <c r="D118" s="238"/>
      <c r="E118" s="238"/>
      <c r="F118" s="238"/>
      <c r="G118" s="238"/>
      <c r="H118" s="238"/>
      <c r="I118" s="238"/>
      <c r="J118" s="238"/>
      <c r="K118" s="238"/>
      <c r="L118" s="238"/>
      <c r="M118" s="238"/>
      <c r="N118" s="238"/>
      <c r="O118" s="238"/>
      <c r="P118" s="238"/>
      <c r="Q118" s="238"/>
      <c r="R118" s="238"/>
      <c r="S118" s="238"/>
      <c r="T118" s="311"/>
    </row>
    <row r="119" spans="1:20" ht="3.5" customHeight="1" thickBot="1" x14ac:dyDescent="0.4">
      <c r="C119" s="310"/>
      <c r="D119" s="238"/>
      <c r="E119" s="238"/>
      <c r="F119" s="238"/>
      <c r="G119" s="238"/>
      <c r="H119" s="238"/>
      <c r="I119" s="238"/>
      <c r="J119" s="238"/>
      <c r="K119" s="238"/>
      <c r="L119" s="238"/>
      <c r="M119" s="238"/>
      <c r="N119" s="238"/>
      <c r="O119" s="238"/>
      <c r="P119" s="238"/>
      <c r="Q119" s="238"/>
      <c r="R119" s="238"/>
      <c r="S119" s="238"/>
      <c r="T119" s="311"/>
    </row>
    <row r="120" spans="1:20" ht="15" hidden="1" thickBot="1" x14ac:dyDescent="0.4">
      <c r="C120" s="310"/>
      <c r="D120" s="238"/>
      <c r="E120" s="238"/>
      <c r="F120" s="238"/>
      <c r="G120" s="238"/>
      <c r="H120" s="238"/>
      <c r="I120" s="238"/>
      <c r="J120" s="238"/>
      <c r="K120" s="238"/>
      <c r="L120" s="238"/>
      <c r="M120" s="238"/>
      <c r="N120" s="238"/>
      <c r="O120" s="238"/>
      <c r="P120" s="238"/>
      <c r="Q120" s="238"/>
      <c r="R120" s="238"/>
      <c r="S120" s="238"/>
      <c r="T120" s="311"/>
    </row>
    <row r="121" spans="1:20" ht="16.5" thickBot="1" x14ac:dyDescent="0.4">
      <c r="A121" s="547">
        <f>A112+1</f>
        <v>13</v>
      </c>
      <c r="B121" s="13">
        <f>B112+10</f>
        <v>131</v>
      </c>
      <c r="C121" s="644" t="str">
        <f>VLOOKUP(A121,INputs!$G$3:$O$22,9,FALSE)</f>
        <v>Please fill out Sensitivity Labels Tab</v>
      </c>
      <c r="D121" s="62"/>
      <c r="E121" s="60" t="b">
        <v>0</v>
      </c>
      <c r="F121" s="61" t="s">
        <v>201</v>
      </c>
      <c r="G121" s="62"/>
      <c r="H121" s="637"/>
      <c r="I121" s="637"/>
      <c r="J121" s="63"/>
      <c r="K121" s="77" t="b">
        <v>0</v>
      </c>
      <c r="L121" s="63" t="s">
        <v>202</v>
      </c>
      <c r="M121" s="62"/>
      <c r="N121" s="480" t="s">
        <v>203</v>
      </c>
      <c r="O121" s="62"/>
      <c r="P121" s="638" t="s">
        <v>204</v>
      </c>
      <c r="Q121" s="638"/>
      <c r="R121" s="62"/>
      <c r="S121" s="639" t="s">
        <v>205</v>
      </c>
      <c r="T121" s="640"/>
    </row>
    <row r="122" spans="1:20" ht="16" x14ac:dyDescent="0.35">
      <c r="A122" s="548"/>
      <c r="B122" s="242">
        <f>B121+1</f>
        <v>132</v>
      </c>
      <c r="C122" s="645"/>
      <c r="E122" s="64" t="b">
        <v>0</v>
      </c>
      <c r="F122" s="65" t="s">
        <v>206</v>
      </c>
      <c r="H122" s="44"/>
      <c r="I122" s="581" t="s">
        <v>108</v>
      </c>
      <c r="J122" s="581"/>
      <c r="K122" s="641" t="b">
        <v>0</v>
      </c>
      <c r="L122" s="624" t="s">
        <v>204</v>
      </c>
      <c r="N122" s="40" t="s">
        <v>109</v>
      </c>
      <c r="P122" s="45" t="b">
        <v>0</v>
      </c>
      <c r="Q122" s="44" t="s">
        <v>207</v>
      </c>
      <c r="S122" s="45" t="b">
        <v>0</v>
      </c>
      <c r="T122" s="72" t="s">
        <v>208</v>
      </c>
    </row>
    <row r="123" spans="1:20" ht="16" x14ac:dyDescent="0.35">
      <c r="A123" s="548"/>
      <c r="B123" s="242">
        <f>B122+1</f>
        <v>133</v>
      </c>
      <c r="C123" s="645"/>
      <c r="E123" s="64" t="b">
        <v>0</v>
      </c>
      <c r="F123" s="65" t="s">
        <v>209</v>
      </c>
      <c r="H123" s="45" t="b">
        <v>0</v>
      </c>
      <c r="I123" s="624" t="s">
        <v>210</v>
      </c>
      <c r="J123" s="44"/>
      <c r="K123" s="641"/>
      <c r="L123" s="624"/>
      <c r="N123" s="44"/>
      <c r="P123" s="44"/>
      <c r="Q123" s="46"/>
      <c r="S123" s="642" t="s">
        <v>211</v>
      </c>
      <c r="T123" s="643"/>
    </row>
    <row r="124" spans="1:20" x14ac:dyDescent="0.35">
      <c r="A124" s="548"/>
      <c r="B124" s="242">
        <f>B123+1</f>
        <v>134</v>
      </c>
      <c r="C124" s="645"/>
      <c r="H124" s="44"/>
      <c r="I124" s="624"/>
      <c r="J124" s="44"/>
      <c r="P124" s="45" t="b">
        <v>0</v>
      </c>
      <c r="Q124" s="44" t="s">
        <v>212</v>
      </c>
      <c r="S124" s="45" t="b">
        <v>0</v>
      </c>
      <c r="T124" s="72" t="s">
        <v>213</v>
      </c>
    </row>
    <row r="125" spans="1:20" x14ac:dyDescent="0.35">
      <c r="A125" s="548"/>
      <c r="B125" s="242">
        <f>B124+1</f>
        <v>135</v>
      </c>
      <c r="C125" s="645"/>
      <c r="H125" s="44"/>
      <c r="I125" s="44"/>
      <c r="J125" s="44"/>
      <c r="Q125" s="23" t="s">
        <v>107</v>
      </c>
      <c r="S125" s="45" t="b">
        <v>0</v>
      </c>
      <c r="T125" s="72" t="s">
        <v>214</v>
      </c>
    </row>
    <row r="126" spans="1:20" ht="15" thickBot="1" x14ac:dyDescent="0.4">
      <c r="A126" s="549"/>
      <c r="B126" s="242">
        <f>B125+1</f>
        <v>136</v>
      </c>
      <c r="C126" s="646"/>
      <c r="D126" s="67"/>
      <c r="E126" s="67"/>
      <c r="F126" s="67"/>
      <c r="G126" s="67"/>
      <c r="H126" s="74"/>
      <c r="I126" s="74"/>
      <c r="J126" s="74"/>
      <c r="K126" s="67"/>
      <c r="L126" s="67"/>
      <c r="M126" s="67"/>
      <c r="N126" s="67"/>
      <c r="O126" s="67"/>
      <c r="P126" s="67"/>
      <c r="Q126" s="68"/>
      <c r="R126" s="67"/>
      <c r="S126" s="124" t="b">
        <v>0</v>
      </c>
      <c r="T126" s="125" t="s">
        <v>215</v>
      </c>
    </row>
    <row r="127" spans="1:20" ht="15" hidden="1" thickBot="1" x14ac:dyDescent="0.4">
      <c r="C127" s="310"/>
      <c r="D127" s="238"/>
      <c r="E127" s="238"/>
      <c r="F127" s="238"/>
      <c r="G127" s="238"/>
      <c r="H127" s="238"/>
      <c r="I127" s="238"/>
      <c r="J127" s="238"/>
      <c r="K127" s="238"/>
      <c r="L127" s="238"/>
      <c r="M127" s="238"/>
      <c r="N127" s="238"/>
      <c r="O127" s="238"/>
      <c r="P127" s="238"/>
      <c r="Q127" s="238"/>
      <c r="R127" s="238"/>
      <c r="S127" s="238"/>
      <c r="T127" s="311"/>
    </row>
    <row r="128" spans="1:20" ht="3.5" customHeight="1" thickBot="1" x14ac:dyDescent="0.4">
      <c r="C128" s="310"/>
      <c r="D128" s="238"/>
      <c r="E128" s="238"/>
      <c r="F128" s="238"/>
      <c r="G128" s="238"/>
      <c r="H128" s="238"/>
      <c r="I128" s="238"/>
      <c r="J128" s="238"/>
      <c r="K128" s="238"/>
      <c r="L128" s="238"/>
      <c r="M128" s="238"/>
      <c r="N128" s="238"/>
      <c r="O128" s="238"/>
      <c r="P128" s="238"/>
      <c r="Q128" s="238"/>
      <c r="R128" s="238"/>
      <c r="S128" s="238"/>
      <c r="T128" s="311"/>
    </row>
    <row r="129" spans="1:20" ht="15" hidden="1" thickBot="1" x14ac:dyDescent="0.4">
      <c r="C129" s="310"/>
      <c r="D129" s="238"/>
      <c r="E129" s="238"/>
      <c r="F129" s="238"/>
      <c r="G129" s="238"/>
      <c r="H129" s="238"/>
      <c r="I129" s="238"/>
      <c r="J129" s="238"/>
      <c r="K129" s="238"/>
      <c r="L129" s="238"/>
      <c r="M129" s="238"/>
      <c r="N129" s="238"/>
      <c r="O129" s="238"/>
      <c r="P129" s="238"/>
      <c r="Q129" s="238"/>
      <c r="R129" s="238"/>
      <c r="S129" s="238"/>
      <c r="T129" s="311"/>
    </row>
    <row r="130" spans="1:20" ht="16.5" thickBot="1" x14ac:dyDescent="0.4">
      <c r="A130" s="547">
        <f>A121+1</f>
        <v>14</v>
      </c>
      <c r="B130" s="13">
        <f>B121+10</f>
        <v>141</v>
      </c>
      <c r="C130" s="644" t="str">
        <f>VLOOKUP(A130,INputs!$G$3:$O$22,9,FALSE)</f>
        <v>Please fill out Sensitivity Labels Tab</v>
      </c>
      <c r="D130" s="62"/>
      <c r="E130" s="60" t="b">
        <v>0</v>
      </c>
      <c r="F130" s="61" t="s">
        <v>201</v>
      </c>
      <c r="G130" s="62"/>
      <c r="H130" s="637"/>
      <c r="I130" s="637"/>
      <c r="J130" s="63"/>
      <c r="K130" s="77" t="b">
        <v>0</v>
      </c>
      <c r="L130" s="63" t="s">
        <v>202</v>
      </c>
      <c r="M130" s="62"/>
      <c r="N130" s="480" t="s">
        <v>203</v>
      </c>
      <c r="O130" s="62"/>
      <c r="P130" s="638" t="s">
        <v>204</v>
      </c>
      <c r="Q130" s="638"/>
      <c r="R130" s="62"/>
      <c r="S130" s="639" t="s">
        <v>205</v>
      </c>
      <c r="T130" s="640"/>
    </row>
    <row r="131" spans="1:20" ht="16" x14ac:dyDescent="0.35">
      <c r="A131" s="548"/>
      <c r="B131" s="242">
        <f>B130+1</f>
        <v>142</v>
      </c>
      <c r="C131" s="645"/>
      <c r="E131" s="64" t="b">
        <v>0</v>
      </c>
      <c r="F131" s="65" t="s">
        <v>206</v>
      </c>
      <c r="H131" s="44"/>
      <c r="I131" s="581" t="s">
        <v>108</v>
      </c>
      <c r="J131" s="581"/>
      <c r="K131" s="641" t="b">
        <v>0</v>
      </c>
      <c r="L131" s="624" t="s">
        <v>204</v>
      </c>
      <c r="N131" s="40" t="s">
        <v>109</v>
      </c>
      <c r="P131" s="45" t="b">
        <v>0</v>
      </c>
      <c r="Q131" s="44" t="s">
        <v>207</v>
      </c>
      <c r="S131" s="45" t="b">
        <v>0</v>
      </c>
      <c r="T131" s="72" t="s">
        <v>208</v>
      </c>
    </row>
    <row r="132" spans="1:20" ht="16" x14ac:dyDescent="0.35">
      <c r="A132" s="548"/>
      <c r="B132" s="242">
        <f>B131+1</f>
        <v>143</v>
      </c>
      <c r="C132" s="645"/>
      <c r="E132" s="64" t="b">
        <v>0</v>
      </c>
      <c r="F132" s="65" t="s">
        <v>209</v>
      </c>
      <c r="H132" s="45" t="b">
        <v>0</v>
      </c>
      <c r="I132" s="624" t="s">
        <v>210</v>
      </c>
      <c r="J132" s="44"/>
      <c r="K132" s="641"/>
      <c r="L132" s="624"/>
      <c r="N132" s="44"/>
      <c r="P132" s="44"/>
      <c r="Q132" s="46"/>
      <c r="S132" s="642" t="s">
        <v>211</v>
      </c>
      <c r="T132" s="643"/>
    </row>
    <row r="133" spans="1:20" x14ac:dyDescent="0.35">
      <c r="A133" s="548"/>
      <c r="B133" s="242">
        <f>B132+1</f>
        <v>144</v>
      </c>
      <c r="C133" s="645"/>
      <c r="H133" s="44"/>
      <c r="I133" s="624"/>
      <c r="J133" s="44"/>
      <c r="P133" s="45" t="b">
        <v>0</v>
      </c>
      <c r="Q133" s="44" t="s">
        <v>212</v>
      </c>
      <c r="S133" s="45" t="b">
        <v>0</v>
      </c>
      <c r="T133" s="72" t="s">
        <v>213</v>
      </c>
    </row>
    <row r="134" spans="1:20" x14ac:dyDescent="0.35">
      <c r="A134" s="548"/>
      <c r="B134" s="242">
        <f>B133+1</f>
        <v>145</v>
      </c>
      <c r="C134" s="645"/>
      <c r="H134" s="44"/>
      <c r="I134" s="44"/>
      <c r="J134" s="44"/>
      <c r="Q134" s="23" t="s">
        <v>107</v>
      </c>
      <c r="S134" s="45" t="b">
        <v>0</v>
      </c>
      <c r="T134" s="72" t="s">
        <v>214</v>
      </c>
    </row>
    <row r="135" spans="1:20" ht="15" thickBot="1" x14ac:dyDescent="0.4">
      <c r="A135" s="549"/>
      <c r="B135" s="242">
        <f>B134+1</f>
        <v>146</v>
      </c>
      <c r="C135" s="646"/>
      <c r="D135" s="67"/>
      <c r="E135" s="67"/>
      <c r="F135" s="67"/>
      <c r="G135" s="67"/>
      <c r="H135" s="74"/>
      <c r="I135" s="74"/>
      <c r="J135" s="74"/>
      <c r="K135" s="67"/>
      <c r="L135" s="67"/>
      <c r="M135" s="67"/>
      <c r="N135" s="67"/>
      <c r="O135" s="67"/>
      <c r="P135" s="67"/>
      <c r="Q135" s="68"/>
      <c r="R135" s="67"/>
      <c r="S135" s="124" t="b">
        <v>0</v>
      </c>
      <c r="T135" s="125" t="s">
        <v>215</v>
      </c>
    </row>
    <row r="136" spans="1:20" ht="15" hidden="1" thickBot="1" x14ac:dyDescent="0.4">
      <c r="C136" s="310"/>
      <c r="D136" s="238"/>
      <c r="E136" s="238"/>
      <c r="F136" s="238"/>
      <c r="G136" s="238"/>
      <c r="H136" s="238"/>
      <c r="I136" s="238"/>
      <c r="J136" s="238"/>
      <c r="K136" s="238"/>
      <c r="L136" s="238"/>
      <c r="M136" s="238"/>
      <c r="N136" s="238"/>
      <c r="O136" s="238"/>
      <c r="P136" s="238"/>
      <c r="Q136" s="238"/>
      <c r="R136" s="238"/>
      <c r="S136" s="238"/>
      <c r="T136" s="311"/>
    </row>
    <row r="137" spans="1:20" ht="3.5" customHeight="1" thickBot="1" x14ac:dyDescent="0.4">
      <c r="C137" s="310"/>
      <c r="D137" s="238"/>
      <c r="E137" s="238"/>
      <c r="F137" s="238"/>
      <c r="G137" s="238"/>
      <c r="H137" s="238"/>
      <c r="I137" s="238"/>
      <c r="J137" s="238"/>
      <c r="K137" s="238"/>
      <c r="L137" s="238"/>
      <c r="M137" s="238"/>
      <c r="N137" s="238"/>
      <c r="O137" s="238"/>
      <c r="P137" s="238"/>
      <c r="Q137" s="238"/>
      <c r="R137" s="238"/>
      <c r="S137" s="238"/>
      <c r="T137" s="311"/>
    </row>
    <row r="138" spans="1:20" ht="15" hidden="1" thickBot="1" x14ac:dyDescent="0.4">
      <c r="C138" s="310"/>
      <c r="D138" s="238"/>
      <c r="E138" s="238"/>
      <c r="F138" s="238"/>
      <c r="G138" s="238"/>
      <c r="H138" s="238"/>
      <c r="I138" s="238"/>
      <c r="J138" s="238"/>
      <c r="K138" s="238"/>
      <c r="L138" s="238"/>
      <c r="M138" s="238"/>
      <c r="N138" s="238"/>
      <c r="O138" s="238"/>
      <c r="P138" s="238"/>
      <c r="Q138" s="238"/>
      <c r="R138" s="238"/>
      <c r="S138" s="238"/>
      <c r="T138" s="311"/>
    </row>
    <row r="139" spans="1:20" ht="16.5" thickBot="1" x14ac:dyDescent="0.4">
      <c r="A139" s="547">
        <f>A130+1</f>
        <v>15</v>
      </c>
      <c r="B139" s="13">
        <f>B130+10</f>
        <v>151</v>
      </c>
      <c r="C139" s="644" t="str">
        <f>VLOOKUP(A139,INputs!$G$3:$O$22,9,FALSE)</f>
        <v>Please fill out Sensitivity Labels Tab</v>
      </c>
      <c r="D139" s="62"/>
      <c r="E139" s="60" t="b">
        <v>0</v>
      </c>
      <c r="F139" s="61" t="s">
        <v>201</v>
      </c>
      <c r="G139" s="62"/>
      <c r="H139" s="637"/>
      <c r="I139" s="637"/>
      <c r="J139" s="63"/>
      <c r="K139" s="77" t="b">
        <v>0</v>
      </c>
      <c r="L139" s="63" t="s">
        <v>202</v>
      </c>
      <c r="M139" s="62"/>
      <c r="N139" s="480" t="s">
        <v>203</v>
      </c>
      <c r="O139" s="62"/>
      <c r="P139" s="638" t="s">
        <v>204</v>
      </c>
      <c r="Q139" s="638"/>
      <c r="R139" s="62"/>
      <c r="S139" s="639" t="s">
        <v>205</v>
      </c>
      <c r="T139" s="640"/>
    </row>
    <row r="140" spans="1:20" ht="16" x14ac:dyDescent="0.35">
      <c r="A140" s="548"/>
      <c r="B140" s="242">
        <f>B139+1</f>
        <v>152</v>
      </c>
      <c r="C140" s="645"/>
      <c r="E140" s="64" t="b">
        <v>0</v>
      </c>
      <c r="F140" s="65" t="s">
        <v>206</v>
      </c>
      <c r="H140" s="44"/>
      <c r="I140" s="581" t="s">
        <v>108</v>
      </c>
      <c r="J140" s="581"/>
      <c r="K140" s="641" t="b">
        <v>0</v>
      </c>
      <c r="L140" s="624" t="s">
        <v>204</v>
      </c>
      <c r="N140" s="40" t="s">
        <v>109</v>
      </c>
      <c r="P140" s="45" t="b">
        <v>0</v>
      </c>
      <c r="Q140" s="44" t="s">
        <v>207</v>
      </c>
      <c r="S140" s="45" t="b">
        <v>0</v>
      </c>
      <c r="T140" s="72" t="s">
        <v>208</v>
      </c>
    </row>
    <row r="141" spans="1:20" ht="16" x14ac:dyDescent="0.35">
      <c r="A141" s="548"/>
      <c r="B141" s="242">
        <f>B140+1</f>
        <v>153</v>
      </c>
      <c r="C141" s="645"/>
      <c r="E141" s="64" t="b">
        <v>0</v>
      </c>
      <c r="F141" s="65" t="s">
        <v>209</v>
      </c>
      <c r="H141" s="45" t="b">
        <v>0</v>
      </c>
      <c r="I141" s="624" t="s">
        <v>210</v>
      </c>
      <c r="J141" s="44"/>
      <c r="K141" s="641"/>
      <c r="L141" s="624"/>
      <c r="N141" s="44"/>
      <c r="P141" s="44"/>
      <c r="Q141" s="46"/>
      <c r="S141" s="642" t="s">
        <v>211</v>
      </c>
      <c r="T141" s="643"/>
    </row>
    <row r="142" spans="1:20" x14ac:dyDescent="0.35">
      <c r="A142" s="548"/>
      <c r="B142" s="242">
        <f>B141+1</f>
        <v>154</v>
      </c>
      <c r="C142" s="645"/>
      <c r="H142" s="44"/>
      <c r="I142" s="624"/>
      <c r="J142" s="44"/>
      <c r="P142" s="45" t="b">
        <v>0</v>
      </c>
      <c r="Q142" s="44" t="s">
        <v>212</v>
      </c>
      <c r="S142" s="45" t="b">
        <v>0</v>
      </c>
      <c r="T142" s="72" t="s">
        <v>213</v>
      </c>
    </row>
    <row r="143" spans="1:20" x14ac:dyDescent="0.35">
      <c r="A143" s="548"/>
      <c r="B143" s="242">
        <f>B142+1</f>
        <v>155</v>
      </c>
      <c r="C143" s="645"/>
      <c r="H143" s="44"/>
      <c r="I143" s="44"/>
      <c r="J143" s="44"/>
      <c r="Q143" s="23" t="s">
        <v>107</v>
      </c>
      <c r="S143" s="45" t="b">
        <v>0</v>
      </c>
      <c r="T143" s="72" t="s">
        <v>214</v>
      </c>
    </row>
    <row r="144" spans="1:20" ht="15" thickBot="1" x14ac:dyDescent="0.4">
      <c r="A144" s="549"/>
      <c r="B144" s="242">
        <f>B143+1</f>
        <v>156</v>
      </c>
      <c r="C144" s="646"/>
      <c r="D144" s="67"/>
      <c r="E144" s="67"/>
      <c r="F144" s="67"/>
      <c r="G144" s="67"/>
      <c r="H144" s="74"/>
      <c r="I144" s="74"/>
      <c r="J144" s="74"/>
      <c r="K144" s="67"/>
      <c r="L144" s="67"/>
      <c r="M144" s="67"/>
      <c r="N144" s="67"/>
      <c r="O144" s="67"/>
      <c r="P144" s="67"/>
      <c r="Q144" s="68"/>
      <c r="R144" s="67"/>
      <c r="S144" s="124" t="b">
        <v>0</v>
      </c>
      <c r="T144" s="125" t="s">
        <v>215</v>
      </c>
    </row>
    <row r="145" spans="1:20" ht="15" hidden="1" thickBot="1" x14ac:dyDescent="0.4">
      <c r="C145" s="310"/>
      <c r="D145" s="238"/>
      <c r="E145" s="238"/>
      <c r="F145" s="238"/>
      <c r="G145" s="238"/>
      <c r="H145" s="238"/>
      <c r="I145" s="238"/>
      <c r="J145" s="238"/>
      <c r="K145" s="238"/>
      <c r="L145" s="238"/>
      <c r="M145" s="238"/>
      <c r="N145" s="238"/>
      <c r="O145" s="238"/>
      <c r="P145" s="238"/>
      <c r="Q145" s="238"/>
      <c r="R145" s="238"/>
      <c r="S145" s="238"/>
      <c r="T145" s="311"/>
    </row>
    <row r="146" spans="1:20" ht="3.5" customHeight="1" thickBot="1" x14ac:dyDescent="0.4">
      <c r="C146" s="310"/>
      <c r="D146" s="238"/>
      <c r="E146" s="238"/>
      <c r="F146" s="238"/>
      <c r="G146" s="238"/>
      <c r="H146" s="238"/>
      <c r="I146" s="238"/>
      <c r="J146" s="238"/>
      <c r="K146" s="238"/>
      <c r="L146" s="238"/>
      <c r="M146" s="238"/>
      <c r="N146" s="238"/>
      <c r="O146" s="238"/>
      <c r="P146" s="238"/>
      <c r="Q146" s="238"/>
      <c r="R146" s="238"/>
      <c r="S146" s="238"/>
      <c r="T146" s="311"/>
    </row>
    <row r="147" spans="1:20" ht="15" hidden="1" thickBot="1" x14ac:dyDescent="0.4">
      <c r="C147" s="310"/>
      <c r="D147" s="238"/>
      <c r="E147" s="238"/>
      <c r="F147" s="238"/>
      <c r="G147" s="238"/>
      <c r="H147" s="238"/>
      <c r="I147" s="238"/>
      <c r="J147" s="238"/>
      <c r="K147" s="238"/>
      <c r="L147" s="238"/>
      <c r="M147" s="238"/>
      <c r="N147" s="238"/>
      <c r="O147" s="238"/>
      <c r="P147" s="238"/>
      <c r="Q147" s="238"/>
      <c r="R147" s="238"/>
      <c r="S147" s="238"/>
      <c r="T147" s="311"/>
    </row>
    <row r="148" spans="1:20" ht="16.5" thickBot="1" x14ac:dyDescent="0.4">
      <c r="A148" s="547">
        <f>A139+1</f>
        <v>16</v>
      </c>
      <c r="B148" s="13">
        <f>B139+10</f>
        <v>161</v>
      </c>
      <c r="C148" s="644" t="str">
        <f>VLOOKUP(A148,INputs!$G$3:$O$22,9,FALSE)</f>
        <v>Please fill out Sensitivity Labels Tab</v>
      </c>
      <c r="D148" s="62"/>
      <c r="E148" s="60" t="b">
        <v>0</v>
      </c>
      <c r="F148" s="61" t="s">
        <v>201</v>
      </c>
      <c r="G148" s="62"/>
      <c r="H148" s="637"/>
      <c r="I148" s="637"/>
      <c r="J148" s="63"/>
      <c r="K148" s="77" t="b">
        <v>0</v>
      </c>
      <c r="L148" s="63" t="s">
        <v>202</v>
      </c>
      <c r="M148" s="62"/>
      <c r="N148" s="480" t="s">
        <v>203</v>
      </c>
      <c r="O148" s="62"/>
      <c r="P148" s="638" t="s">
        <v>204</v>
      </c>
      <c r="Q148" s="638"/>
      <c r="R148" s="62"/>
      <c r="S148" s="639" t="s">
        <v>205</v>
      </c>
      <c r="T148" s="640"/>
    </row>
    <row r="149" spans="1:20" ht="16" x14ac:dyDescent="0.35">
      <c r="A149" s="548"/>
      <c r="B149" s="242">
        <f>B148+1</f>
        <v>162</v>
      </c>
      <c r="C149" s="645"/>
      <c r="E149" s="64" t="b">
        <v>0</v>
      </c>
      <c r="F149" s="65" t="s">
        <v>206</v>
      </c>
      <c r="H149" s="44"/>
      <c r="I149" s="581" t="s">
        <v>108</v>
      </c>
      <c r="J149" s="581"/>
      <c r="K149" s="641" t="b">
        <v>0</v>
      </c>
      <c r="L149" s="624" t="s">
        <v>204</v>
      </c>
      <c r="N149" s="40" t="s">
        <v>109</v>
      </c>
      <c r="P149" s="45" t="b">
        <v>0</v>
      </c>
      <c r="Q149" s="44" t="s">
        <v>207</v>
      </c>
      <c r="S149" s="45" t="b">
        <v>0</v>
      </c>
      <c r="T149" s="72" t="s">
        <v>208</v>
      </c>
    </row>
    <row r="150" spans="1:20" ht="16" x14ac:dyDescent="0.35">
      <c r="A150" s="548"/>
      <c r="B150" s="242">
        <f>B149+1</f>
        <v>163</v>
      </c>
      <c r="C150" s="645"/>
      <c r="E150" s="64" t="b">
        <v>0</v>
      </c>
      <c r="F150" s="65" t="s">
        <v>209</v>
      </c>
      <c r="H150" s="45" t="b">
        <v>0</v>
      </c>
      <c r="I150" s="624" t="s">
        <v>210</v>
      </c>
      <c r="J150" s="44"/>
      <c r="K150" s="641"/>
      <c r="L150" s="624"/>
      <c r="N150" s="44" t="s">
        <v>17</v>
      </c>
      <c r="P150" s="44"/>
      <c r="Q150" s="46"/>
      <c r="S150" s="642" t="s">
        <v>211</v>
      </c>
      <c r="T150" s="643"/>
    </row>
    <row r="151" spans="1:20" x14ac:dyDescent="0.35">
      <c r="A151" s="548"/>
      <c r="B151" s="242">
        <f>B150+1</f>
        <v>164</v>
      </c>
      <c r="C151" s="645"/>
      <c r="H151" s="44"/>
      <c r="I151" s="624"/>
      <c r="J151" s="44"/>
      <c r="P151" s="45" t="b">
        <v>0</v>
      </c>
      <c r="Q151" s="44" t="s">
        <v>212</v>
      </c>
      <c r="S151" s="45" t="b">
        <v>0</v>
      </c>
      <c r="T151" s="72" t="s">
        <v>213</v>
      </c>
    </row>
    <row r="152" spans="1:20" x14ac:dyDescent="0.35">
      <c r="A152" s="548"/>
      <c r="B152" s="242">
        <f>B151+1</f>
        <v>165</v>
      </c>
      <c r="C152" s="645"/>
      <c r="H152" s="44"/>
      <c r="I152" s="44"/>
      <c r="J152" s="44"/>
      <c r="Q152" s="23" t="s">
        <v>107</v>
      </c>
      <c r="S152" s="45" t="b">
        <v>0</v>
      </c>
      <c r="T152" s="72" t="s">
        <v>214</v>
      </c>
    </row>
    <row r="153" spans="1:20" ht="15" thickBot="1" x14ac:dyDescent="0.4">
      <c r="A153" s="549"/>
      <c r="B153" s="242">
        <f>B152+1</f>
        <v>166</v>
      </c>
      <c r="C153" s="646"/>
      <c r="D153" s="67"/>
      <c r="E153" s="67"/>
      <c r="F153" s="67"/>
      <c r="G153" s="67"/>
      <c r="H153" s="74"/>
      <c r="I153" s="74"/>
      <c r="J153" s="74"/>
      <c r="K153" s="67"/>
      <c r="L153" s="67"/>
      <c r="M153" s="67"/>
      <c r="N153" s="67"/>
      <c r="O153" s="67"/>
      <c r="P153" s="67"/>
      <c r="Q153" s="68"/>
      <c r="R153" s="67"/>
      <c r="S153" s="124" t="b">
        <v>0</v>
      </c>
      <c r="T153" s="125" t="s">
        <v>215</v>
      </c>
    </row>
    <row r="154" spans="1:20" ht="15" hidden="1" thickBot="1" x14ac:dyDescent="0.4">
      <c r="C154" s="310"/>
      <c r="D154" s="238"/>
      <c r="E154" s="238"/>
      <c r="F154" s="238"/>
      <c r="G154" s="238"/>
      <c r="H154" s="238"/>
      <c r="I154" s="238"/>
      <c r="J154" s="238"/>
      <c r="K154" s="238"/>
      <c r="L154" s="238"/>
      <c r="M154" s="238"/>
      <c r="N154" s="238"/>
      <c r="O154" s="238"/>
      <c r="P154" s="238"/>
      <c r="Q154" s="238"/>
      <c r="R154" s="238"/>
      <c r="S154" s="238"/>
      <c r="T154" s="311"/>
    </row>
    <row r="155" spans="1:20" ht="3.5" customHeight="1" thickBot="1" x14ac:dyDescent="0.4">
      <c r="C155" s="310"/>
      <c r="D155" s="238"/>
      <c r="E155" s="238"/>
      <c r="F155" s="238"/>
      <c r="G155" s="238"/>
      <c r="H155" s="238"/>
      <c r="I155" s="238"/>
      <c r="J155" s="238"/>
      <c r="K155" s="238"/>
      <c r="L155" s="238"/>
      <c r="M155" s="238"/>
      <c r="N155" s="238"/>
      <c r="O155" s="238"/>
      <c r="P155" s="238"/>
      <c r="Q155" s="238"/>
      <c r="R155" s="238"/>
      <c r="S155" s="238"/>
      <c r="T155" s="311"/>
    </row>
    <row r="156" spans="1:20" ht="15" hidden="1" thickBot="1" x14ac:dyDescent="0.4">
      <c r="C156" s="310"/>
      <c r="D156" s="238"/>
      <c r="E156" s="238"/>
      <c r="F156" s="238"/>
      <c r="G156" s="238"/>
      <c r="H156" s="238"/>
      <c r="I156" s="238"/>
      <c r="J156" s="238"/>
      <c r="K156" s="238"/>
      <c r="L156" s="238"/>
      <c r="M156" s="238"/>
      <c r="N156" s="238"/>
      <c r="O156" s="238"/>
      <c r="P156" s="238"/>
      <c r="Q156" s="238"/>
      <c r="R156" s="238"/>
      <c r="S156" s="238"/>
      <c r="T156" s="311"/>
    </row>
    <row r="157" spans="1:20" ht="16.5" thickBot="1" x14ac:dyDescent="0.4">
      <c r="A157" s="547">
        <f>A148+1</f>
        <v>17</v>
      </c>
      <c r="B157" s="13">
        <f>B148+10</f>
        <v>171</v>
      </c>
      <c r="C157" s="644" t="str">
        <f>VLOOKUP(A157,INputs!$G$3:$O$22,9,FALSE)</f>
        <v>Please fill out Sensitivity Labels Tab</v>
      </c>
      <c r="D157" s="62"/>
      <c r="E157" s="60" t="b">
        <v>0</v>
      </c>
      <c r="F157" s="61" t="s">
        <v>201</v>
      </c>
      <c r="G157" s="62"/>
      <c r="H157" s="637"/>
      <c r="I157" s="637"/>
      <c r="J157" s="63"/>
      <c r="K157" s="77" t="b">
        <v>0</v>
      </c>
      <c r="L157" s="63" t="s">
        <v>202</v>
      </c>
      <c r="M157" s="62"/>
      <c r="N157" s="480" t="s">
        <v>203</v>
      </c>
      <c r="O157" s="62"/>
      <c r="P157" s="638" t="s">
        <v>204</v>
      </c>
      <c r="Q157" s="638"/>
      <c r="R157" s="62"/>
      <c r="S157" s="639" t="s">
        <v>205</v>
      </c>
      <c r="T157" s="640"/>
    </row>
    <row r="158" spans="1:20" ht="16" x14ac:dyDescent="0.35">
      <c r="A158" s="548"/>
      <c r="B158" s="242">
        <f>B157+1</f>
        <v>172</v>
      </c>
      <c r="C158" s="645"/>
      <c r="E158" s="64" t="b">
        <v>0</v>
      </c>
      <c r="F158" s="65" t="s">
        <v>206</v>
      </c>
      <c r="H158" s="44"/>
      <c r="I158" s="581" t="s">
        <v>108</v>
      </c>
      <c r="J158" s="581"/>
      <c r="K158" s="641" t="b">
        <v>0</v>
      </c>
      <c r="L158" s="624" t="s">
        <v>204</v>
      </c>
      <c r="N158" s="40" t="s">
        <v>109</v>
      </c>
      <c r="P158" s="45" t="b">
        <v>0</v>
      </c>
      <c r="Q158" s="44" t="s">
        <v>207</v>
      </c>
      <c r="S158" s="45" t="b">
        <v>0</v>
      </c>
      <c r="T158" s="72" t="s">
        <v>208</v>
      </c>
    </row>
    <row r="159" spans="1:20" ht="16" x14ac:dyDescent="0.35">
      <c r="A159" s="548"/>
      <c r="B159" s="242">
        <f>B158+1</f>
        <v>173</v>
      </c>
      <c r="C159" s="645"/>
      <c r="E159" s="64" t="b">
        <v>0</v>
      </c>
      <c r="F159" s="65" t="s">
        <v>209</v>
      </c>
      <c r="H159" s="45" t="b">
        <v>0</v>
      </c>
      <c r="I159" s="624" t="s">
        <v>210</v>
      </c>
      <c r="J159" s="44"/>
      <c r="K159" s="641"/>
      <c r="L159" s="624"/>
      <c r="N159" s="44"/>
      <c r="P159" s="44"/>
      <c r="Q159" s="46"/>
      <c r="S159" s="642" t="s">
        <v>211</v>
      </c>
      <c r="T159" s="643"/>
    </row>
    <row r="160" spans="1:20" x14ac:dyDescent="0.35">
      <c r="A160" s="548"/>
      <c r="B160" s="242">
        <f>B159+1</f>
        <v>174</v>
      </c>
      <c r="C160" s="645"/>
      <c r="H160" s="44"/>
      <c r="I160" s="624"/>
      <c r="J160" s="44"/>
      <c r="P160" s="45" t="b">
        <v>0</v>
      </c>
      <c r="Q160" s="44" t="s">
        <v>212</v>
      </c>
      <c r="S160" s="45" t="b">
        <v>0</v>
      </c>
      <c r="T160" s="72" t="s">
        <v>213</v>
      </c>
    </row>
    <row r="161" spans="1:20" x14ac:dyDescent="0.35">
      <c r="A161" s="548"/>
      <c r="B161" s="242">
        <f>B160+1</f>
        <v>175</v>
      </c>
      <c r="C161" s="645"/>
      <c r="H161" s="44"/>
      <c r="I161" s="44"/>
      <c r="J161" s="44"/>
      <c r="Q161" s="23" t="s">
        <v>107</v>
      </c>
      <c r="S161" s="45" t="b">
        <v>0</v>
      </c>
      <c r="T161" s="72" t="s">
        <v>214</v>
      </c>
    </row>
    <row r="162" spans="1:20" ht="15" thickBot="1" x14ac:dyDescent="0.4">
      <c r="A162" s="549"/>
      <c r="B162" s="242">
        <f>B161+1</f>
        <v>176</v>
      </c>
      <c r="C162" s="646"/>
      <c r="D162" s="67"/>
      <c r="E162" s="67"/>
      <c r="F162" s="67"/>
      <c r="G162" s="67"/>
      <c r="H162" s="74"/>
      <c r="I162" s="74"/>
      <c r="J162" s="74"/>
      <c r="K162" s="67"/>
      <c r="L162" s="67"/>
      <c r="M162" s="67"/>
      <c r="N162" s="67"/>
      <c r="O162" s="67"/>
      <c r="P162" s="67"/>
      <c r="Q162" s="68"/>
      <c r="R162" s="67"/>
      <c r="S162" s="124" t="b">
        <v>0</v>
      </c>
      <c r="T162" s="125" t="s">
        <v>215</v>
      </c>
    </row>
    <row r="163" spans="1:20" ht="15" hidden="1" thickBot="1" x14ac:dyDescent="0.4">
      <c r="C163" s="310"/>
      <c r="D163" s="238"/>
      <c r="E163" s="238"/>
      <c r="F163" s="238"/>
      <c r="G163" s="238"/>
      <c r="H163" s="238"/>
      <c r="I163" s="238"/>
      <c r="J163" s="238"/>
      <c r="K163" s="238"/>
      <c r="L163" s="238"/>
      <c r="M163" s="238"/>
      <c r="N163" s="238"/>
      <c r="O163" s="238"/>
      <c r="P163" s="238"/>
      <c r="Q163" s="238"/>
      <c r="R163" s="238"/>
      <c r="S163" s="238"/>
      <c r="T163" s="311"/>
    </row>
    <row r="164" spans="1:20" ht="3.5" customHeight="1" thickBot="1" x14ac:dyDescent="0.4">
      <c r="C164" s="310"/>
      <c r="D164" s="238"/>
      <c r="E164" s="238"/>
      <c r="F164" s="238"/>
      <c r="G164" s="238"/>
      <c r="H164" s="238"/>
      <c r="I164" s="238"/>
      <c r="J164" s="238"/>
      <c r="K164" s="238"/>
      <c r="L164" s="238"/>
      <c r="M164" s="238"/>
      <c r="N164" s="238"/>
      <c r="O164" s="238"/>
      <c r="P164" s="238"/>
      <c r="Q164" s="238"/>
      <c r="R164" s="238"/>
      <c r="S164" s="238"/>
      <c r="T164" s="311"/>
    </row>
    <row r="165" spans="1:20" ht="15" hidden="1" thickBot="1" x14ac:dyDescent="0.4">
      <c r="C165" s="310"/>
      <c r="D165" s="238"/>
      <c r="E165" s="238"/>
      <c r="F165" s="238"/>
      <c r="G165" s="238"/>
      <c r="H165" s="238"/>
      <c r="I165" s="238"/>
      <c r="J165" s="238"/>
      <c r="K165" s="238"/>
      <c r="L165" s="238"/>
      <c r="M165" s="238"/>
      <c r="N165" s="238"/>
      <c r="O165" s="238"/>
      <c r="P165" s="238"/>
      <c r="Q165" s="238"/>
      <c r="R165" s="238"/>
      <c r="S165" s="238"/>
      <c r="T165" s="311"/>
    </row>
    <row r="166" spans="1:20" ht="16.5" thickBot="1" x14ac:dyDescent="0.4">
      <c r="A166" s="547">
        <f>A157+1</f>
        <v>18</v>
      </c>
      <c r="B166" s="13">
        <f>B157+10</f>
        <v>181</v>
      </c>
      <c r="C166" s="644" t="str">
        <f>VLOOKUP(A166,INputs!$G$3:$O$22,9,FALSE)</f>
        <v>Please fill out Sensitivity Labels Tab</v>
      </c>
      <c r="D166" s="62"/>
      <c r="E166" s="60" t="b">
        <v>0</v>
      </c>
      <c r="F166" s="61" t="s">
        <v>201</v>
      </c>
      <c r="G166" s="62"/>
      <c r="H166" s="637"/>
      <c r="I166" s="637"/>
      <c r="J166" s="63"/>
      <c r="K166" s="77" t="b">
        <v>0</v>
      </c>
      <c r="L166" s="63" t="s">
        <v>202</v>
      </c>
      <c r="M166" s="62"/>
      <c r="N166" s="480" t="s">
        <v>203</v>
      </c>
      <c r="O166" s="62"/>
      <c r="P166" s="638" t="s">
        <v>204</v>
      </c>
      <c r="Q166" s="638"/>
      <c r="R166" s="62"/>
      <c r="S166" s="639" t="s">
        <v>205</v>
      </c>
      <c r="T166" s="640"/>
    </row>
    <row r="167" spans="1:20" ht="16" x14ac:dyDescent="0.35">
      <c r="A167" s="548"/>
      <c r="B167" s="242">
        <f>B166+1</f>
        <v>182</v>
      </c>
      <c r="C167" s="645"/>
      <c r="E167" s="64" t="b">
        <v>0</v>
      </c>
      <c r="F167" s="65" t="s">
        <v>206</v>
      </c>
      <c r="H167" s="44"/>
      <c r="I167" s="581" t="s">
        <v>108</v>
      </c>
      <c r="J167" s="581"/>
      <c r="K167" s="641" t="b">
        <v>0</v>
      </c>
      <c r="L167" s="624" t="s">
        <v>204</v>
      </c>
      <c r="N167" s="40" t="s">
        <v>109</v>
      </c>
      <c r="P167" s="45" t="b">
        <v>0</v>
      </c>
      <c r="Q167" s="44" t="s">
        <v>207</v>
      </c>
      <c r="S167" s="45" t="b">
        <v>0</v>
      </c>
      <c r="T167" s="72" t="s">
        <v>208</v>
      </c>
    </row>
    <row r="168" spans="1:20" ht="16" x14ac:dyDescent="0.35">
      <c r="A168" s="548"/>
      <c r="B168" s="242">
        <f>B167+1</f>
        <v>183</v>
      </c>
      <c r="C168" s="645"/>
      <c r="E168" s="64" t="b">
        <v>0</v>
      </c>
      <c r="F168" s="65" t="s">
        <v>209</v>
      </c>
      <c r="H168" s="45" t="b">
        <v>0</v>
      </c>
      <c r="I168" s="624" t="s">
        <v>210</v>
      </c>
      <c r="J168" s="44"/>
      <c r="K168" s="641"/>
      <c r="L168" s="624"/>
      <c r="N168" s="44"/>
      <c r="P168" s="44"/>
      <c r="Q168" s="46"/>
      <c r="S168" s="642" t="s">
        <v>211</v>
      </c>
      <c r="T168" s="643"/>
    </row>
    <row r="169" spans="1:20" x14ac:dyDescent="0.35">
      <c r="A169" s="548"/>
      <c r="B169" s="242">
        <f>B168+1</f>
        <v>184</v>
      </c>
      <c r="C169" s="645"/>
      <c r="H169" s="44"/>
      <c r="I169" s="624"/>
      <c r="J169" s="44"/>
      <c r="P169" s="45" t="b">
        <v>0</v>
      </c>
      <c r="Q169" s="44" t="s">
        <v>212</v>
      </c>
      <c r="S169" s="45" t="b">
        <v>0</v>
      </c>
      <c r="T169" s="72" t="s">
        <v>213</v>
      </c>
    </row>
    <row r="170" spans="1:20" x14ac:dyDescent="0.35">
      <c r="A170" s="548"/>
      <c r="B170" s="242">
        <f>B169+1</f>
        <v>185</v>
      </c>
      <c r="C170" s="645"/>
      <c r="H170" s="44"/>
      <c r="I170" s="44"/>
      <c r="J170" s="44"/>
      <c r="Q170" s="23" t="s">
        <v>107</v>
      </c>
      <c r="S170" s="45" t="b">
        <v>0</v>
      </c>
      <c r="T170" s="72" t="s">
        <v>214</v>
      </c>
    </row>
    <row r="171" spans="1:20" ht="15" thickBot="1" x14ac:dyDescent="0.4">
      <c r="A171" s="549"/>
      <c r="B171" s="242">
        <f>B170+1</f>
        <v>186</v>
      </c>
      <c r="C171" s="646"/>
      <c r="D171" s="67"/>
      <c r="E171" s="67"/>
      <c r="F171" s="67"/>
      <c r="G171" s="67"/>
      <c r="H171" s="74"/>
      <c r="I171" s="74"/>
      <c r="J171" s="74"/>
      <c r="K171" s="67"/>
      <c r="L171" s="67"/>
      <c r="M171" s="67"/>
      <c r="N171" s="67"/>
      <c r="O171" s="67"/>
      <c r="P171" s="67"/>
      <c r="Q171" s="68"/>
      <c r="R171" s="67"/>
      <c r="S171" s="124" t="b">
        <v>0</v>
      </c>
      <c r="T171" s="125" t="s">
        <v>215</v>
      </c>
    </row>
    <row r="172" spans="1:20" ht="15" hidden="1" thickBot="1" x14ac:dyDescent="0.4">
      <c r="C172" s="310"/>
      <c r="D172" s="238"/>
      <c r="E172" s="238"/>
      <c r="F172" s="238"/>
      <c r="G172" s="238"/>
      <c r="H172" s="238"/>
      <c r="I172" s="238"/>
      <c r="J172" s="238"/>
      <c r="K172" s="238"/>
      <c r="L172" s="238"/>
      <c r="M172" s="238"/>
      <c r="N172" s="238"/>
      <c r="O172" s="238"/>
      <c r="P172" s="238"/>
      <c r="Q172" s="238"/>
      <c r="R172" s="238"/>
      <c r="S172" s="238"/>
      <c r="T172" s="311"/>
    </row>
    <row r="173" spans="1:20" ht="3.5" customHeight="1" thickBot="1" x14ac:dyDescent="0.4">
      <c r="C173" s="310"/>
      <c r="D173" s="238"/>
      <c r="E173" s="238"/>
      <c r="F173" s="238"/>
      <c r="G173" s="238"/>
      <c r="H173" s="238"/>
      <c r="I173" s="238"/>
      <c r="J173" s="238"/>
      <c r="K173" s="238"/>
      <c r="L173" s="238"/>
      <c r="M173" s="238"/>
      <c r="N173" s="238"/>
      <c r="O173" s="238"/>
      <c r="P173" s="238"/>
      <c r="Q173" s="238"/>
      <c r="R173" s="238"/>
      <c r="S173" s="238"/>
      <c r="T173" s="311"/>
    </row>
    <row r="174" spans="1:20" ht="15" hidden="1" thickBot="1" x14ac:dyDescent="0.4">
      <c r="C174" s="310"/>
      <c r="D174" s="238"/>
      <c r="E174" s="238"/>
      <c r="F174" s="238"/>
      <c r="G174" s="238"/>
      <c r="H174" s="238"/>
      <c r="I174" s="238"/>
      <c r="J174" s="238"/>
      <c r="K174" s="238"/>
      <c r="L174" s="238"/>
      <c r="M174" s="238"/>
      <c r="N174" s="238"/>
      <c r="O174" s="238"/>
      <c r="P174" s="238"/>
      <c r="Q174" s="238"/>
      <c r="R174" s="238"/>
      <c r="S174" s="238"/>
      <c r="T174" s="311"/>
    </row>
    <row r="175" spans="1:20" ht="16.5" thickBot="1" x14ac:dyDescent="0.4">
      <c r="A175" s="547">
        <f>A166+1</f>
        <v>19</v>
      </c>
      <c r="B175" s="13">
        <f>B166+10</f>
        <v>191</v>
      </c>
      <c r="C175" s="644" t="str">
        <f>VLOOKUP(A175,INputs!$G$3:$O$22,9,FALSE)</f>
        <v>Please fill out Sensitivity Labels Tab</v>
      </c>
      <c r="D175" s="62"/>
      <c r="E175" s="60" t="b">
        <v>0</v>
      </c>
      <c r="F175" s="61" t="s">
        <v>201</v>
      </c>
      <c r="G175" s="62"/>
      <c r="H175" s="637"/>
      <c r="I175" s="637"/>
      <c r="J175" s="63"/>
      <c r="K175" s="77" t="b">
        <v>0</v>
      </c>
      <c r="L175" s="63" t="s">
        <v>202</v>
      </c>
      <c r="M175" s="62"/>
      <c r="N175" s="480" t="s">
        <v>203</v>
      </c>
      <c r="O175" s="62"/>
      <c r="P175" s="638" t="s">
        <v>204</v>
      </c>
      <c r="Q175" s="638"/>
      <c r="R175" s="62"/>
      <c r="S175" s="639" t="s">
        <v>205</v>
      </c>
      <c r="T175" s="640"/>
    </row>
    <row r="176" spans="1:20" ht="16" x14ac:dyDescent="0.35">
      <c r="A176" s="548"/>
      <c r="B176" s="242">
        <f>B175+1</f>
        <v>192</v>
      </c>
      <c r="C176" s="645"/>
      <c r="E176" s="64" t="b">
        <v>0</v>
      </c>
      <c r="F176" s="65" t="s">
        <v>206</v>
      </c>
      <c r="H176" s="44"/>
      <c r="I176" s="581" t="s">
        <v>108</v>
      </c>
      <c r="J176" s="581"/>
      <c r="K176" s="641" t="b">
        <v>0</v>
      </c>
      <c r="L176" s="624" t="s">
        <v>204</v>
      </c>
      <c r="N176" s="40" t="s">
        <v>109</v>
      </c>
      <c r="P176" s="45" t="b">
        <v>0</v>
      </c>
      <c r="Q176" s="44" t="s">
        <v>207</v>
      </c>
      <c r="S176" s="45" t="b">
        <v>0</v>
      </c>
      <c r="T176" s="72" t="s">
        <v>208</v>
      </c>
    </row>
    <row r="177" spans="1:20" ht="16" x14ac:dyDescent="0.35">
      <c r="A177" s="548"/>
      <c r="B177" s="242">
        <f>B176+1</f>
        <v>193</v>
      </c>
      <c r="C177" s="645"/>
      <c r="E177" s="64" t="b">
        <v>0</v>
      </c>
      <c r="F177" s="65" t="s">
        <v>209</v>
      </c>
      <c r="H177" s="45" t="b">
        <v>0</v>
      </c>
      <c r="I177" s="624" t="s">
        <v>210</v>
      </c>
      <c r="J177" s="44"/>
      <c r="K177" s="641"/>
      <c r="L177" s="624"/>
      <c r="N177" s="44"/>
      <c r="P177" s="44"/>
      <c r="Q177" s="46"/>
      <c r="S177" s="642" t="s">
        <v>211</v>
      </c>
      <c r="T177" s="643"/>
    </row>
    <row r="178" spans="1:20" x14ac:dyDescent="0.35">
      <c r="A178" s="548"/>
      <c r="B178" s="242">
        <f>B177+1</f>
        <v>194</v>
      </c>
      <c r="C178" s="645"/>
      <c r="H178" s="44"/>
      <c r="I178" s="624"/>
      <c r="J178" s="44"/>
      <c r="P178" s="45" t="b">
        <v>0</v>
      </c>
      <c r="Q178" s="44" t="s">
        <v>212</v>
      </c>
      <c r="S178" s="45" t="b">
        <v>0</v>
      </c>
      <c r="T178" s="72" t="s">
        <v>213</v>
      </c>
    </row>
    <row r="179" spans="1:20" x14ac:dyDescent="0.35">
      <c r="A179" s="548"/>
      <c r="B179" s="242">
        <f>B178+1</f>
        <v>195</v>
      </c>
      <c r="C179" s="645"/>
      <c r="H179" s="44"/>
      <c r="I179" s="44"/>
      <c r="J179" s="44"/>
      <c r="Q179" s="23" t="s">
        <v>107</v>
      </c>
      <c r="S179" s="45" t="b">
        <v>0</v>
      </c>
      <c r="T179" s="72" t="s">
        <v>214</v>
      </c>
    </row>
    <row r="180" spans="1:20" ht="15" thickBot="1" x14ac:dyDescent="0.4">
      <c r="A180" s="549"/>
      <c r="B180" s="242">
        <f>B179+1</f>
        <v>196</v>
      </c>
      <c r="C180" s="646"/>
      <c r="D180" s="67"/>
      <c r="E180" s="67"/>
      <c r="F180" s="67"/>
      <c r="G180" s="67"/>
      <c r="H180" s="74"/>
      <c r="I180" s="74"/>
      <c r="J180" s="74"/>
      <c r="K180" s="67"/>
      <c r="L180" s="67"/>
      <c r="M180" s="67"/>
      <c r="N180" s="67"/>
      <c r="O180" s="67"/>
      <c r="P180" s="67"/>
      <c r="Q180" s="68"/>
      <c r="R180" s="67"/>
      <c r="S180" s="124" t="b">
        <v>0</v>
      </c>
      <c r="T180" s="125" t="s">
        <v>215</v>
      </c>
    </row>
    <row r="181" spans="1:20" ht="15" hidden="1" thickBot="1" x14ac:dyDescent="0.4">
      <c r="C181" s="310"/>
      <c r="D181" s="238"/>
      <c r="E181" s="238"/>
      <c r="F181" s="238"/>
      <c r="G181" s="238"/>
      <c r="H181" s="238"/>
      <c r="I181" s="238"/>
      <c r="J181" s="238"/>
      <c r="K181" s="238"/>
      <c r="L181" s="238"/>
      <c r="M181" s="238"/>
      <c r="N181" s="238"/>
      <c r="O181" s="238"/>
      <c r="P181" s="238"/>
      <c r="Q181" s="238"/>
      <c r="R181" s="238"/>
      <c r="S181" s="238"/>
      <c r="T181" s="311"/>
    </row>
    <row r="182" spans="1:20" ht="3.5" customHeight="1" thickBot="1" x14ac:dyDescent="0.4">
      <c r="C182" s="310"/>
      <c r="D182" s="238"/>
      <c r="E182" s="238"/>
      <c r="F182" s="238"/>
      <c r="G182" s="238"/>
      <c r="H182" s="238"/>
      <c r="I182" s="238"/>
      <c r="J182" s="238"/>
      <c r="K182" s="238"/>
      <c r="L182" s="238"/>
      <c r="M182" s="238"/>
      <c r="N182" s="238"/>
      <c r="O182" s="238"/>
      <c r="P182" s="238"/>
      <c r="Q182" s="238"/>
      <c r="R182" s="238"/>
      <c r="S182" s="238"/>
      <c r="T182" s="311"/>
    </row>
    <row r="183" spans="1:20" ht="15" hidden="1" thickBot="1" x14ac:dyDescent="0.4">
      <c r="C183" s="310"/>
      <c r="D183" s="238"/>
      <c r="E183" s="238"/>
      <c r="F183" s="238"/>
      <c r="G183" s="238"/>
      <c r="H183" s="238"/>
      <c r="I183" s="238"/>
      <c r="J183" s="238"/>
      <c r="K183" s="238"/>
      <c r="L183" s="238"/>
      <c r="M183" s="238"/>
      <c r="N183" s="238"/>
      <c r="O183" s="238"/>
      <c r="P183" s="238"/>
      <c r="Q183" s="238"/>
      <c r="R183" s="238"/>
      <c r="S183" s="238"/>
      <c r="T183" s="311"/>
    </row>
    <row r="184" spans="1:20" ht="16.5" customHeight="1" thickBot="1" x14ac:dyDescent="0.4">
      <c r="A184" s="547">
        <f>A175+1</f>
        <v>20</v>
      </c>
      <c r="B184" s="13">
        <f>B175+10</f>
        <v>201</v>
      </c>
      <c r="C184" s="644" t="str">
        <f>VLOOKUP(A184,INputs!$G$3:$O$22,9,FALSE)</f>
        <v>Please fill out Sensitivity Labels Tab</v>
      </c>
      <c r="D184" s="62"/>
      <c r="E184" s="60" t="b">
        <v>0</v>
      </c>
      <c r="F184" s="61" t="s">
        <v>201</v>
      </c>
      <c r="G184" s="62"/>
      <c r="H184" s="637"/>
      <c r="I184" s="637"/>
      <c r="J184" s="63"/>
      <c r="K184" s="77" t="b">
        <v>0</v>
      </c>
      <c r="L184" s="63" t="s">
        <v>202</v>
      </c>
      <c r="M184" s="62"/>
      <c r="N184" s="480" t="s">
        <v>203</v>
      </c>
      <c r="O184" s="62"/>
      <c r="P184" s="638" t="s">
        <v>204</v>
      </c>
      <c r="Q184" s="638"/>
      <c r="R184" s="62"/>
      <c r="S184" s="639" t="s">
        <v>205</v>
      </c>
      <c r="T184" s="640"/>
    </row>
    <row r="185" spans="1:20" ht="16" x14ac:dyDescent="0.35">
      <c r="A185" s="548"/>
      <c r="B185" s="242">
        <f>B184+1</f>
        <v>202</v>
      </c>
      <c r="C185" s="645"/>
      <c r="E185" s="64" t="b">
        <v>0</v>
      </c>
      <c r="F185" s="65" t="s">
        <v>206</v>
      </c>
      <c r="H185" s="44"/>
      <c r="I185" s="581" t="s">
        <v>108</v>
      </c>
      <c r="J185" s="581"/>
      <c r="K185" s="641" t="b">
        <v>0</v>
      </c>
      <c r="L185" s="624" t="s">
        <v>204</v>
      </c>
      <c r="N185" s="40" t="s">
        <v>109</v>
      </c>
      <c r="P185" s="45" t="b">
        <v>0</v>
      </c>
      <c r="Q185" s="44" t="s">
        <v>207</v>
      </c>
      <c r="S185" s="45" t="b">
        <v>0</v>
      </c>
      <c r="T185" s="72" t="s">
        <v>208</v>
      </c>
    </row>
    <row r="186" spans="1:20" ht="16" x14ac:dyDescent="0.35">
      <c r="A186" s="548"/>
      <c r="B186" s="242">
        <f>B185+1</f>
        <v>203</v>
      </c>
      <c r="C186" s="645"/>
      <c r="E186" s="64" t="b">
        <v>0</v>
      </c>
      <c r="F186" s="65" t="s">
        <v>209</v>
      </c>
      <c r="H186" s="45" t="b">
        <v>0</v>
      </c>
      <c r="I186" s="624" t="s">
        <v>210</v>
      </c>
      <c r="J186" s="44"/>
      <c r="K186" s="641"/>
      <c r="L186" s="624"/>
      <c r="N186" s="44"/>
      <c r="P186" s="44"/>
      <c r="Q186" s="46"/>
      <c r="S186" s="642" t="s">
        <v>211</v>
      </c>
      <c r="T186" s="643"/>
    </row>
    <row r="187" spans="1:20" x14ac:dyDescent="0.35">
      <c r="A187" s="548"/>
      <c r="B187" s="242">
        <f>B186+1</f>
        <v>204</v>
      </c>
      <c r="C187" s="645"/>
      <c r="H187" s="44"/>
      <c r="I187" s="624"/>
      <c r="J187" s="44"/>
      <c r="P187" s="45" t="b">
        <v>0</v>
      </c>
      <c r="Q187" s="44" t="s">
        <v>212</v>
      </c>
      <c r="S187" s="45" t="b">
        <v>0</v>
      </c>
      <c r="T187" s="72" t="s">
        <v>213</v>
      </c>
    </row>
    <row r="188" spans="1:20" x14ac:dyDescent="0.35">
      <c r="A188" s="548"/>
      <c r="B188" s="242">
        <f>B187+1</f>
        <v>205</v>
      </c>
      <c r="C188" s="645"/>
      <c r="H188" s="44"/>
      <c r="I188" s="44"/>
      <c r="J188" s="44"/>
      <c r="Q188" s="23" t="s">
        <v>107</v>
      </c>
      <c r="S188" s="45" t="b">
        <v>0</v>
      </c>
      <c r="T188" s="72" t="s">
        <v>214</v>
      </c>
    </row>
    <row r="189" spans="1:20" ht="15" thickBot="1" x14ac:dyDescent="0.4">
      <c r="A189" s="549"/>
      <c r="B189" s="242">
        <f>B188+1</f>
        <v>206</v>
      </c>
      <c r="C189" s="646"/>
      <c r="D189" s="67"/>
      <c r="E189" s="67"/>
      <c r="F189" s="67"/>
      <c r="G189" s="67"/>
      <c r="H189" s="74"/>
      <c r="I189" s="74"/>
      <c r="J189" s="74"/>
      <c r="K189" s="67"/>
      <c r="L189" s="67"/>
      <c r="M189" s="67"/>
      <c r="N189" s="67"/>
      <c r="O189" s="67"/>
      <c r="P189" s="67"/>
      <c r="Q189" s="68"/>
      <c r="R189" s="67"/>
      <c r="S189" s="124" t="b">
        <v>0</v>
      </c>
      <c r="T189" s="125" t="s">
        <v>215</v>
      </c>
    </row>
    <row r="190" spans="1:20" ht="15" hidden="1" thickBot="1" x14ac:dyDescent="0.4">
      <c r="C190" s="310"/>
      <c r="D190" s="238"/>
      <c r="E190" s="238"/>
      <c r="F190" s="238"/>
      <c r="G190" s="238"/>
      <c r="H190" s="238"/>
      <c r="I190" s="238"/>
      <c r="J190" s="238"/>
      <c r="K190" s="238"/>
      <c r="L190" s="238"/>
      <c r="M190" s="238"/>
      <c r="N190" s="238"/>
      <c r="O190" s="238"/>
      <c r="P190" s="238"/>
      <c r="Q190" s="238"/>
      <c r="R190" s="238"/>
      <c r="S190" s="238" t="b">
        <v>0</v>
      </c>
      <c r="T190" s="311"/>
    </row>
    <row r="191" spans="1:20" ht="6" customHeight="1" thickBot="1" x14ac:dyDescent="0.4">
      <c r="C191" s="310"/>
      <c r="D191" s="238"/>
      <c r="E191" s="238"/>
      <c r="F191" s="238"/>
      <c r="G191" s="238"/>
      <c r="H191" s="238"/>
      <c r="I191" s="238"/>
      <c r="J191" s="238"/>
      <c r="K191" s="238"/>
      <c r="L191" s="238"/>
      <c r="M191" s="238"/>
      <c r="N191" s="238"/>
      <c r="O191" s="238"/>
      <c r="P191" s="238"/>
      <c r="Q191" s="238"/>
      <c r="R191" s="238"/>
      <c r="S191" s="238"/>
      <c r="T191" s="311"/>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m:sqref>C13:T13 D14:T18</xm:sqref>
        </x14:conditionalFormatting>
        <x14:conditionalFormatting xmlns:xm="http://schemas.microsoft.com/office/excel/2006/main">
          <x14:cfRule type="expression" priority="78" id="{E3D7BA5B-F7F2-4C52-A5CC-6A323A768E02}">
            <xm:f>OR(INputs!$C$3=INputs!$A$3,INputs!$C$3=INputs!$A$4)</xm:f>
            <x14:dxf>
              <font>
                <color theme="2" tint="-0.499984740745262"/>
              </font>
              <fill>
                <patternFill>
                  <bgColor theme="2" tint="-0.499984740745262"/>
                </patternFill>
              </fill>
              <border>
                <left/>
                <right/>
                <top/>
                <bottom/>
                <vertical/>
                <horizontal/>
              </border>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I19" sqref="I19:I22"/>
    </sheetView>
  </sheetViews>
  <sheetFormatPr defaultRowHeight="18.5" outlineLevelRow="1" x14ac:dyDescent="0.45"/>
  <cols>
    <col min="1" max="1" width="3.36328125" style="313" customWidth="1"/>
    <col min="2" max="2" width="18.6328125" customWidth="1"/>
    <col min="3" max="3" width="34.08984375" hidden="1" customWidth="1"/>
    <col min="4" max="4" width="30" style="3" customWidth="1"/>
    <col min="5" max="5" width="6.6328125" customWidth="1"/>
    <col min="6" max="6" width="23.90625" customWidth="1"/>
    <col min="7" max="7" width="23.6328125" style="3" customWidth="1"/>
    <col min="8" max="8" width="17.1796875" hidden="1" customWidth="1"/>
    <col min="9" max="9" width="19.6328125" customWidth="1"/>
    <col min="10" max="10" width="20.7265625" style="132" customWidth="1"/>
    <col min="11" max="11" width="7.81640625" hidden="1" customWidth="1"/>
    <col min="12" max="12" width="10.08984375" hidden="1" customWidth="1"/>
    <col min="13" max="13" width="9.54296875" hidden="1" customWidth="1"/>
    <col min="14" max="14" width="22.08984375" hidden="1" customWidth="1"/>
    <col min="15" max="15" width="33.453125" customWidth="1"/>
    <col min="16" max="16" width="43.453125" customWidth="1"/>
    <col min="17" max="17" width="7.6328125" style="2" customWidth="1"/>
    <col min="18" max="18" width="41.26953125" style="239" customWidth="1"/>
    <col min="19" max="19" width="7.54296875" style="2" customWidth="1"/>
    <col min="20" max="20" width="29.90625" customWidth="1"/>
    <col min="21" max="21" width="7" customWidth="1"/>
    <col min="22" max="22" width="30.7265625" customWidth="1"/>
  </cols>
  <sheetData>
    <row r="1" spans="1:27" ht="5" customHeight="1" thickBot="1" x14ac:dyDescent="0.4">
      <c r="A1"/>
    </row>
    <row r="2" spans="1:27" s="314" customFormat="1" ht="24" thickBot="1" x14ac:dyDescent="0.55000000000000004">
      <c r="A2"/>
      <c r="B2" s="719" t="s">
        <v>71</v>
      </c>
      <c r="C2" s="720"/>
      <c r="D2" s="720"/>
      <c r="E2" s="720"/>
      <c r="F2" s="720"/>
      <c r="G2" s="720"/>
      <c r="H2" s="720"/>
      <c r="I2" s="721"/>
      <c r="J2" s="741" t="s">
        <v>343</v>
      </c>
      <c r="K2" s="741"/>
      <c r="L2" s="741"/>
      <c r="M2" s="741"/>
      <c r="N2" s="741"/>
      <c r="O2" s="741"/>
      <c r="P2" s="362" t="s">
        <v>75</v>
      </c>
      <c r="Q2" s="719" t="s">
        <v>344</v>
      </c>
      <c r="R2" s="720"/>
      <c r="S2" s="720"/>
      <c r="T2" s="720"/>
      <c r="U2" s="720"/>
      <c r="V2" s="721"/>
      <c r="W2"/>
      <c r="X2"/>
      <c r="Y2"/>
      <c r="Z2"/>
      <c r="AA2"/>
    </row>
    <row r="3" spans="1:27" s="3" customFormat="1" ht="43.5" x14ac:dyDescent="0.35">
      <c r="B3" s="363" t="s">
        <v>87</v>
      </c>
      <c r="C3" s="364" t="s">
        <v>88</v>
      </c>
      <c r="D3" s="364" t="s">
        <v>339</v>
      </c>
      <c r="E3" s="722" t="s">
        <v>89</v>
      </c>
      <c r="F3" s="723"/>
      <c r="G3" s="364" t="s">
        <v>90</v>
      </c>
      <c r="H3" s="364" t="s">
        <v>91</v>
      </c>
      <c r="I3" s="365" t="s">
        <v>92</v>
      </c>
      <c r="J3" s="742"/>
      <c r="K3" s="743"/>
      <c r="L3" s="743"/>
      <c r="M3" s="743"/>
      <c r="N3" s="743"/>
      <c r="O3" s="744"/>
      <c r="P3" s="366" t="s">
        <v>345</v>
      </c>
      <c r="Q3" s="727" t="s">
        <v>189</v>
      </c>
      <c r="R3" s="723"/>
      <c r="S3" s="724" t="s">
        <v>190</v>
      </c>
      <c r="T3" s="726"/>
      <c r="U3" s="724" t="s">
        <v>193</v>
      </c>
      <c r="V3" s="725"/>
      <c r="Z3"/>
      <c r="AA3"/>
    </row>
    <row r="4" spans="1:27" s="3" customFormat="1" hidden="1" outlineLevel="1" x14ac:dyDescent="0.35">
      <c r="A4" s="675" t="s">
        <v>322</v>
      </c>
      <c r="B4" s="659" t="s">
        <v>353</v>
      </c>
      <c r="C4" s="329"/>
      <c r="D4" s="672" t="s">
        <v>354</v>
      </c>
      <c r="E4" s="658" t="s">
        <v>353</v>
      </c>
      <c r="F4" s="659"/>
      <c r="G4" s="672" t="s">
        <v>352</v>
      </c>
      <c r="H4" s="329"/>
      <c r="I4" s="672" t="s">
        <v>353</v>
      </c>
      <c r="J4" s="658" t="s">
        <v>351</v>
      </c>
      <c r="K4" s="597"/>
      <c r="L4" s="597"/>
      <c r="M4" s="597"/>
      <c r="N4" s="597"/>
      <c r="O4" s="659"/>
      <c r="P4" s="672" t="s">
        <v>355</v>
      </c>
      <c r="Q4" s="658" t="s">
        <v>356</v>
      </c>
      <c r="R4" s="659"/>
      <c r="S4" s="658" t="s">
        <v>357</v>
      </c>
      <c r="T4" s="659"/>
      <c r="U4" s="658" t="s">
        <v>358</v>
      </c>
      <c r="V4" s="662"/>
      <c r="Z4"/>
      <c r="AA4"/>
    </row>
    <row r="5" spans="1:27" s="3" customFormat="1" hidden="1" outlineLevel="1" x14ac:dyDescent="0.35">
      <c r="A5" s="677"/>
      <c r="B5" s="661"/>
      <c r="C5" s="324"/>
      <c r="D5" s="673"/>
      <c r="E5" s="660"/>
      <c r="F5" s="661"/>
      <c r="G5" s="673"/>
      <c r="H5" s="324"/>
      <c r="I5" s="673"/>
      <c r="J5" s="660"/>
      <c r="K5" s="674"/>
      <c r="L5" s="674"/>
      <c r="M5" s="674"/>
      <c r="N5" s="674"/>
      <c r="O5" s="661"/>
      <c r="P5" s="673"/>
      <c r="Q5" s="660"/>
      <c r="R5" s="661"/>
      <c r="S5" s="660"/>
      <c r="T5" s="661"/>
      <c r="U5" s="660"/>
      <c r="V5" s="663"/>
      <c r="Z5"/>
      <c r="AA5"/>
    </row>
    <row r="6" spans="1:27" s="3" customFormat="1" ht="21.5" hidden="1" customHeight="1" outlineLevel="1" x14ac:dyDescent="0.35">
      <c r="A6" s="677"/>
      <c r="B6" s="661"/>
      <c r="C6" s="328" t="s">
        <v>334</v>
      </c>
      <c r="D6" s="673"/>
      <c r="E6" s="660"/>
      <c r="F6" s="661"/>
      <c r="G6" s="673"/>
      <c r="H6" s="307"/>
      <c r="I6" s="673"/>
      <c r="J6" s="660"/>
      <c r="K6" s="674"/>
      <c r="L6" s="674"/>
      <c r="M6" s="674"/>
      <c r="N6" s="674"/>
      <c r="O6" s="661"/>
      <c r="P6" s="673"/>
      <c r="Q6" s="660"/>
      <c r="R6" s="661"/>
      <c r="S6" s="660"/>
      <c r="T6" s="661"/>
      <c r="U6" s="660"/>
      <c r="V6" s="663"/>
      <c r="Z6"/>
      <c r="AA6"/>
    </row>
    <row r="7" spans="1:27" s="3" customFormat="1" ht="377" hidden="1" customHeight="1" outlineLevel="1" thickBot="1" x14ac:dyDescent="0.4">
      <c r="A7" s="677"/>
      <c r="B7" s="661"/>
      <c r="C7" s="327"/>
      <c r="D7" s="673"/>
      <c r="E7" s="660"/>
      <c r="F7" s="661"/>
      <c r="G7" s="673"/>
      <c r="H7" s="307"/>
      <c r="I7" s="673"/>
      <c r="J7" s="660"/>
      <c r="K7" s="674"/>
      <c r="L7" s="674"/>
      <c r="M7" s="674"/>
      <c r="N7" s="674"/>
      <c r="O7" s="661"/>
      <c r="P7" s="673"/>
      <c r="Q7" s="660"/>
      <c r="R7" s="661"/>
      <c r="S7" s="660"/>
      <c r="T7" s="661"/>
      <c r="U7" s="660"/>
      <c r="V7" s="663"/>
      <c r="Z7"/>
      <c r="AA7"/>
    </row>
    <row r="8" spans="1:27" s="3" customFormat="1" ht="21" hidden="1" customHeight="1" outlineLevel="1" x14ac:dyDescent="0.35">
      <c r="A8" s="675" t="s">
        <v>99</v>
      </c>
      <c r="B8" s="337"/>
      <c r="C8" s="338"/>
      <c r="D8" s="338"/>
      <c r="E8" s="678"/>
      <c r="F8" s="679"/>
      <c r="G8" s="339"/>
      <c r="H8" s="340"/>
      <c r="I8" s="339"/>
      <c r="J8" s="339"/>
      <c r="K8" s="339"/>
      <c r="L8" s="339"/>
      <c r="M8" s="341"/>
      <c r="N8" s="341"/>
      <c r="O8" s="342"/>
      <c r="P8" s="342"/>
      <c r="Q8" s="664"/>
      <c r="R8" s="665"/>
      <c r="S8" s="664"/>
      <c r="T8" s="668"/>
      <c r="U8" s="664"/>
      <c r="V8" s="670"/>
      <c r="Z8"/>
      <c r="AA8"/>
    </row>
    <row r="9" spans="1:27" s="3" customFormat="1" ht="21.5" hidden="1" customHeight="1" outlineLevel="1" thickBot="1" x14ac:dyDescent="0.4">
      <c r="A9" s="676"/>
      <c r="B9" s="343"/>
      <c r="C9" s="344"/>
      <c r="D9" s="344"/>
      <c r="E9" s="680"/>
      <c r="F9" s="681"/>
      <c r="G9" s="345"/>
      <c r="H9" s="346"/>
      <c r="I9" s="345"/>
      <c r="J9" s="345"/>
      <c r="K9" s="345"/>
      <c r="L9" s="345"/>
      <c r="M9" s="347"/>
      <c r="N9" s="347"/>
      <c r="O9" s="348"/>
      <c r="P9" s="348"/>
      <c r="Q9" s="666"/>
      <c r="R9" s="667"/>
      <c r="S9" s="666"/>
      <c r="T9" s="669"/>
      <c r="U9" s="666"/>
      <c r="V9" s="671"/>
      <c r="Z9"/>
      <c r="AA9"/>
    </row>
    <row r="10" spans="1:27" s="3" customFormat="1" ht="25" customHeight="1" collapsed="1" thickBot="1" x14ac:dyDescent="0.4">
      <c r="B10" s="330"/>
      <c r="C10" s="331"/>
      <c r="D10" s="332"/>
      <c r="E10" s="333"/>
      <c r="F10" s="325"/>
      <c r="G10" s="334"/>
      <c r="H10" s="331"/>
      <c r="I10" s="333"/>
      <c r="J10" s="335"/>
      <c r="K10" s="325"/>
      <c r="L10" s="325"/>
      <c r="M10" s="325"/>
      <c r="N10" s="325"/>
      <c r="O10" s="333"/>
      <c r="P10" s="335"/>
      <c r="Q10" s="335"/>
      <c r="R10" s="336"/>
      <c r="S10" s="325"/>
      <c r="T10" s="325"/>
      <c r="U10" s="325"/>
      <c r="V10" s="326"/>
      <c r="Z10"/>
      <c r="AA10"/>
    </row>
    <row r="11" spans="1:27" ht="14.5" customHeight="1" x14ac:dyDescent="0.35">
      <c r="A11" s="713">
        <v>1</v>
      </c>
      <c r="B11" s="701">
        <f>'Sensitivity Labels'!C11</f>
        <v>0</v>
      </c>
      <c r="C11" s="705">
        <f>'Sensitivity Labels'!D11</f>
        <v>0</v>
      </c>
      <c r="D11" s="707">
        <f>'Sensitivity Labels'!E11</f>
        <v>0</v>
      </c>
      <c r="E11" s="349" t="b">
        <f>'Sensitivity Labels'!F11</f>
        <v>0</v>
      </c>
      <c r="F11" s="350" t="str">
        <f>'Sensitivity Labels'!G11</f>
        <v>Files &amp; Other Data assets</v>
      </c>
      <c r="G11" s="699">
        <f>'Sensitivity Labels'!I11</f>
        <v>0</v>
      </c>
      <c r="H11" s="701">
        <f>'Sensitivity Labels'!J11</f>
        <v>0</v>
      </c>
      <c r="I11" s="703">
        <f>'Sensitivity Labels'!K11</f>
        <v>0</v>
      </c>
      <c r="J11" s="351" t="str">
        <f>IF(OR(M11=TRUE,M12=TRUE),"Encryption",(IF(K11=TRUE,"Remove Encryption","No Encryption")))</f>
        <v>No Encryption</v>
      </c>
      <c r="K11" s="352" t="b">
        <f>'Emails, Files, &amp; Other Data'!H12</f>
        <v>0</v>
      </c>
      <c r="L11" s="353" t="str">
        <f>'Emails, Files, &amp; Other Data'!I12</f>
        <v>Remove access control settings if already applied to items</v>
      </c>
      <c r="M11" s="352" t="b">
        <f>'Emails, Files, &amp; Other Data'!J12</f>
        <v>0</v>
      </c>
      <c r="N11" s="353" t="str">
        <f>'Emails, Files, &amp; Other Data'!K12</f>
        <v>Assign Permissions now</v>
      </c>
      <c r="O11" s="354" t="s">
        <v>116</v>
      </c>
      <c r="P11" s="747" t="str">
        <f>IF(E13=TRUE,"Yes","No")</f>
        <v>No</v>
      </c>
      <c r="Q11" s="733" t="str">
        <f>IF(OR('Groups &amp; Sites'!H13=INputs!AN$3,'Groups &amp; Sites'!H13=INputs!AN$4),"Yes","No")</f>
        <v>No</v>
      </c>
      <c r="R11" s="734" t="str">
        <f>'Groups &amp; Sites'!F13</f>
        <v>Privacy and external user access</v>
      </c>
      <c r="S11" s="703" t="str">
        <f>IF('Groups &amp; Sites'!K13=TRUE,"Yes","No")</f>
        <v>No</v>
      </c>
      <c r="T11" s="734" t="str">
        <f>'Groups &amp; Sites'!L13</f>
        <v>Content can be shared with</v>
      </c>
      <c r="U11" s="703" t="str">
        <f>IF('Groups &amp; Sites'!S14=TRUE,"Yes","No")</f>
        <v>No</v>
      </c>
      <c r="V11" s="728" t="str">
        <f>'Groups &amp; Sites'!T14</f>
        <v>Allow users to discover private teams that have this label applied.</v>
      </c>
    </row>
    <row r="12" spans="1:27" ht="14.5" x14ac:dyDescent="0.35">
      <c r="A12" s="714"/>
      <c r="B12" s="701"/>
      <c r="C12" s="705"/>
      <c r="D12" s="708"/>
      <c r="E12" s="349" t="b">
        <f>'Sensitivity Labels'!F13</f>
        <v>0</v>
      </c>
      <c r="F12" s="350" t="str">
        <f>'Sensitivity Labels'!G13</f>
        <v>Emails</v>
      </c>
      <c r="G12" s="699"/>
      <c r="H12" s="701"/>
      <c r="I12" s="703"/>
      <c r="J12" s="355" t="str">
        <f>IF(OR('Emails, Files, &amp; Other Data'!X12=TRUE,'Emails, Files, &amp; Other Data'!X13=TRUE,'Emails, Files, &amp; Other Data'!X14=TRUE),"Yes","No")</f>
        <v>No</v>
      </c>
      <c r="K12" s="356"/>
      <c r="L12" s="356"/>
      <c r="M12" s="357" t="b">
        <f>'Emails, Files, &amp; Other Data'!J13</f>
        <v>0</v>
      </c>
      <c r="N12" s="356" t="str">
        <f>'Emails, Files, &amp; Other Data'!K13</f>
        <v>Let users assign permissions when they apply the label</v>
      </c>
      <c r="O12" s="358" t="s">
        <v>346</v>
      </c>
      <c r="P12" s="747"/>
      <c r="Q12" s="736"/>
      <c r="R12" s="735"/>
      <c r="S12" s="729"/>
      <c r="T12" s="735"/>
      <c r="U12" s="729"/>
      <c r="V12" s="686"/>
    </row>
    <row r="13" spans="1:27" ht="14.5" customHeight="1" x14ac:dyDescent="0.35">
      <c r="A13" s="714"/>
      <c r="B13" s="701"/>
      <c r="C13" s="705"/>
      <c r="D13" s="708"/>
      <c r="E13" s="349" t="b">
        <f>'Sensitivity Labels'!F15</f>
        <v>0</v>
      </c>
      <c r="F13" s="350" t="str">
        <f>'Sensitivity Labels'!G15</f>
        <v>Meetings</v>
      </c>
      <c r="G13" s="699"/>
      <c r="H13" s="701"/>
      <c r="I13" s="703"/>
      <c r="J13" s="739" t="str">
        <f>IF('Emails, Files, &amp; Other Data'!AB12=TRUE,"Yes","No")</f>
        <v>No</v>
      </c>
      <c r="K13" s="356"/>
      <c r="L13" s="356"/>
      <c r="M13" s="356"/>
      <c r="N13" s="356"/>
      <c r="O13" s="737" t="s">
        <v>125</v>
      </c>
      <c r="P13" s="747"/>
      <c r="Q13" s="732" t="str">
        <f>IF('Groups &amp; Sites'!H15=TRUE,"Yes","No")</f>
        <v>No</v>
      </c>
      <c r="R13" s="730" t="str">
        <f>'Groups &amp; Sites'!I15</f>
        <v>Let Microsoft 365 Group owners add people outside your organization to the group as guests.</v>
      </c>
      <c r="S13" s="703" t="str">
        <f>IF('Groups &amp; Sites'!K14=TRUE,"Yes","No")</f>
        <v>No</v>
      </c>
      <c r="T13" s="731" t="str">
        <f>'Groups &amp; Sites'!L14</f>
        <v>Use Microsoft Entra Conditional Access to protect labeled SharePoint sites</v>
      </c>
      <c r="U13" s="746" t="str">
        <f>IF(OR('Groups &amp; Sites'!S16=TRUE,'Groups &amp; Sites'!S17=TRUE,'Groups &amp; Sites'!S18=TRUE),"Yes","No")</f>
        <v>No</v>
      </c>
      <c r="V13" s="689" t="str">
        <f>'Groups &amp; Sites'!S15</f>
        <v>Teams shared channels</v>
      </c>
    </row>
    <row r="14" spans="1:27" ht="15" thickBot="1" x14ac:dyDescent="0.4">
      <c r="A14" s="715"/>
      <c r="B14" s="702"/>
      <c r="C14" s="706"/>
      <c r="D14" s="709"/>
      <c r="E14" s="359" t="b">
        <f>'Sensitivity Labels'!F17</f>
        <v>0</v>
      </c>
      <c r="F14" s="360" t="str">
        <f>'Sensitivity Labels'!G17</f>
        <v>Groups &amp; Sites</v>
      </c>
      <c r="G14" s="700"/>
      <c r="H14" s="702"/>
      <c r="I14" s="704"/>
      <c r="J14" s="740"/>
      <c r="K14" s="361"/>
      <c r="L14" s="361"/>
      <c r="M14" s="361"/>
      <c r="N14" s="361"/>
      <c r="O14" s="738"/>
      <c r="P14" s="748"/>
      <c r="Q14" s="733"/>
      <c r="R14" s="731"/>
      <c r="S14" s="703"/>
      <c r="T14" s="731"/>
      <c r="U14" s="703"/>
      <c r="V14" s="745"/>
    </row>
    <row r="15" spans="1:27" ht="14.5" x14ac:dyDescent="0.35">
      <c r="A15" s="717">
        <f>A11+1</f>
        <v>2</v>
      </c>
      <c r="B15" s="694">
        <f>'Sensitivity Labels'!C19</f>
        <v>0</v>
      </c>
      <c r="C15" s="711">
        <f>'Sensitivity Labels'!D19</f>
        <v>0</v>
      </c>
      <c r="D15" s="538">
        <f>'Sensitivity Labels'!E19</f>
        <v>0</v>
      </c>
      <c r="E15" s="60" t="b">
        <f>'Sensitivity Labels'!F19</f>
        <v>0</v>
      </c>
      <c r="F15" s="62" t="str">
        <f>'Sensitivity Labels'!G19</f>
        <v>Files &amp; Other Data assets</v>
      </c>
      <c r="G15" s="690">
        <f>'Sensitivity Labels'!I19</f>
        <v>0</v>
      </c>
      <c r="H15" s="693">
        <f>'Sensitivity Labels'!J19</f>
        <v>0</v>
      </c>
      <c r="I15" s="696">
        <f>'Sensitivity Labels'!K19</f>
        <v>0</v>
      </c>
      <c r="J15" s="320" t="str">
        <f>IF(OR(M15=TRUE,M16=TRUE),"Encryption",(IF(K15=TRUE,"Remove Encryption","No Encryption")))</f>
        <v>No Encryption</v>
      </c>
      <c r="K15" s="315" t="b">
        <f>'Emails, Files, &amp; Other Data'!H24</f>
        <v>0</v>
      </c>
      <c r="L15" s="316" t="str">
        <f>L11</f>
        <v>Remove access control settings if already applied to items</v>
      </c>
      <c r="M15" s="315" t="b">
        <f>'Emails, Files, &amp; Other Data'!J24</f>
        <v>0</v>
      </c>
      <c r="N15" s="316" t="str">
        <f>N11</f>
        <v>Assign Permissions now</v>
      </c>
      <c r="O15" s="321" t="str">
        <f>O$11</f>
        <v>Access Control</v>
      </c>
      <c r="P15" s="765" t="str">
        <f>IF(E17=TRUE,"Yes","No")</f>
        <v>No</v>
      </c>
      <c r="Q15" s="749" t="str">
        <f>IF(OR('Groups &amp; Sites'!H22=INputs!AN$3,'Groups &amp; Sites'!H22=INputs!AN$4),"Yes","No")</f>
        <v>No</v>
      </c>
      <c r="R15" s="751" t="str">
        <f>R$11</f>
        <v>Privacy and external user access</v>
      </c>
      <c r="S15" s="684" t="str">
        <f>IF('Groups &amp; Sites'!K22=TRUE,"Yes","No")</f>
        <v>No</v>
      </c>
      <c r="T15" s="751" t="str">
        <f>T$11</f>
        <v>Content can be shared with</v>
      </c>
      <c r="U15" s="684" t="str">
        <f>IF('Groups &amp; Sites'!S23=TRUE,"Yes","No")</f>
        <v>No</v>
      </c>
      <c r="V15" s="682" t="str">
        <f>V$11</f>
        <v>Allow users to discover private teams that have this label applied.</v>
      </c>
    </row>
    <row r="16" spans="1:27" ht="14.5" x14ac:dyDescent="0.35">
      <c r="A16" s="716"/>
      <c r="B16" s="694"/>
      <c r="C16" s="711"/>
      <c r="D16" s="538"/>
      <c r="E16" s="64" t="b">
        <f>'Sensitivity Labels'!F21</f>
        <v>0</v>
      </c>
      <c r="F16" t="str">
        <f>'Sensitivity Labels'!G21</f>
        <v>Emails</v>
      </c>
      <c r="G16" s="691"/>
      <c r="H16" s="694"/>
      <c r="I16" s="697"/>
      <c r="J16" s="322" t="str">
        <f>IF(OR('Emails, Files, &amp; Other Data'!X24=TRUE,'Emails, Files, &amp; Other Data'!X25=TRUE,'Emails, Files, &amp; Other Data'!X26=TRUE),"Yes","No")</f>
        <v>No</v>
      </c>
      <c r="K16" s="317"/>
      <c r="L16" s="317"/>
      <c r="M16" s="318" t="b">
        <f>'Emails, Files, &amp; Other Data'!J25</f>
        <v>0</v>
      </c>
      <c r="N16" s="317" t="str">
        <f>N12</f>
        <v>Let users assign permissions when they apply the label</v>
      </c>
      <c r="O16" s="323" t="str">
        <f>O$12</f>
        <v>Content Marking</v>
      </c>
      <c r="P16" s="766"/>
      <c r="Q16" s="750"/>
      <c r="R16" s="752"/>
      <c r="S16" s="685"/>
      <c r="T16" s="752"/>
      <c r="U16" s="685"/>
      <c r="V16" s="683"/>
    </row>
    <row r="17" spans="1:22" ht="14.5" customHeight="1" x14ac:dyDescent="0.35">
      <c r="A17" s="716"/>
      <c r="B17" s="694"/>
      <c r="C17" s="711"/>
      <c r="D17" s="538"/>
      <c r="E17" s="64" t="b">
        <f>'Sensitivity Labels'!F23</f>
        <v>0</v>
      </c>
      <c r="F17" t="str">
        <f>'Sensitivity Labels'!G23</f>
        <v>Meetings</v>
      </c>
      <c r="G17" s="691"/>
      <c r="H17" s="694"/>
      <c r="I17" s="697"/>
      <c r="J17" s="763" t="str">
        <f>IF('Emails, Files, &amp; Other Data'!AB24=TRUE,"Yes","No")</f>
        <v>No</v>
      </c>
      <c r="K17" s="317"/>
      <c r="L17" s="317"/>
      <c r="M17" s="317"/>
      <c r="N17" s="317"/>
      <c r="O17" s="761" t="str">
        <f>O$13</f>
        <v>Auto-labeling for files and emails: "Client-side Auto-Labeling"</v>
      </c>
      <c r="P17" s="766"/>
      <c r="Q17" s="759" t="str">
        <f>IF('Groups &amp; Sites'!H24=TRUE,"Yes","No")</f>
        <v>No</v>
      </c>
      <c r="R17" s="758" t="str">
        <f>R$13</f>
        <v>Let Microsoft 365 Group owners add people outside your organization to the group as guests.</v>
      </c>
      <c r="S17" s="753" t="str">
        <f>IF('Groups &amp; Sites'!K23=TRUE,"Yes","No")</f>
        <v>No</v>
      </c>
      <c r="T17" s="755" t="str">
        <f>T$13</f>
        <v>Use Microsoft Entra Conditional Access to protect labeled SharePoint sites</v>
      </c>
      <c r="U17" s="757" t="str">
        <f>IF(OR('Groups &amp; Sites'!S25=TRUE,'Groups &amp; Sites'!S26=TRUE,'Groups &amp; Sites'!S27=TRUE),"Yes","No")</f>
        <v>No</v>
      </c>
      <c r="V17" s="687" t="str">
        <f>V$13</f>
        <v>Teams shared channels</v>
      </c>
    </row>
    <row r="18" spans="1:22" ht="15" thickBot="1" x14ac:dyDescent="0.4">
      <c r="A18" s="718"/>
      <c r="B18" s="695"/>
      <c r="C18" s="712"/>
      <c r="D18" s="539"/>
      <c r="E18" s="69" t="b">
        <f>'Sensitivity Labels'!F25</f>
        <v>0</v>
      </c>
      <c r="F18" s="67" t="str">
        <f>'Sensitivity Labels'!G25</f>
        <v>Groups &amp; Sites</v>
      </c>
      <c r="G18" s="692"/>
      <c r="H18" s="695"/>
      <c r="I18" s="698"/>
      <c r="J18" s="764"/>
      <c r="K18" s="319"/>
      <c r="L18" s="319"/>
      <c r="M18" s="319"/>
      <c r="N18" s="319"/>
      <c r="O18" s="762"/>
      <c r="P18" s="767"/>
      <c r="Q18" s="760"/>
      <c r="R18" s="756"/>
      <c r="S18" s="754"/>
      <c r="T18" s="756"/>
      <c r="U18" s="754"/>
      <c r="V18" s="688"/>
    </row>
    <row r="19" spans="1:22" ht="14.5" customHeight="1" x14ac:dyDescent="0.35">
      <c r="A19" s="713">
        <f>A15+1</f>
        <v>3</v>
      </c>
      <c r="B19" s="701">
        <f>'Sensitivity Labels'!C27</f>
        <v>0</v>
      </c>
      <c r="C19" s="705">
        <f>'Sensitivity Labels'!D27</f>
        <v>0</v>
      </c>
      <c r="D19" s="707">
        <f>'Sensitivity Labels'!E27</f>
        <v>0</v>
      </c>
      <c r="E19" s="349" t="b">
        <f>'Sensitivity Labels'!F27</f>
        <v>0</v>
      </c>
      <c r="F19" s="350" t="str">
        <f>'Sensitivity Labels'!G27</f>
        <v>Files &amp; Other Data assets</v>
      </c>
      <c r="G19" s="699">
        <f>'Sensitivity Labels'!I27</f>
        <v>0</v>
      </c>
      <c r="H19" s="701">
        <f>'Sensitivity Labels'!J27</f>
        <v>0</v>
      </c>
      <c r="I19" s="703">
        <f>'Sensitivity Labels'!K27</f>
        <v>0</v>
      </c>
      <c r="J19" s="351" t="str">
        <f>IF(OR(M19=TRUE,M20=TRUE),"Encryption",(IF(K19=TRUE,"Remove Encryption","No Encryption")))</f>
        <v>No Encryption</v>
      </c>
      <c r="K19" s="352" t="b">
        <f>'Emails, Files, &amp; Other Data'!H36</f>
        <v>0</v>
      </c>
      <c r="L19" s="353" t="str">
        <f>L15</f>
        <v>Remove access control settings if already applied to items</v>
      </c>
      <c r="M19" s="352" t="b">
        <f>'Emails, Files, &amp; Other Data'!J36</f>
        <v>0</v>
      </c>
      <c r="N19" s="353" t="str">
        <f>N15</f>
        <v>Assign Permissions now</v>
      </c>
      <c r="O19" s="354" t="str">
        <f>O$11</f>
        <v>Access Control</v>
      </c>
      <c r="P19" s="747" t="str">
        <f>IF(E21=TRUE,"Yes","No")</f>
        <v>No</v>
      </c>
      <c r="Q19" s="733" t="str">
        <f>IF(OR('Groups &amp; Sites'!H31=INputs!AN$3,'Groups &amp; Sites'!H31=INputs!AN$4),"Yes","No")</f>
        <v>No</v>
      </c>
      <c r="R19" s="734" t="str">
        <f>R$11</f>
        <v>Privacy and external user access</v>
      </c>
      <c r="S19" s="703" t="str">
        <f>IF('Groups &amp; Sites'!K31=TRUE,"Yes","No")</f>
        <v>No</v>
      </c>
      <c r="T19" s="734" t="str">
        <f>T$11</f>
        <v>Content can be shared with</v>
      </c>
      <c r="U19" s="703" t="str">
        <f>IF('Groups &amp; Sites'!S32=TRUE,"Yes","No")</f>
        <v>No</v>
      </c>
      <c r="V19" s="728" t="str">
        <f>V$11</f>
        <v>Allow users to discover private teams that have this label applied.</v>
      </c>
    </row>
    <row r="20" spans="1:22" ht="14.5" x14ac:dyDescent="0.35">
      <c r="A20" s="714"/>
      <c r="B20" s="701"/>
      <c r="C20" s="705"/>
      <c r="D20" s="708"/>
      <c r="E20" s="349" t="b">
        <f>'Sensitivity Labels'!F29</f>
        <v>0</v>
      </c>
      <c r="F20" s="350" t="str">
        <f>'Sensitivity Labels'!G29</f>
        <v>Emails</v>
      </c>
      <c r="G20" s="699"/>
      <c r="H20" s="701"/>
      <c r="I20" s="703"/>
      <c r="J20" s="355" t="str">
        <f>IF(OR('Emails, Files, &amp; Other Data'!X36=TRUE,'Emails, Files, &amp; Other Data'!X37=TRUE,'Emails, Files, &amp; Other Data'!X38=TRUE),"Yes","No")</f>
        <v>No</v>
      </c>
      <c r="K20" s="356"/>
      <c r="L20" s="356"/>
      <c r="M20" s="357" t="b">
        <f>'Emails, Files, &amp; Other Data'!J37</f>
        <v>0</v>
      </c>
      <c r="N20" s="356" t="str">
        <f>N16</f>
        <v>Let users assign permissions when they apply the label</v>
      </c>
      <c r="O20" s="358" t="str">
        <f>O$12</f>
        <v>Content Marking</v>
      </c>
      <c r="P20" s="747"/>
      <c r="Q20" s="736"/>
      <c r="R20" s="735"/>
      <c r="S20" s="729"/>
      <c r="T20" s="735"/>
      <c r="U20" s="729"/>
      <c r="V20" s="686"/>
    </row>
    <row r="21" spans="1:22" ht="14.5" customHeight="1" x14ac:dyDescent="0.35">
      <c r="A21" s="714"/>
      <c r="B21" s="701"/>
      <c r="C21" s="705"/>
      <c r="D21" s="708"/>
      <c r="E21" s="349" t="b">
        <f>'Sensitivity Labels'!F31</f>
        <v>0</v>
      </c>
      <c r="F21" s="350" t="str">
        <f>'Sensitivity Labels'!G31</f>
        <v>Meetings</v>
      </c>
      <c r="G21" s="699"/>
      <c r="H21" s="701"/>
      <c r="I21" s="703"/>
      <c r="J21" s="739" t="str">
        <f>IF('Emails, Files, &amp; Other Data'!AB36=TRUE,"Yes","No")</f>
        <v>No</v>
      </c>
      <c r="K21" s="356"/>
      <c r="L21" s="356"/>
      <c r="M21" s="356"/>
      <c r="N21" s="356"/>
      <c r="O21" s="737" t="str">
        <f>O$13</f>
        <v>Auto-labeling for files and emails: "Client-side Auto-Labeling"</v>
      </c>
      <c r="P21" s="747"/>
      <c r="Q21" s="732" t="str">
        <f>IF('Groups &amp; Sites'!H33=TRUE,"Yes","No")</f>
        <v>No</v>
      </c>
      <c r="R21" s="730" t="str">
        <f>R$13</f>
        <v>Let Microsoft 365 Group owners add people outside your organization to the group as guests.</v>
      </c>
      <c r="S21" s="703" t="str">
        <f>IF('Groups &amp; Sites'!K32=TRUE,"Yes","No")</f>
        <v>No</v>
      </c>
      <c r="T21" s="731" t="str">
        <f>T$13</f>
        <v>Use Microsoft Entra Conditional Access to protect labeled SharePoint sites</v>
      </c>
      <c r="U21" s="746" t="str">
        <f>IF(OR('Groups &amp; Sites'!S34=TRUE,'Groups &amp; Sites'!S35=TRUE,'Groups &amp; Sites'!S36=TRUE),"Yes","No")</f>
        <v>No</v>
      </c>
      <c r="V21" s="689" t="str">
        <f>V$13</f>
        <v>Teams shared channels</v>
      </c>
    </row>
    <row r="22" spans="1:22" ht="15" thickBot="1" x14ac:dyDescent="0.4">
      <c r="A22" s="715"/>
      <c r="B22" s="702"/>
      <c r="C22" s="706"/>
      <c r="D22" s="709"/>
      <c r="E22" s="359" t="b">
        <f>'Sensitivity Labels'!F33</f>
        <v>0</v>
      </c>
      <c r="F22" s="360" t="str">
        <f>'Sensitivity Labels'!G33</f>
        <v>Groups &amp; Sites</v>
      </c>
      <c r="G22" s="700"/>
      <c r="H22" s="702"/>
      <c r="I22" s="704"/>
      <c r="J22" s="740"/>
      <c r="K22" s="361"/>
      <c r="L22" s="361"/>
      <c r="M22" s="361"/>
      <c r="N22" s="361"/>
      <c r="O22" s="738"/>
      <c r="P22" s="748"/>
      <c r="Q22" s="733"/>
      <c r="R22" s="731"/>
      <c r="S22" s="703"/>
      <c r="T22" s="731"/>
      <c r="U22" s="703"/>
      <c r="V22" s="745"/>
    </row>
    <row r="23" spans="1:22" ht="14.5" customHeight="1" x14ac:dyDescent="0.35">
      <c r="A23" s="717">
        <f>A19+1</f>
        <v>4</v>
      </c>
      <c r="B23" s="693">
        <f>'Sensitivity Labels'!C35</f>
        <v>0</v>
      </c>
      <c r="C23" s="710">
        <f>'Sensitivity Labels'!D35</f>
        <v>0</v>
      </c>
      <c r="D23" s="537">
        <f>'Sensitivity Labels'!E35</f>
        <v>0</v>
      </c>
      <c r="E23" s="60" t="b">
        <f>'Sensitivity Labels'!F35</f>
        <v>0</v>
      </c>
      <c r="F23" s="62" t="str">
        <f>'Sensitivity Labels'!G35</f>
        <v>Files &amp; Other Data assets</v>
      </c>
      <c r="G23" s="690">
        <f>'Sensitivity Labels'!I35</f>
        <v>0</v>
      </c>
      <c r="H23" s="693">
        <f>'Sensitivity Labels'!J35</f>
        <v>0</v>
      </c>
      <c r="I23" s="696">
        <f>'Sensitivity Labels'!K35</f>
        <v>0</v>
      </c>
      <c r="J23" s="320" t="str">
        <f>IF(OR(M23=TRUE,M24=TRUE),"Encryption",(IF(K23=TRUE,"Remove Encryption","No Encryption")))</f>
        <v>No Encryption</v>
      </c>
      <c r="K23" s="315" t="b">
        <f>'Emails, Files, &amp; Other Data'!H48</f>
        <v>0</v>
      </c>
      <c r="L23" s="316" t="str">
        <f>L19</f>
        <v>Remove access control settings if already applied to items</v>
      </c>
      <c r="M23" s="315" t="b">
        <f>'Emails, Files, &amp; Other Data'!J48</f>
        <v>0</v>
      </c>
      <c r="N23" s="316" t="str">
        <f>N19</f>
        <v>Assign Permissions now</v>
      </c>
      <c r="O23" s="321" t="str">
        <f>O$11</f>
        <v>Access Control</v>
      </c>
      <c r="P23" s="765" t="str">
        <f>IF(E25=TRUE,"Yes","No")</f>
        <v>No</v>
      </c>
      <c r="Q23" s="749" t="str">
        <f>IF(OR('Groups &amp; Sites'!H40=INputs!AN$3,'Groups &amp; Sites'!H40=INputs!AN$4),"Yes","No")</f>
        <v>No</v>
      </c>
      <c r="R23" s="751" t="str">
        <f>R$11</f>
        <v>Privacy and external user access</v>
      </c>
      <c r="S23" s="684" t="str">
        <f>IF('Groups &amp; Sites'!K40=TRUE,"Yes","No")</f>
        <v>No</v>
      </c>
      <c r="T23" s="751" t="str">
        <f>T$11</f>
        <v>Content can be shared with</v>
      </c>
      <c r="U23" s="684" t="str">
        <f>IF('Groups &amp; Sites'!S41=TRUE,"Yes","No")</f>
        <v>No</v>
      </c>
      <c r="V23" s="682" t="str">
        <f>V$11</f>
        <v>Allow users to discover private teams that have this label applied.</v>
      </c>
    </row>
    <row r="24" spans="1:22" ht="14.5" x14ac:dyDescent="0.35">
      <c r="A24" s="716"/>
      <c r="B24" s="694"/>
      <c r="C24" s="711"/>
      <c r="D24" s="538"/>
      <c r="E24" s="64" t="b">
        <f>'Sensitivity Labels'!F37</f>
        <v>0</v>
      </c>
      <c r="F24" t="str">
        <f>'Sensitivity Labels'!G37</f>
        <v>Emails</v>
      </c>
      <c r="G24" s="691"/>
      <c r="H24" s="694"/>
      <c r="I24" s="697"/>
      <c r="J24" s="322" t="str">
        <f>IF(OR('Emails, Files, &amp; Other Data'!X48=TRUE,'Emails, Files, &amp; Other Data'!X49=TRUE,'Emails, Files, &amp; Other Data'!X50=TRUE),"Yes","No")</f>
        <v>No</v>
      </c>
      <c r="K24" s="317"/>
      <c r="L24" s="317"/>
      <c r="M24" s="318" t="b">
        <f>'Emails, Files, &amp; Other Data'!J49</f>
        <v>0</v>
      </c>
      <c r="N24" s="317" t="str">
        <f>N20</f>
        <v>Let users assign permissions when they apply the label</v>
      </c>
      <c r="O24" s="323" t="str">
        <f>O$12</f>
        <v>Content Marking</v>
      </c>
      <c r="P24" s="766"/>
      <c r="Q24" s="750"/>
      <c r="R24" s="752"/>
      <c r="S24" s="685"/>
      <c r="T24" s="752"/>
      <c r="U24" s="685"/>
      <c r="V24" s="683"/>
    </row>
    <row r="25" spans="1:22" ht="14.5" customHeight="1" x14ac:dyDescent="0.35">
      <c r="A25" s="716"/>
      <c r="B25" s="694"/>
      <c r="C25" s="711"/>
      <c r="D25" s="538"/>
      <c r="E25" s="64" t="b">
        <f>'Sensitivity Labels'!F39</f>
        <v>0</v>
      </c>
      <c r="F25" t="str">
        <f>'Sensitivity Labels'!G39</f>
        <v>Meetings</v>
      </c>
      <c r="G25" s="691"/>
      <c r="H25" s="694"/>
      <c r="I25" s="697"/>
      <c r="J25" s="763" t="str">
        <f>IF('Emails, Files, &amp; Other Data'!AB48=TRUE,"Yes","No")</f>
        <v>No</v>
      </c>
      <c r="K25" s="317"/>
      <c r="L25" s="317"/>
      <c r="M25" s="317"/>
      <c r="N25" s="317"/>
      <c r="O25" s="761" t="str">
        <f>O$13</f>
        <v>Auto-labeling for files and emails: "Client-side Auto-Labeling"</v>
      </c>
      <c r="P25" s="766"/>
      <c r="Q25" s="759" t="str">
        <f>IF('Groups &amp; Sites'!H42=TRUE,"Yes","No")</f>
        <v>No</v>
      </c>
      <c r="R25" s="758" t="str">
        <f>R$13</f>
        <v>Let Microsoft 365 Group owners add people outside your organization to the group as guests.</v>
      </c>
      <c r="S25" s="753" t="str">
        <f>IF('Groups &amp; Sites'!K41=TRUE,"Yes","No")</f>
        <v>No</v>
      </c>
      <c r="T25" s="755" t="str">
        <f>T$13</f>
        <v>Use Microsoft Entra Conditional Access to protect labeled SharePoint sites</v>
      </c>
      <c r="U25" s="757" t="str">
        <f>IF(OR('Groups &amp; Sites'!S43=TRUE,'Groups &amp; Sites'!S44=TRUE,'Groups &amp; Sites'!S45=TRUE),"Yes","No")</f>
        <v>No</v>
      </c>
      <c r="V25" s="687" t="str">
        <f>V$13</f>
        <v>Teams shared channels</v>
      </c>
    </row>
    <row r="26" spans="1:22" ht="15" thickBot="1" x14ac:dyDescent="0.4">
      <c r="A26" s="718"/>
      <c r="B26" s="695"/>
      <c r="C26" s="712"/>
      <c r="D26" s="539"/>
      <c r="E26" s="69" t="b">
        <f>'Sensitivity Labels'!F41</f>
        <v>0</v>
      </c>
      <c r="F26" s="67" t="str">
        <f>'Sensitivity Labels'!G41</f>
        <v>Groups &amp; Sites</v>
      </c>
      <c r="G26" s="692"/>
      <c r="H26" s="695"/>
      <c r="I26" s="698"/>
      <c r="J26" s="764"/>
      <c r="K26" s="319"/>
      <c r="L26" s="319"/>
      <c r="M26" s="319"/>
      <c r="N26" s="319"/>
      <c r="O26" s="762"/>
      <c r="P26" s="767"/>
      <c r="Q26" s="760"/>
      <c r="R26" s="756"/>
      <c r="S26" s="754"/>
      <c r="T26" s="756"/>
      <c r="U26" s="754"/>
      <c r="V26" s="688"/>
    </row>
    <row r="27" spans="1:22" ht="14.5" customHeight="1" x14ac:dyDescent="0.35">
      <c r="A27" s="713">
        <f>A23+1</f>
        <v>5</v>
      </c>
      <c r="B27" s="701">
        <f>'Sensitivity Labels'!C43</f>
        <v>0</v>
      </c>
      <c r="C27" s="705">
        <f>'Sensitivity Labels'!D43</f>
        <v>0</v>
      </c>
      <c r="D27" s="707">
        <f>'Sensitivity Labels'!E43</f>
        <v>0</v>
      </c>
      <c r="E27" s="349" t="b">
        <f>'Sensitivity Labels'!F43</f>
        <v>0</v>
      </c>
      <c r="F27" s="350" t="str">
        <f>'Sensitivity Labels'!G43</f>
        <v>Files &amp; Other Data assets</v>
      </c>
      <c r="G27" s="699">
        <f>'Sensitivity Labels'!I43</f>
        <v>0</v>
      </c>
      <c r="H27" s="701">
        <f>'Sensitivity Labels'!J43</f>
        <v>0</v>
      </c>
      <c r="I27" s="703">
        <f>'Sensitivity Labels'!K43</f>
        <v>0</v>
      </c>
      <c r="J27" s="351" t="str">
        <f>IF(OR(M27=TRUE,M28=TRUE),"Encryption",(IF(K27=TRUE,"Remove Encryption","No Encryption")))</f>
        <v>No Encryption</v>
      </c>
      <c r="K27" s="352" t="b">
        <f>'Emails, Files, &amp; Other Data'!H60</f>
        <v>0</v>
      </c>
      <c r="L27" s="353" t="str">
        <f>L23</f>
        <v>Remove access control settings if already applied to items</v>
      </c>
      <c r="M27" s="352" t="b">
        <f>'Emails, Files, &amp; Other Data'!J60</f>
        <v>0</v>
      </c>
      <c r="N27" s="353" t="str">
        <f>N23</f>
        <v>Assign Permissions now</v>
      </c>
      <c r="O27" s="354" t="str">
        <f>O$11</f>
        <v>Access Control</v>
      </c>
      <c r="P27" s="747" t="str">
        <f>IF(E29=TRUE,"Yes","No")</f>
        <v>No</v>
      </c>
      <c r="Q27" s="733" t="str">
        <f>IF(OR('Groups &amp; Sites'!H49=INputs!AN$3,'Groups &amp; Sites'!H49=INputs!AN$4),"Yes","No")</f>
        <v>No</v>
      </c>
      <c r="R27" s="734" t="str">
        <f>R$11</f>
        <v>Privacy and external user access</v>
      </c>
      <c r="S27" s="703" t="str">
        <f>IF('Groups &amp; Sites'!K49=TRUE,"Yes","No")</f>
        <v>No</v>
      </c>
      <c r="T27" s="734" t="str">
        <f>T$11</f>
        <v>Content can be shared with</v>
      </c>
      <c r="U27" s="703" t="str">
        <f>IF('Groups &amp; Sites'!S50=TRUE,"Yes","No")</f>
        <v>No</v>
      </c>
      <c r="V27" s="728" t="str">
        <f>V$11</f>
        <v>Allow users to discover private teams that have this label applied.</v>
      </c>
    </row>
    <row r="28" spans="1:22" ht="14.5" x14ac:dyDescent="0.35">
      <c r="A28" s="714"/>
      <c r="B28" s="701"/>
      <c r="C28" s="705"/>
      <c r="D28" s="708"/>
      <c r="E28" s="349" t="b">
        <f>'Sensitivity Labels'!F45</f>
        <v>0</v>
      </c>
      <c r="F28" s="350" t="str">
        <f>'Sensitivity Labels'!G45</f>
        <v>Emails</v>
      </c>
      <c r="G28" s="699"/>
      <c r="H28" s="701"/>
      <c r="I28" s="703"/>
      <c r="J28" s="355" t="str">
        <f>IF(OR('Emails, Files, &amp; Other Data'!X60=TRUE,'Emails, Files, &amp; Other Data'!X61=TRUE,'Emails, Files, &amp; Other Data'!X62=TRUE),"Yes","No")</f>
        <v>No</v>
      </c>
      <c r="K28" s="356"/>
      <c r="L28" s="356"/>
      <c r="M28" s="357" t="b">
        <f>'Emails, Files, &amp; Other Data'!J61</f>
        <v>0</v>
      </c>
      <c r="N28" s="356" t="str">
        <f>N24</f>
        <v>Let users assign permissions when they apply the label</v>
      </c>
      <c r="O28" s="358" t="str">
        <f>O$12</f>
        <v>Content Marking</v>
      </c>
      <c r="P28" s="747"/>
      <c r="Q28" s="736"/>
      <c r="R28" s="735"/>
      <c r="S28" s="729" t="str">
        <f>IF('Groups &amp; Sites'!K50=TRUE,"Yes","No")</f>
        <v>No</v>
      </c>
      <c r="T28" s="735" t="str">
        <f>T$13</f>
        <v>Use Microsoft Entra Conditional Access to protect labeled SharePoint sites</v>
      </c>
      <c r="U28" s="729"/>
      <c r="V28" s="686"/>
    </row>
    <row r="29" spans="1:22" ht="14.5" customHeight="1" x14ac:dyDescent="0.35">
      <c r="A29" s="714"/>
      <c r="B29" s="701"/>
      <c r="C29" s="705"/>
      <c r="D29" s="708"/>
      <c r="E29" s="349" t="b">
        <f>'Sensitivity Labels'!F47</f>
        <v>0</v>
      </c>
      <c r="F29" s="350" t="str">
        <f>'Sensitivity Labels'!G47</f>
        <v>Meetings</v>
      </c>
      <c r="G29" s="699"/>
      <c r="H29" s="701"/>
      <c r="I29" s="703"/>
      <c r="J29" s="739" t="str">
        <f>IF('Emails, Files, &amp; Other Data'!AB60=TRUE,"Yes","No")</f>
        <v>No</v>
      </c>
      <c r="K29" s="356"/>
      <c r="L29" s="356"/>
      <c r="M29" s="356"/>
      <c r="N29" s="356"/>
      <c r="O29" s="737" t="str">
        <f>O$13</f>
        <v>Auto-labeling for files and emails: "Client-side Auto-Labeling"</v>
      </c>
      <c r="P29" s="747"/>
      <c r="Q29" s="732" t="str">
        <f>IF('Groups &amp; Sites'!H51=TRUE,"Yes","No")</f>
        <v>No</v>
      </c>
      <c r="R29" s="730" t="str">
        <f>R$13</f>
        <v>Let Microsoft 365 Group owners add people outside your organization to the group as guests.</v>
      </c>
      <c r="S29" s="703" t="str">
        <f>IF('Groups &amp; Sites'!K51=TRUE,"Yes","No")</f>
        <v>No</v>
      </c>
      <c r="T29" s="731" t="str">
        <f>T$13</f>
        <v>Use Microsoft Entra Conditional Access to protect labeled SharePoint sites</v>
      </c>
      <c r="U29" s="746" t="str">
        <f>IF(OR('Groups &amp; Sites'!S52=TRUE,'Groups &amp; Sites'!S53=TRUE,'Groups &amp; Sites'!S54=TRUE),"Yes","No")</f>
        <v>No</v>
      </c>
      <c r="V29" s="689" t="str">
        <f>V$13</f>
        <v>Teams shared channels</v>
      </c>
    </row>
    <row r="30" spans="1:22" ht="15" thickBot="1" x14ac:dyDescent="0.4">
      <c r="A30" s="715"/>
      <c r="B30" s="702"/>
      <c r="C30" s="706"/>
      <c r="D30" s="709"/>
      <c r="E30" s="359" t="b">
        <f>'Sensitivity Labels'!F49</f>
        <v>0</v>
      </c>
      <c r="F30" s="360" t="str">
        <f>'Sensitivity Labels'!G49</f>
        <v>Groups &amp; Sites</v>
      </c>
      <c r="G30" s="700"/>
      <c r="H30" s="702"/>
      <c r="I30" s="704"/>
      <c r="J30" s="740"/>
      <c r="K30" s="361"/>
      <c r="L30" s="361"/>
      <c r="M30" s="361"/>
      <c r="N30" s="361"/>
      <c r="O30" s="738"/>
      <c r="P30" s="748"/>
      <c r="Q30" s="733"/>
      <c r="R30" s="731"/>
      <c r="S30" s="703" t="str">
        <f>IF('Groups &amp; Sites'!K52=TRUE,"Yes","No")</f>
        <v>No</v>
      </c>
      <c r="T30" s="731"/>
      <c r="U30" s="703"/>
      <c r="V30" s="745"/>
    </row>
    <row r="31" spans="1:22" ht="14.5" customHeight="1" x14ac:dyDescent="0.35">
      <c r="A31" s="717">
        <f>A27+1</f>
        <v>6</v>
      </c>
      <c r="B31" s="693">
        <f>'Sensitivity Labels'!C51</f>
        <v>0</v>
      </c>
      <c r="C31" s="710"/>
      <c r="D31" s="537">
        <f>'Sensitivity Labels'!E51</f>
        <v>0</v>
      </c>
      <c r="E31" s="60" t="b">
        <f>'Sensitivity Labels'!F51</f>
        <v>0</v>
      </c>
      <c r="F31" s="62" t="str">
        <f>'Sensitivity Labels'!G51</f>
        <v>Files &amp; Other Data assets</v>
      </c>
      <c r="G31" s="690">
        <f>'Sensitivity Labels'!I51</f>
        <v>0</v>
      </c>
      <c r="H31" s="693">
        <f>'Sensitivity Labels'!J51</f>
        <v>0</v>
      </c>
      <c r="I31" s="696">
        <f>'Sensitivity Labels'!K51</f>
        <v>0</v>
      </c>
      <c r="J31" s="320" t="str">
        <f>IF(OR(M31=TRUE,M32=TRUE),"Encryption",(IF(K31=TRUE,"Remove Encryption","No Encryption")))</f>
        <v>No Encryption</v>
      </c>
      <c r="K31" s="315" t="b">
        <f>'Emails, Files, &amp; Other Data'!H72</f>
        <v>0</v>
      </c>
      <c r="L31" s="316" t="str">
        <f>L27</f>
        <v>Remove access control settings if already applied to items</v>
      </c>
      <c r="M31" s="315" t="b">
        <f>'Emails, Files, &amp; Other Data'!J72</f>
        <v>0</v>
      </c>
      <c r="N31" s="316" t="str">
        <f>N27</f>
        <v>Assign Permissions now</v>
      </c>
      <c r="O31" s="321" t="str">
        <f>O$11</f>
        <v>Access Control</v>
      </c>
      <c r="P31" s="765" t="str">
        <f>IF(E33=TRUE,"Yes","No")</f>
        <v>No</v>
      </c>
      <c r="Q31" s="749" t="str">
        <f>IF(OR('Groups &amp; Sites'!H58=INputs!AN$3,'Groups &amp; Sites'!H58=INputs!AN$4),"Yes","No")</f>
        <v>No</v>
      </c>
      <c r="R31" s="751" t="str">
        <f>R$11</f>
        <v>Privacy and external user access</v>
      </c>
      <c r="S31" s="684" t="str">
        <f>IF('Groups &amp; Sites'!K58=TRUE,"Yes","No")</f>
        <v>No</v>
      </c>
      <c r="T31" s="751" t="str">
        <f>T$11</f>
        <v>Content can be shared with</v>
      </c>
      <c r="U31" s="684" t="str">
        <f>IF('Groups &amp; Sites'!S59=TRUE,"Yes","No")</f>
        <v>No</v>
      </c>
      <c r="V31" s="682" t="str">
        <f>V$11</f>
        <v>Allow users to discover private teams that have this label applied.</v>
      </c>
    </row>
    <row r="32" spans="1:22" ht="14.5" x14ac:dyDescent="0.35">
      <c r="A32" s="716"/>
      <c r="B32" s="694">
        <f>'Sensitivity Labels'!C53</f>
        <v>0</v>
      </c>
      <c r="C32" s="711">
        <f>'Sensitivity Labels'!D53</f>
        <v>0</v>
      </c>
      <c r="D32" s="538">
        <f>'Sensitivity Labels'!E53</f>
        <v>0</v>
      </c>
      <c r="E32" s="64" t="b">
        <f>'Sensitivity Labels'!F53</f>
        <v>0</v>
      </c>
      <c r="F32" t="str">
        <f>'Sensitivity Labels'!G53</f>
        <v>Emails</v>
      </c>
      <c r="G32" s="691"/>
      <c r="H32" s="694"/>
      <c r="I32" s="697"/>
      <c r="J32" s="322" t="str">
        <f>IF(OR('Emails, Files, &amp; Other Data'!X72=TRUE,'Emails, Files, &amp; Other Data'!X73=TRUE,'Emails, Files, &amp; Other Data'!X74=TRUE),"Yes","No")</f>
        <v>No</v>
      </c>
      <c r="K32" s="317"/>
      <c r="L32" s="317"/>
      <c r="M32" s="318" t="b">
        <f>'Emails, Files, &amp; Other Data'!J73</f>
        <v>0</v>
      </c>
      <c r="N32" s="317" t="str">
        <f>N28</f>
        <v>Let users assign permissions when they apply the label</v>
      </c>
      <c r="O32" s="323" t="str">
        <f>O$12</f>
        <v>Content Marking</v>
      </c>
      <c r="P32" s="766"/>
      <c r="Q32" s="750"/>
      <c r="R32" s="752"/>
      <c r="S32" s="685"/>
      <c r="T32" s="752"/>
      <c r="U32" s="685"/>
      <c r="V32" s="683"/>
    </row>
    <row r="33" spans="1:22" ht="14.5" customHeight="1" x14ac:dyDescent="0.35">
      <c r="A33" s="716"/>
      <c r="B33" s="694"/>
      <c r="C33" s="711"/>
      <c r="D33" s="538"/>
      <c r="E33" s="64" t="b">
        <f>'Sensitivity Labels'!F55</f>
        <v>0</v>
      </c>
      <c r="F33" t="str">
        <f>'Sensitivity Labels'!G55</f>
        <v>Meetings</v>
      </c>
      <c r="G33" s="691"/>
      <c r="H33" s="694"/>
      <c r="I33" s="697"/>
      <c r="J33" s="763" t="str">
        <f>IF('Emails, Files, &amp; Other Data'!AB72=TRUE,"Yes","No")</f>
        <v>No</v>
      </c>
      <c r="K33" s="317"/>
      <c r="L33" s="317"/>
      <c r="M33" s="317"/>
      <c r="N33" s="317"/>
      <c r="O33" s="761" t="str">
        <f>O$13</f>
        <v>Auto-labeling for files and emails: "Client-side Auto-Labeling"</v>
      </c>
      <c r="P33" s="766"/>
      <c r="Q33" s="759" t="str">
        <f>IF('Groups &amp; Sites'!H60=TRUE,"Yes","No")</f>
        <v>No</v>
      </c>
      <c r="R33" s="758" t="str">
        <f>R$13</f>
        <v>Let Microsoft 365 Group owners add people outside your organization to the group as guests.</v>
      </c>
      <c r="S33" s="753" t="str">
        <f>IF('Groups &amp; Sites'!K59=TRUE,"Yes","No")</f>
        <v>No</v>
      </c>
      <c r="T33" s="755" t="str">
        <f>T$13</f>
        <v>Use Microsoft Entra Conditional Access to protect labeled SharePoint sites</v>
      </c>
      <c r="U33" s="757" t="str">
        <f>IF(OR('Groups &amp; Sites'!S61=TRUE,'Groups &amp; Sites'!S62=TRUE,'Groups &amp; Sites'!S63=TRUE),"Yes","No")</f>
        <v>No</v>
      </c>
      <c r="V33" s="687" t="str">
        <f>V$13</f>
        <v>Teams shared channels</v>
      </c>
    </row>
    <row r="34" spans="1:22" ht="15" thickBot="1" x14ac:dyDescent="0.4">
      <c r="A34" s="718"/>
      <c r="B34" s="695"/>
      <c r="C34" s="712"/>
      <c r="D34" s="539"/>
      <c r="E34" s="69" t="b">
        <f>'Sensitivity Labels'!F57</f>
        <v>0</v>
      </c>
      <c r="F34" s="67" t="str">
        <f>'Sensitivity Labels'!G57</f>
        <v>Groups &amp; Sites</v>
      </c>
      <c r="G34" s="692"/>
      <c r="H34" s="695"/>
      <c r="I34" s="698"/>
      <c r="J34" s="764"/>
      <c r="K34" s="319"/>
      <c r="L34" s="319"/>
      <c r="M34" s="319"/>
      <c r="N34" s="319"/>
      <c r="O34" s="762"/>
      <c r="P34" s="767"/>
      <c r="Q34" s="760"/>
      <c r="R34" s="756"/>
      <c r="S34" s="754"/>
      <c r="T34" s="756"/>
      <c r="U34" s="754"/>
      <c r="V34" s="688"/>
    </row>
    <row r="35" spans="1:22" ht="14.5" customHeight="1" x14ac:dyDescent="0.35">
      <c r="A35" s="713">
        <f>A31+1</f>
        <v>7</v>
      </c>
      <c r="B35" s="701">
        <f>'Sensitivity Labels'!C59</f>
        <v>0</v>
      </c>
      <c r="C35" s="705">
        <f>'Sensitivity Labels'!D59</f>
        <v>0</v>
      </c>
      <c r="D35" s="707">
        <f>'Sensitivity Labels'!E59</f>
        <v>0</v>
      </c>
      <c r="E35" s="349" t="b">
        <f>'Sensitivity Labels'!F59</f>
        <v>0</v>
      </c>
      <c r="F35" s="350" t="str">
        <f>'Sensitivity Labels'!G59</f>
        <v>Files &amp; Other Data assets</v>
      </c>
      <c r="G35" s="699">
        <f>'Sensitivity Labels'!I59</f>
        <v>0</v>
      </c>
      <c r="H35" s="701">
        <f>'Sensitivity Labels'!J59</f>
        <v>0</v>
      </c>
      <c r="I35" s="703">
        <f>'Sensitivity Labels'!K59</f>
        <v>0</v>
      </c>
      <c r="J35" s="351" t="str">
        <f>IF(OR(M35=TRUE,M36=TRUE),"Encryption",(IF(K35=TRUE,"Remove Encryption","No Encryption")))</f>
        <v>No Encryption</v>
      </c>
      <c r="K35" s="352" t="b">
        <f>'Emails, Files, &amp; Other Data'!H84</f>
        <v>0</v>
      </c>
      <c r="L35" s="353" t="str">
        <f>L31</f>
        <v>Remove access control settings if already applied to items</v>
      </c>
      <c r="M35" s="352" t="b">
        <f>'Emails, Files, &amp; Other Data'!J84</f>
        <v>0</v>
      </c>
      <c r="N35" s="353" t="str">
        <f>N31</f>
        <v>Assign Permissions now</v>
      </c>
      <c r="O35" s="354" t="str">
        <f>O$11</f>
        <v>Access Control</v>
      </c>
      <c r="P35" s="747" t="str">
        <f>IF(E37=TRUE,"Yes","No")</f>
        <v>No</v>
      </c>
      <c r="Q35" s="733" t="str">
        <f>IF(OR('Groups &amp; Sites'!H67=INputs!AN$3,'Groups &amp; Sites'!H67=INputs!AN$4),"Yes","No")</f>
        <v>No</v>
      </c>
      <c r="R35" s="734" t="str">
        <f>R$11</f>
        <v>Privacy and external user access</v>
      </c>
      <c r="S35" s="703" t="str">
        <f>IF('Groups &amp; Sites'!K67=TRUE,"Yes","No")</f>
        <v>No</v>
      </c>
      <c r="T35" s="734" t="str">
        <f>T$11</f>
        <v>Content can be shared with</v>
      </c>
      <c r="U35" s="703" t="str">
        <f>IF('Groups &amp; Sites'!S68=TRUE,"Yes","No")</f>
        <v>No</v>
      </c>
      <c r="V35" s="728" t="str">
        <f>V$11</f>
        <v>Allow users to discover private teams that have this label applied.</v>
      </c>
    </row>
    <row r="36" spans="1:22" ht="14.5" x14ac:dyDescent="0.35">
      <c r="A36" s="714"/>
      <c r="B36" s="701"/>
      <c r="C36" s="705"/>
      <c r="D36" s="708"/>
      <c r="E36" s="349" t="b">
        <f>'Sensitivity Labels'!F61</f>
        <v>0</v>
      </c>
      <c r="F36" s="350" t="str">
        <f>'Sensitivity Labels'!G61</f>
        <v>Emails</v>
      </c>
      <c r="G36" s="699"/>
      <c r="H36" s="701"/>
      <c r="I36" s="703"/>
      <c r="J36" s="355" t="str">
        <f>IF(OR('Emails, Files, &amp; Other Data'!X84=TRUE,'Emails, Files, &amp; Other Data'!X85=TRUE,'Emails, Files, &amp; Other Data'!X86=TRUE),"Yes","No")</f>
        <v>No</v>
      </c>
      <c r="K36" s="356"/>
      <c r="L36" s="356"/>
      <c r="M36" s="357" t="b">
        <f>'Emails, Files, &amp; Other Data'!J85</f>
        <v>0</v>
      </c>
      <c r="N36" s="356" t="str">
        <f>N32</f>
        <v>Let users assign permissions when they apply the label</v>
      </c>
      <c r="O36" s="358" t="str">
        <f>O$12</f>
        <v>Content Marking</v>
      </c>
      <c r="P36" s="747"/>
      <c r="Q36" s="736"/>
      <c r="R36" s="735"/>
      <c r="S36" s="729"/>
      <c r="T36" s="735"/>
      <c r="U36" s="729"/>
      <c r="V36" s="686"/>
    </row>
    <row r="37" spans="1:22" ht="14.5" customHeight="1" x14ac:dyDescent="0.35">
      <c r="A37" s="714"/>
      <c r="B37" s="701"/>
      <c r="C37" s="705"/>
      <c r="D37" s="708"/>
      <c r="E37" s="349" t="b">
        <f>'Sensitivity Labels'!F63</f>
        <v>0</v>
      </c>
      <c r="F37" s="350" t="str">
        <f>'Sensitivity Labels'!G63</f>
        <v>Meetings</v>
      </c>
      <c r="G37" s="699"/>
      <c r="H37" s="701"/>
      <c r="I37" s="703"/>
      <c r="J37" s="739" t="str">
        <f>IF('Emails, Files, &amp; Other Data'!AB84=TRUE,"Yes","No")</f>
        <v>No</v>
      </c>
      <c r="K37" s="356"/>
      <c r="L37" s="356"/>
      <c r="M37" s="356"/>
      <c r="N37" s="356"/>
      <c r="O37" s="737" t="str">
        <f>O$13</f>
        <v>Auto-labeling for files and emails: "Client-side Auto-Labeling"</v>
      </c>
      <c r="P37" s="747"/>
      <c r="Q37" s="732" t="str">
        <f>IF('Groups &amp; Sites'!H69=TRUE,"Yes","No")</f>
        <v>No</v>
      </c>
      <c r="R37" s="730" t="str">
        <f>R$13</f>
        <v>Let Microsoft 365 Group owners add people outside your organization to the group as guests.</v>
      </c>
      <c r="S37" s="703" t="str">
        <f>IF('Groups &amp; Sites'!K68=TRUE,"Yes","No")</f>
        <v>No</v>
      </c>
      <c r="T37" s="731" t="str">
        <f>T$13</f>
        <v>Use Microsoft Entra Conditional Access to protect labeled SharePoint sites</v>
      </c>
      <c r="U37" s="746" t="str">
        <f>IF(OR('Groups &amp; Sites'!S70=TRUE,'Groups &amp; Sites'!S71=TRUE,'Groups &amp; Sites'!S72=TRUE),"Yes","No")</f>
        <v>No</v>
      </c>
      <c r="V37" s="689" t="str">
        <f>V$13</f>
        <v>Teams shared channels</v>
      </c>
    </row>
    <row r="38" spans="1:22" ht="15" thickBot="1" x14ac:dyDescent="0.4">
      <c r="A38" s="715"/>
      <c r="B38" s="702"/>
      <c r="C38" s="706"/>
      <c r="D38" s="709"/>
      <c r="E38" s="359" t="b">
        <f>'Sensitivity Labels'!F65</f>
        <v>0</v>
      </c>
      <c r="F38" s="360" t="str">
        <f>'Sensitivity Labels'!G65</f>
        <v>Groups &amp; Sites</v>
      </c>
      <c r="G38" s="700"/>
      <c r="H38" s="702"/>
      <c r="I38" s="704"/>
      <c r="J38" s="740"/>
      <c r="K38" s="361"/>
      <c r="L38" s="361"/>
      <c r="M38" s="361"/>
      <c r="N38" s="361"/>
      <c r="O38" s="738"/>
      <c r="P38" s="748"/>
      <c r="Q38" s="733"/>
      <c r="R38" s="731"/>
      <c r="S38" s="703"/>
      <c r="T38" s="731"/>
      <c r="U38" s="703"/>
      <c r="V38" s="745"/>
    </row>
    <row r="39" spans="1:22" ht="14.5" customHeight="1" x14ac:dyDescent="0.35">
      <c r="A39" s="717">
        <f>A35+1</f>
        <v>8</v>
      </c>
      <c r="B39" s="693">
        <f>'Sensitivity Labels'!C67</f>
        <v>0</v>
      </c>
      <c r="C39" s="710">
        <f>'Sensitivity Labels'!D67</f>
        <v>0</v>
      </c>
      <c r="D39" s="537">
        <f>'Sensitivity Labels'!E67</f>
        <v>0</v>
      </c>
      <c r="E39" s="60" t="b">
        <f>'Sensitivity Labels'!F67</f>
        <v>0</v>
      </c>
      <c r="F39" s="62" t="str">
        <f>'Sensitivity Labels'!G67</f>
        <v>Files &amp; Other Data assets</v>
      </c>
      <c r="G39" s="690">
        <f>'Sensitivity Labels'!I67</f>
        <v>0</v>
      </c>
      <c r="H39" s="693">
        <f>'Sensitivity Labels'!J67</f>
        <v>0</v>
      </c>
      <c r="I39" s="696">
        <f>'Sensitivity Labels'!K67</f>
        <v>0</v>
      </c>
      <c r="J39" s="320" t="str">
        <f>IF(OR(M39=TRUE,M40=TRUE),"Encryption",(IF(K39=TRUE,"Remove Encryption","No Encryption")))</f>
        <v>No Encryption</v>
      </c>
      <c r="K39" s="315" t="b">
        <f>'Emails, Files, &amp; Other Data'!H96</f>
        <v>0</v>
      </c>
      <c r="L39" s="316" t="str">
        <f>L35</f>
        <v>Remove access control settings if already applied to items</v>
      </c>
      <c r="M39" s="315" t="b">
        <f>'Emails, Files, &amp; Other Data'!J96</f>
        <v>0</v>
      </c>
      <c r="N39" s="316" t="str">
        <f>N35</f>
        <v>Assign Permissions now</v>
      </c>
      <c r="O39" s="321" t="str">
        <f>O$11</f>
        <v>Access Control</v>
      </c>
      <c r="P39" s="765" t="str">
        <f>IF(E41=TRUE,"Yes","No")</f>
        <v>No</v>
      </c>
      <c r="Q39" s="749" t="str">
        <f>IF(OR('Groups &amp; Sites'!H76=INputs!AN$3,'Groups &amp; Sites'!H76=INputs!AN$4),"Yes","No")</f>
        <v>No</v>
      </c>
      <c r="R39" s="751" t="str">
        <f>R$11</f>
        <v>Privacy and external user access</v>
      </c>
      <c r="S39" s="684" t="str">
        <f>IF('Groups &amp; Sites'!K76=TRUE,"Yes","No")</f>
        <v>No</v>
      </c>
      <c r="T39" s="751" t="str">
        <f>T$11</f>
        <v>Content can be shared with</v>
      </c>
      <c r="U39" s="684" t="str">
        <f>IF('Groups &amp; Sites'!S77=TRUE,"Yes","No")</f>
        <v>No</v>
      </c>
      <c r="V39" s="682" t="str">
        <f>V$11</f>
        <v>Allow users to discover private teams that have this label applied.</v>
      </c>
    </row>
    <row r="40" spans="1:22" ht="14.5" x14ac:dyDescent="0.35">
      <c r="A40" s="716"/>
      <c r="B40" s="694"/>
      <c r="C40" s="711"/>
      <c r="D40" s="538"/>
      <c r="E40" s="64" t="b">
        <f>'Sensitivity Labels'!F69</f>
        <v>0</v>
      </c>
      <c r="F40" t="str">
        <f>'Sensitivity Labels'!G69</f>
        <v>Emails</v>
      </c>
      <c r="G40" s="691"/>
      <c r="H40" s="694"/>
      <c r="I40" s="697"/>
      <c r="J40" s="322" t="str">
        <f>IF(OR('Emails, Files, &amp; Other Data'!X96=TRUE,'Emails, Files, &amp; Other Data'!X97=TRUE,'Emails, Files, &amp; Other Data'!X98=TRUE),"Yes","No")</f>
        <v>No</v>
      </c>
      <c r="K40" s="317"/>
      <c r="L40" s="317"/>
      <c r="M40" s="318" t="b">
        <f>'Emails, Files, &amp; Other Data'!J97</f>
        <v>0</v>
      </c>
      <c r="N40" s="317" t="str">
        <f>N36</f>
        <v>Let users assign permissions when they apply the label</v>
      </c>
      <c r="O40" s="323" t="str">
        <f>O$12</f>
        <v>Content Marking</v>
      </c>
      <c r="P40" s="766"/>
      <c r="Q40" s="750"/>
      <c r="R40" s="752"/>
      <c r="S40" s="685"/>
      <c r="T40" s="752"/>
      <c r="U40" s="685"/>
      <c r="V40" s="683"/>
    </row>
    <row r="41" spans="1:22" ht="14.5" customHeight="1" x14ac:dyDescent="0.35">
      <c r="A41" s="716"/>
      <c r="B41" s="694"/>
      <c r="C41" s="711"/>
      <c r="D41" s="538"/>
      <c r="E41" s="64" t="b">
        <f>'Sensitivity Labels'!F71</f>
        <v>0</v>
      </c>
      <c r="F41" t="str">
        <f>'Sensitivity Labels'!G71</f>
        <v>Meetings</v>
      </c>
      <c r="G41" s="691"/>
      <c r="H41" s="694"/>
      <c r="I41" s="697"/>
      <c r="J41" s="763" t="str">
        <f>IF('Emails, Files, &amp; Other Data'!AB96=TRUE,"Yes","No")</f>
        <v>No</v>
      </c>
      <c r="K41" s="317"/>
      <c r="L41" s="317"/>
      <c r="M41" s="317"/>
      <c r="N41" s="317"/>
      <c r="O41" s="761" t="str">
        <f>O$13</f>
        <v>Auto-labeling for files and emails: "Client-side Auto-Labeling"</v>
      </c>
      <c r="P41" s="766"/>
      <c r="Q41" s="759" t="str">
        <f>IF('Groups &amp; Sites'!H78=TRUE,"Yes","No")</f>
        <v>No</v>
      </c>
      <c r="R41" s="758" t="str">
        <f>R$13</f>
        <v>Let Microsoft 365 Group owners add people outside your organization to the group as guests.</v>
      </c>
      <c r="S41" s="753" t="str">
        <f>IF('Groups &amp; Sites'!K77=TRUE,"Yes","No")</f>
        <v>No</v>
      </c>
      <c r="T41" s="755" t="str">
        <f>T$13</f>
        <v>Use Microsoft Entra Conditional Access to protect labeled SharePoint sites</v>
      </c>
      <c r="U41" s="757" t="str">
        <f>IF(OR('Groups &amp; Sites'!S79=TRUE,'Groups &amp; Sites'!S80=TRUE,'Groups &amp; Sites'!S81=TRUE),"Yes","No")</f>
        <v>No</v>
      </c>
      <c r="V41" s="687" t="str">
        <f>V$13</f>
        <v>Teams shared channels</v>
      </c>
    </row>
    <row r="42" spans="1:22" ht="15" thickBot="1" x14ac:dyDescent="0.4">
      <c r="A42" s="716"/>
      <c r="B42" s="695"/>
      <c r="C42" s="712"/>
      <c r="D42" s="539"/>
      <c r="E42" s="69" t="b">
        <f>'Sensitivity Labels'!F73</f>
        <v>0</v>
      </c>
      <c r="F42" s="67" t="str">
        <f>'Sensitivity Labels'!G73</f>
        <v>Groups &amp; Sites</v>
      </c>
      <c r="G42" s="692"/>
      <c r="H42" s="695"/>
      <c r="I42" s="698"/>
      <c r="J42" s="764"/>
      <c r="K42" s="319"/>
      <c r="L42" s="319"/>
      <c r="M42" s="319"/>
      <c r="N42" s="319"/>
      <c r="O42" s="762"/>
      <c r="P42" s="767"/>
      <c r="Q42" s="760"/>
      <c r="R42" s="756"/>
      <c r="S42" s="754"/>
      <c r="T42" s="756"/>
      <c r="U42" s="754"/>
      <c r="V42" s="688"/>
    </row>
    <row r="43" spans="1:22" ht="14.5" customHeight="1" x14ac:dyDescent="0.35">
      <c r="A43" s="713">
        <f>A39+1</f>
        <v>9</v>
      </c>
      <c r="B43" s="701">
        <f>'Sensitivity Labels'!C75</f>
        <v>0</v>
      </c>
      <c r="C43" s="705">
        <f>'Sensitivity Labels'!D75</f>
        <v>0</v>
      </c>
      <c r="D43" s="707">
        <f>'Sensitivity Labels'!E75</f>
        <v>0</v>
      </c>
      <c r="E43" s="349" t="b">
        <f>'Sensitivity Labels'!F75</f>
        <v>0</v>
      </c>
      <c r="F43" s="350" t="str">
        <f>'Sensitivity Labels'!G75</f>
        <v>Files &amp; Other Data assets</v>
      </c>
      <c r="G43" s="699">
        <f>'Sensitivity Labels'!I75</f>
        <v>0</v>
      </c>
      <c r="H43" s="701">
        <f>'Sensitivity Labels'!J75</f>
        <v>0</v>
      </c>
      <c r="I43" s="703">
        <f>'Sensitivity Labels'!K75</f>
        <v>0</v>
      </c>
      <c r="J43" s="351" t="str">
        <f>IF(OR(M43=TRUE,M44=TRUE),"Encryption",(IF(K43=TRUE,"Remove Encryption","No Encryption")))</f>
        <v>No Encryption</v>
      </c>
      <c r="K43" s="352" t="b">
        <f>'Emails, Files, &amp; Other Data'!H108</f>
        <v>0</v>
      </c>
      <c r="L43" s="353" t="str">
        <f>L39</f>
        <v>Remove access control settings if already applied to items</v>
      </c>
      <c r="M43" s="352" t="b">
        <f>'Emails, Files, &amp; Other Data'!J108</f>
        <v>0</v>
      </c>
      <c r="N43" s="353" t="str">
        <f>N39</f>
        <v>Assign Permissions now</v>
      </c>
      <c r="O43" s="354" t="str">
        <f>O$11</f>
        <v>Access Control</v>
      </c>
      <c r="P43" s="747" t="str">
        <f>IF(E45=TRUE,"Yes","No")</f>
        <v>No</v>
      </c>
      <c r="Q43" s="733" t="str">
        <f>IF(OR('Groups &amp; Sites'!H85=INputs!AN$3,'Groups &amp; Sites'!H85=INputs!AN$4),"Yes","No")</f>
        <v>No</v>
      </c>
      <c r="R43" s="734" t="str">
        <f>R$11</f>
        <v>Privacy and external user access</v>
      </c>
      <c r="S43" s="703" t="str">
        <f>IF('Groups &amp; Sites'!K85=TRUE,"Yes","No")</f>
        <v>No</v>
      </c>
      <c r="T43" s="734" t="str">
        <f>T$11</f>
        <v>Content can be shared with</v>
      </c>
      <c r="U43" s="703" t="str">
        <f>IF('Groups &amp; Sites'!S86=TRUE,"Yes","No")</f>
        <v>No</v>
      </c>
      <c r="V43" s="728" t="str">
        <f>V$11</f>
        <v>Allow users to discover private teams that have this label applied.</v>
      </c>
    </row>
    <row r="44" spans="1:22" ht="14.5" x14ac:dyDescent="0.35">
      <c r="A44" s="714"/>
      <c r="B44" s="701"/>
      <c r="C44" s="705"/>
      <c r="D44" s="708"/>
      <c r="E44" s="349" t="b">
        <f>'Sensitivity Labels'!F77</f>
        <v>0</v>
      </c>
      <c r="F44" s="350" t="str">
        <f>'Sensitivity Labels'!G77</f>
        <v>Emails</v>
      </c>
      <c r="G44" s="699"/>
      <c r="H44" s="701"/>
      <c r="I44" s="703"/>
      <c r="J44" s="355" t="str">
        <f>IF(OR('Emails, Files, &amp; Other Data'!X108=TRUE,'Emails, Files, &amp; Other Data'!X109=TRUE,'Emails, Files, &amp; Other Data'!X110=TRUE),"Yes","No")</f>
        <v>No</v>
      </c>
      <c r="K44" s="356"/>
      <c r="L44" s="356"/>
      <c r="M44" s="357" t="b">
        <f>'Emails, Files, &amp; Other Data'!J109</f>
        <v>0</v>
      </c>
      <c r="N44" s="356" t="str">
        <f>N40</f>
        <v>Let users assign permissions when they apply the label</v>
      </c>
      <c r="O44" s="358" t="str">
        <f>O$12</f>
        <v>Content Marking</v>
      </c>
      <c r="P44" s="747"/>
      <c r="Q44" s="736"/>
      <c r="R44" s="735"/>
      <c r="S44" s="729"/>
      <c r="T44" s="735"/>
      <c r="U44" s="729"/>
      <c r="V44" s="686"/>
    </row>
    <row r="45" spans="1:22" ht="14.5" customHeight="1" x14ac:dyDescent="0.35">
      <c r="A45" s="714"/>
      <c r="B45" s="701"/>
      <c r="C45" s="705"/>
      <c r="D45" s="708"/>
      <c r="E45" s="349" t="b">
        <f>'Sensitivity Labels'!F79</f>
        <v>0</v>
      </c>
      <c r="F45" s="350" t="str">
        <f>'Sensitivity Labels'!G79</f>
        <v>Meetings</v>
      </c>
      <c r="G45" s="699"/>
      <c r="H45" s="701"/>
      <c r="I45" s="703"/>
      <c r="J45" s="739" t="str">
        <f>IF('Emails, Files, &amp; Other Data'!AB108=TRUE,"Yes","No")</f>
        <v>No</v>
      </c>
      <c r="K45" s="356"/>
      <c r="L45" s="356"/>
      <c r="M45" s="356"/>
      <c r="N45" s="356"/>
      <c r="O45" s="737" t="str">
        <f>O$13</f>
        <v>Auto-labeling for files and emails: "Client-side Auto-Labeling"</v>
      </c>
      <c r="P45" s="747"/>
      <c r="Q45" s="732" t="str">
        <f>IF('Groups &amp; Sites'!H87=TRUE,"Yes","No")</f>
        <v>No</v>
      </c>
      <c r="R45" s="730" t="str">
        <f>R$13</f>
        <v>Let Microsoft 365 Group owners add people outside your organization to the group as guests.</v>
      </c>
      <c r="S45" s="703" t="str">
        <f>IF('Groups &amp; Sites'!K86=TRUE,"Yes","No")</f>
        <v>No</v>
      </c>
      <c r="T45" s="731" t="str">
        <f>T$13</f>
        <v>Use Microsoft Entra Conditional Access to protect labeled SharePoint sites</v>
      </c>
      <c r="U45" s="746" t="str">
        <f>IF(OR('Groups &amp; Sites'!S88=TRUE,'Groups &amp; Sites'!S89=TRUE,'Groups &amp; Sites'!S90=TRUE),"Yes","No")</f>
        <v>No</v>
      </c>
      <c r="V45" s="689" t="str">
        <f>V$13</f>
        <v>Teams shared channels</v>
      </c>
    </row>
    <row r="46" spans="1:22" ht="15" thickBot="1" x14ac:dyDescent="0.4">
      <c r="A46" s="715"/>
      <c r="B46" s="702"/>
      <c r="C46" s="706"/>
      <c r="D46" s="709"/>
      <c r="E46" s="359" t="b">
        <f>'Sensitivity Labels'!F81</f>
        <v>0</v>
      </c>
      <c r="F46" s="360" t="str">
        <f>'Sensitivity Labels'!G81</f>
        <v>Groups &amp; Sites</v>
      </c>
      <c r="G46" s="700"/>
      <c r="H46" s="702"/>
      <c r="I46" s="704"/>
      <c r="J46" s="740"/>
      <c r="K46" s="361"/>
      <c r="L46" s="361"/>
      <c r="M46" s="361"/>
      <c r="N46" s="361"/>
      <c r="O46" s="738"/>
      <c r="P46" s="748"/>
      <c r="Q46" s="733"/>
      <c r="R46" s="731"/>
      <c r="S46" s="703"/>
      <c r="T46" s="731"/>
      <c r="U46" s="703"/>
      <c r="V46" s="745"/>
    </row>
    <row r="47" spans="1:22" ht="14.5" customHeight="1" x14ac:dyDescent="0.35">
      <c r="A47" s="716">
        <f>A43+1</f>
        <v>10</v>
      </c>
      <c r="B47" s="693">
        <f>'Sensitivity Labels'!C83</f>
        <v>0</v>
      </c>
      <c r="C47" s="710">
        <f>'Sensitivity Labels'!D83</f>
        <v>0</v>
      </c>
      <c r="D47" s="537">
        <f>'Sensitivity Labels'!E83</f>
        <v>0</v>
      </c>
      <c r="E47" s="60" t="b">
        <f>'Sensitivity Labels'!F83</f>
        <v>0</v>
      </c>
      <c r="F47" s="62" t="str">
        <f>'Sensitivity Labels'!G83</f>
        <v>Files &amp; Other Data assets</v>
      </c>
      <c r="G47" s="690">
        <f>'Sensitivity Labels'!I83</f>
        <v>0</v>
      </c>
      <c r="H47" s="693">
        <f>'Sensitivity Labels'!J83</f>
        <v>0</v>
      </c>
      <c r="I47" s="696">
        <f>'Sensitivity Labels'!K83</f>
        <v>0</v>
      </c>
      <c r="J47" s="320" t="str">
        <f>IF(OR(M47=TRUE,M48=TRUE),"Encryption",(IF(K47=TRUE,"Remove Encryption","No Encryption")))</f>
        <v>No Encryption</v>
      </c>
      <c r="K47" s="315" t="b">
        <f>'Emails, Files, &amp; Other Data'!H120</f>
        <v>0</v>
      </c>
      <c r="L47" s="316" t="str">
        <f>L43</f>
        <v>Remove access control settings if already applied to items</v>
      </c>
      <c r="M47" s="315" t="b">
        <f>'Emails, Files, &amp; Other Data'!J120</f>
        <v>0</v>
      </c>
      <c r="N47" s="316" t="str">
        <f>N43</f>
        <v>Assign Permissions now</v>
      </c>
      <c r="O47" s="321" t="str">
        <f>O$11</f>
        <v>Access Control</v>
      </c>
      <c r="P47" s="765" t="str">
        <f>IF(E49=TRUE,"Yes","No")</f>
        <v>No</v>
      </c>
      <c r="Q47" s="749" t="str">
        <f>IF(OR('Groups &amp; Sites'!H94=INputs!AN$3,'Groups &amp; Sites'!H94=INputs!AN$4),"Yes","No")</f>
        <v>No</v>
      </c>
      <c r="R47" s="751" t="str">
        <f>R$11</f>
        <v>Privacy and external user access</v>
      </c>
      <c r="S47" s="684" t="str">
        <f>IF('Groups &amp; Sites'!K94=TRUE,"Yes","No")</f>
        <v>No</v>
      </c>
      <c r="T47" s="751" t="str">
        <f>T$11</f>
        <v>Content can be shared with</v>
      </c>
      <c r="U47" s="684" t="str">
        <f>IF('Groups &amp; Sites'!S95=TRUE,"Yes","No")</f>
        <v>No</v>
      </c>
      <c r="V47" s="682" t="str">
        <f>V$11</f>
        <v>Allow users to discover private teams that have this label applied.</v>
      </c>
    </row>
    <row r="48" spans="1:22" ht="14.5" x14ac:dyDescent="0.35">
      <c r="A48" s="716"/>
      <c r="B48" s="694"/>
      <c r="C48" s="711"/>
      <c r="D48" s="538"/>
      <c r="E48" s="64" t="b">
        <f>'Sensitivity Labels'!F85</f>
        <v>0</v>
      </c>
      <c r="F48" t="str">
        <f>'Sensitivity Labels'!G85</f>
        <v>Emails</v>
      </c>
      <c r="G48" s="691"/>
      <c r="H48" s="694"/>
      <c r="I48" s="697"/>
      <c r="J48" s="322" t="str">
        <f>IF(OR('Emails, Files, &amp; Other Data'!X120=TRUE,'Emails, Files, &amp; Other Data'!X121=TRUE,'Emails, Files, &amp; Other Data'!X122=TRUE),"Yes","No")</f>
        <v>No</v>
      </c>
      <c r="K48" s="317"/>
      <c r="L48" s="317"/>
      <c r="M48" s="318" t="b">
        <f>'Emails, Files, &amp; Other Data'!J121</f>
        <v>0</v>
      </c>
      <c r="N48" s="317" t="str">
        <f>N44</f>
        <v>Let users assign permissions when they apply the label</v>
      </c>
      <c r="O48" s="323" t="str">
        <f>O$12</f>
        <v>Content Marking</v>
      </c>
      <c r="P48" s="766"/>
      <c r="Q48" s="750"/>
      <c r="R48" s="752"/>
      <c r="S48" s="685"/>
      <c r="T48" s="752"/>
      <c r="U48" s="685"/>
      <c r="V48" s="683"/>
    </row>
    <row r="49" spans="1:22" ht="14.5" customHeight="1" x14ac:dyDescent="0.35">
      <c r="A49" s="716"/>
      <c r="B49" s="694"/>
      <c r="C49" s="711"/>
      <c r="D49" s="538"/>
      <c r="E49" s="64" t="b">
        <f>'Sensitivity Labels'!F87</f>
        <v>0</v>
      </c>
      <c r="F49" t="str">
        <f>'Sensitivity Labels'!G87</f>
        <v>Meetings</v>
      </c>
      <c r="G49" s="691"/>
      <c r="H49" s="694"/>
      <c r="I49" s="697"/>
      <c r="J49" s="763" t="str">
        <f>IF('Emails, Files, &amp; Other Data'!AB120=TRUE,"Yes","No")</f>
        <v>No</v>
      </c>
      <c r="K49" s="317"/>
      <c r="L49" s="317"/>
      <c r="M49" s="317"/>
      <c r="N49" s="317"/>
      <c r="O49" s="761" t="str">
        <f>O$13</f>
        <v>Auto-labeling for files and emails: "Client-side Auto-Labeling"</v>
      </c>
      <c r="P49" s="766"/>
      <c r="Q49" s="759" t="str">
        <f>IF('Groups &amp; Sites'!H96=TRUE,"Yes","No")</f>
        <v>No</v>
      </c>
      <c r="R49" s="758" t="str">
        <f>R$13</f>
        <v>Let Microsoft 365 Group owners add people outside your organization to the group as guests.</v>
      </c>
      <c r="S49" s="753" t="str">
        <f>IF('Groups &amp; Sites'!K95=TRUE,"Yes","No")</f>
        <v>No</v>
      </c>
      <c r="T49" s="755" t="str">
        <f>T$13</f>
        <v>Use Microsoft Entra Conditional Access to protect labeled SharePoint sites</v>
      </c>
      <c r="U49" s="757" t="str">
        <f>IF(OR('Groups &amp; Sites'!S97=TRUE,'Groups &amp; Sites'!S98=TRUE,'Groups &amp; Sites'!S99=TRUE),"Yes","No")</f>
        <v>No</v>
      </c>
      <c r="V49" s="687" t="str">
        <f>V$13</f>
        <v>Teams shared channels</v>
      </c>
    </row>
    <row r="50" spans="1:22" ht="15" thickBot="1" x14ac:dyDescent="0.4">
      <c r="A50" s="716"/>
      <c r="B50" s="695"/>
      <c r="C50" s="712"/>
      <c r="D50" s="539"/>
      <c r="E50" s="69" t="b">
        <f>'Sensitivity Labels'!F89</f>
        <v>0</v>
      </c>
      <c r="F50" s="67" t="str">
        <f>'Sensitivity Labels'!G89</f>
        <v>Groups &amp; Sites</v>
      </c>
      <c r="G50" s="692"/>
      <c r="H50" s="695"/>
      <c r="I50" s="698"/>
      <c r="J50" s="764"/>
      <c r="K50" s="319"/>
      <c r="L50" s="319"/>
      <c r="M50" s="319"/>
      <c r="N50" s="319"/>
      <c r="O50" s="762"/>
      <c r="P50" s="767"/>
      <c r="Q50" s="760"/>
      <c r="R50" s="756"/>
      <c r="S50" s="754"/>
      <c r="T50" s="756"/>
      <c r="U50" s="754"/>
      <c r="V50" s="688"/>
    </row>
    <row r="51" spans="1:22" ht="14.5" customHeight="1" x14ac:dyDescent="0.35">
      <c r="A51" s="713">
        <f>A47+1</f>
        <v>11</v>
      </c>
      <c r="B51" s="701">
        <f>'Sensitivity Labels'!C91</f>
        <v>0</v>
      </c>
      <c r="C51" s="705">
        <f>'Sensitivity Labels'!D91</f>
        <v>0</v>
      </c>
      <c r="D51" s="707">
        <f>'Sensitivity Labels'!E91</f>
        <v>0</v>
      </c>
      <c r="E51" s="349" t="b">
        <f>'Sensitivity Labels'!F91</f>
        <v>0</v>
      </c>
      <c r="F51" s="350" t="str">
        <f>'Sensitivity Labels'!G91</f>
        <v>Files &amp; Other Data assets</v>
      </c>
      <c r="G51" s="699">
        <f>'Sensitivity Labels'!I91</f>
        <v>0</v>
      </c>
      <c r="H51" s="701">
        <f>'Sensitivity Labels'!J91</f>
        <v>0</v>
      </c>
      <c r="I51" s="703">
        <f>'Sensitivity Labels'!K91</f>
        <v>0</v>
      </c>
      <c r="J51" s="351" t="str">
        <f>IF(OR(M51=TRUE,M52=TRUE),"Encryption",(IF(K51=TRUE,"Remove Encryption","No Encryption")))</f>
        <v>No Encryption</v>
      </c>
      <c r="K51" s="352" t="b">
        <f>'Emails, Files, &amp; Other Data'!H132</f>
        <v>0</v>
      </c>
      <c r="L51" s="353" t="str">
        <f>L47</f>
        <v>Remove access control settings if already applied to items</v>
      </c>
      <c r="M51" s="352" t="b">
        <f>'Emails, Files, &amp; Other Data'!J132</f>
        <v>0</v>
      </c>
      <c r="N51" s="353" t="str">
        <f>N47</f>
        <v>Assign Permissions now</v>
      </c>
      <c r="O51" s="354" t="str">
        <f>O$11</f>
        <v>Access Control</v>
      </c>
      <c r="P51" s="747" t="str">
        <f>IF(E53=TRUE,"Yes","No")</f>
        <v>No</v>
      </c>
      <c r="Q51" s="733" t="str">
        <f>IF(OR('Groups &amp; Sites'!H103=INputs!AN$3,'Groups &amp; Sites'!H103=INputs!AN$4),"Yes","No")</f>
        <v>No</v>
      </c>
      <c r="R51" s="734" t="str">
        <f>R$11</f>
        <v>Privacy and external user access</v>
      </c>
      <c r="S51" s="703" t="str">
        <f>IF('Groups &amp; Sites'!K103=TRUE,"Yes","No")</f>
        <v>No</v>
      </c>
      <c r="T51" s="734" t="str">
        <f>T$11</f>
        <v>Content can be shared with</v>
      </c>
      <c r="U51" s="703" t="str">
        <f>IF('Groups &amp; Sites'!S104=TRUE,"Yes","No")</f>
        <v>No</v>
      </c>
      <c r="V51" s="728" t="str">
        <f>V$11</f>
        <v>Allow users to discover private teams that have this label applied.</v>
      </c>
    </row>
    <row r="52" spans="1:22" ht="14.5" x14ac:dyDescent="0.35">
      <c r="A52" s="714"/>
      <c r="B52" s="701"/>
      <c r="C52" s="705"/>
      <c r="D52" s="708"/>
      <c r="E52" s="349" t="b">
        <f>'Sensitivity Labels'!F93</f>
        <v>0</v>
      </c>
      <c r="F52" s="350" t="str">
        <f>'Sensitivity Labels'!G93</f>
        <v>Emails</v>
      </c>
      <c r="G52" s="699"/>
      <c r="H52" s="701"/>
      <c r="I52" s="703"/>
      <c r="J52" s="355" t="str">
        <f>IF(OR('Emails, Files, &amp; Other Data'!X132=TRUE,'Emails, Files, &amp; Other Data'!X133=TRUE,'Emails, Files, &amp; Other Data'!X134=TRUE),"Yes","No")</f>
        <v>No</v>
      </c>
      <c r="K52" s="356"/>
      <c r="L52" s="356"/>
      <c r="M52" s="357" t="b">
        <f>'Emails, Files, &amp; Other Data'!J133</f>
        <v>0</v>
      </c>
      <c r="N52" s="356" t="str">
        <f>N48</f>
        <v>Let users assign permissions when they apply the label</v>
      </c>
      <c r="O52" s="358" t="str">
        <f>O$12</f>
        <v>Content Marking</v>
      </c>
      <c r="P52" s="747"/>
      <c r="Q52" s="736"/>
      <c r="R52" s="735"/>
      <c r="S52" s="729"/>
      <c r="T52" s="735"/>
      <c r="U52" s="729"/>
      <c r="V52" s="686"/>
    </row>
    <row r="53" spans="1:22" ht="14.5" customHeight="1" x14ac:dyDescent="0.35">
      <c r="A53" s="714"/>
      <c r="B53" s="701"/>
      <c r="C53" s="705"/>
      <c r="D53" s="708"/>
      <c r="E53" s="349" t="b">
        <f>'Sensitivity Labels'!F95</f>
        <v>0</v>
      </c>
      <c r="F53" s="350" t="str">
        <f>'Sensitivity Labels'!G95</f>
        <v>Meetings</v>
      </c>
      <c r="G53" s="699"/>
      <c r="H53" s="701"/>
      <c r="I53" s="703"/>
      <c r="J53" s="739" t="str">
        <f>IF('Emails, Files, &amp; Other Data'!AB132=TRUE,"Yes","No")</f>
        <v>No</v>
      </c>
      <c r="K53" s="356"/>
      <c r="L53" s="356"/>
      <c r="M53" s="356"/>
      <c r="N53" s="356"/>
      <c r="O53" s="737" t="str">
        <f>O$13</f>
        <v>Auto-labeling for files and emails: "Client-side Auto-Labeling"</v>
      </c>
      <c r="P53" s="747"/>
      <c r="Q53" s="732" t="str">
        <f>IF('Groups &amp; Sites'!H105=TRUE,"Yes","No")</f>
        <v>No</v>
      </c>
      <c r="R53" s="730" t="str">
        <f>R$13</f>
        <v>Let Microsoft 365 Group owners add people outside your organization to the group as guests.</v>
      </c>
      <c r="S53" s="703" t="str">
        <f>IF('Groups &amp; Sites'!K104=TRUE,"Yes","No")</f>
        <v>No</v>
      </c>
      <c r="T53" s="731" t="str">
        <f>T$13</f>
        <v>Use Microsoft Entra Conditional Access to protect labeled SharePoint sites</v>
      </c>
      <c r="U53" s="746" t="str">
        <f>IF(OR('Groups &amp; Sites'!S106=TRUE,'Groups &amp; Sites'!S107=TRUE,'Groups &amp; Sites'!S108=TRUE),"Yes","No")</f>
        <v>No</v>
      </c>
      <c r="V53" s="689" t="str">
        <f>V$13</f>
        <v>Teams shared channels</v>
      </c>
    </row>
    <row r="54" spans="1:22" ht="15" thickBot="1" x14ac:dyDescent="0.4">
      <c r="A54" s="715"/>
      <c r="B54" s="702"/>
      <c r="C54" s="706"/>
      <c r="D54" s="709"/>
      <c r="E54" s="359" t="b">
        <f>'Sensitivity Labels'!F97</f>
        <v>0</v>
      </c>
      <c r="F54" s="360" t="str">
        <f>'Sensitivity Labels'!G97</f>
        <v>Groups &amp; Sites</v>
      </c>
      <c r="G54" s="700"/>
      <c r="H54" s="702"/>
      <c r="I54" s="704"/>
      <c r="J54" s="740"/>
      <c r="K54" s="361"/>
      <c r="L54" s="361"/>
      <c r="M54" s="361"/>
      <c r="N54" s="361"/>
      <c r="O54" s="738"/>
      <c r="P54" s="748"/>
      <c r="Q54" s="733"/>
      <c r="R54" s="731"/>
      <c r="S54" s="703"/>
      <c r="T54" s="731"/>
      <c r="U54" s="703"/>
      <c r="V54" s="745"/>
    </row>
    <row r="55" spans="1:22" ht="14.5" customHeight="1" x14ac:dyDescent="0.35">
      <c r="A55" s="716">
        <f>A51+1</f>
        <v>12</v>
      </c>
      <c r="B55" s="693">
        <f>'Sensitivity Labels'!C99</f>
        <v>0</v>
      </c>
      <c r="C55" s="710">
        <f>'Sensitivity Labels'!D99</f>
        <v>0</v>
      </c>
      <c r="D55" s="537">
        <f>'Sensitivity Labels'!E99</f>
        <v>0</v>
      </c>
      <c r="E55" s="60" t="b">
        <f>'Sensitivity Labels'!F99</f>
        <v>0</v>
      </c>
      <c r="F55" s="62" t="str">
        <f>'Sensitivity Labels'!G99</f>
        <v>Files &amp; Other Data assets</v>
      </c>
      <c r="G55" s="690">
        <f>'Sensitivity Labels'!I99</f>
        <v>0</v>
      </c>
      <c r="H55" s="693">
        <f>'Sensitivity Labels'!J99</f>
        <v>0</v>
      </c>
      <c r="I55" s="696">
        <f>'Sensitivity Labels'!K99</f>
        <v>0</v>
      </c>
      <c r="J55" s="320" t="str">
        <f>IF(OR(M55=TRUE,M56=TRUE),"Encryption",(IF(K55=TRUE,"Remove Encryption","No Encryption")))</f>
        <v>No Encryption</v>
      </c>
      <c r="K55" s="315" t="b">
        <f>'Emails, Files, &amp; Other Data'!H144</f>
        <v>0</v>
      </c>
      <c r="L55" s="316" t="str">
        <f>L51</f>
        <v>Remove access control settings if already applied to items</v>
      </c>
      <c r="M55" s="315" t="b">
        <f>'Emails, Files, &amp; Other Data'!J144</f>
        <v>0</v>
      </c>
      <c r="N55" s="316" t="str">
        <f>N51</f>
        <v>Assign Permissions now</v>
      </c>
      <c r="O55" s="321" t="str">
        <f>O$11</f>
        <v>Access Control</v>
      </c>
      <c r="P55" s="765" t="str">
        <f>IF(E57=TRUE,"Yes","No")</f>
        <v>No</v>
      </c>
      <c r="Q55" s="749" t="str">
        <f>IF(OR('Groups &amp; Sites'!H112=INputs!AN$3,'Groups &amp; Sites'!H112=INputs!AN$4),"Yes","No")</f>
        <v>No</v>
      </c>
      <c r="R55" s="751" t="str">
        <f>R$11</f>
        <v>Privacy and external user access</v>
      </c>
      <c r="S55" s="684" t="str">
        <f>IF('Groups &amp; Sites'!K112=TRUE,"Yes","No")</f>
        <v>No</v>
      </c>
      <c r="T55" s="751" t="str">
        <f>T$11</f>
        <v>Content can be shared with</v>
      </c>
      <c r="U55" s="684" t="str">
        <f>IF('Groups &amp; Sites'!S113=TRUE,"Yes","No")</f>
        <v>No</v>
      </c>
      <c r="V55" s="682" t="str">
        <f>V$11</f>
        <v>Allow users to discover private teams that have this label applied.</v>
      </c>
    </row>
    <row r="56" spans="1:22" ht="14.5" x14ac:dyDescent="0.35">
      <c r="A56" s="716"/>
      <c r="B56" s="694"/>
      <c r="C56" s="711"/>
      <c r="D56" s="538"/>
      <c r="E56" s="64" t="b">
        <f>'Sensitivity Labels'!F101</f>
        <v>0</v>
      </c>
      <c r="F56" t="str">
        <f>'Sensitivity Labels'!G101</f>
        <v>Emails</v>
      </c>
      <c r="G56" s="691"/>
      <c r="H56" s="694"/>
      <c r="I56" s="697"/>
      <c r="J56" s="322" t="str">
        <f>IF(OR('Emails, Files, &amp; Other Data'!X144=TRUE,'Emails, Files, &amp; Other Data'!X145=TRUE,'Emails, Files, &amp; Other Data'!X146=TRUE),"Yes","No")</f>
        <v>No</v>
      </c>
      <c r="K56" s="317"/>
      <c r="L56" s="317"/>
      <c r="M56" s="318" t="b">
        <f>'Emails, Files, &amp; Other Data'!J145</f>
        <v>0</v>
      </c>
      <c r="N56" s="317" t="str">
        <f>N52</f>
        <v>Let users assign permissions when they apply the label</v>
      </c>
      <c r="O56" s="323" t="str">
        <f>O$12</f>
        <v>Content Marking</v>
      </c>
      <c r="P56" s="766"/>
      <c r="Q56" s="750"/>
      <c r="R56" s="752"/>
      <c r="S56" s="685"/>
      <c r="T56" s="752"/>
      <c r="U56" s="685"/>
      <c r="V56" s="683"/>
    </row>
    <row r="57" spans="1:22" ht="14.5" customHeight="1" x14ac:dyDescent="0.35">
      <c r="A57" s="716"/>
      <c r="B57" s="694"/>
      <c r="C57" s="711"/>
      <c r="D57" s="538"/>
      <c r="E57" s="64" t="b">
        <f>'Sensitivity Labels'!F103</f>
        <v>0</v>
      </c>
      <c r="F57" t="str">
        <f>'Sensitivity Labels'!G103</f>
        <v>Meetings</v>
      </c>
      <c r="G57" s="691"/>
      <c r="H57" s="694"/>
      <c r="I57" s="697"/>
      <c r="J57" s="763" t="str">
        <f>IF('Emails, Files, &amp; Other Data'!AB144=TRUE,"Yes","No")</f>
        <v>No</v>
      </c>
      <c r="K57" s="317"/>
      <c r="L57" s="317"/>
      <c r="M57" s="317"/>
      <c r="N57" s="317"/>
      <c r="O57" s="761" t="str">
        <f>O$13</f>
        <v>Auto-labeling for files and emails: "Client-side Auto-Labeling"</v>
      </c>
      <c r="P57" s="766"/>
      <c r="Q57" s="759" t="str">
        <f>IF('Groups &amp; Sites'!H114=TRUE,"Yes","No")</f>
        <v>No</v>
      </c>
      <c r="R57" s="758" t="str">
        <f>R$13</f>
        <v>Let Microsoft 365 Group owners add people outside your organization to the group as guests.</v>
      </c>
      <c r="S57" s="753" t="str">
        <f>IF('Groups &amp; Sites'!K113=TRUE,"Yes","No")</f>
        <v>No</v>
      </c>
      <c r="T57" s="755" t="str">
        <f>T$13</f>
        <v>Use Microsoft Entra Conditional Access to protect labeled SharePoint sites</v>
      </c>
      <c r="U57" s="757" t="str">
        <f>IF(OR('Groups &amp; Sites'!S115=TRUE,'Groups &amp; Sites'!S116=TRUE,'Groups &amp; Sites'!S117=TRUE),"Yes","No")</f>
        <v>No</v>
      </c>
      <c r="V57" s="687" t="str">
        <f>V$13</f>
        <v>Teams shared channels</v>
      </c>
    </row>
    <row r="58" spans="1:22" ht="15" thickBot="1" x14ac:dyDescent="0.4">
      <c r="A58" s="716"/>
      <c r="B58" s="695"/>
      <c r="C58" s="712"/>
      <c r="D58" s="539"/>
      <c r="E58" s="69" t="b">
        <f>'Sensitivity Labels'!F105</f>
        <v>0</v>
      </c>
      <c r="F58" s="67" t="str">
        <f>'Sensitivity Labels'!G105</f>
        <v>Groups &amp; Sites</v>
      </c>
      <c r="G58" s="692"/>
      <c r="H58" s="695"/>
      <c r="I58" s="698"/>
      <c r="J58" s="764"/>
      <c r="K58" s="319"/>
      <c r="L58" s="319"/>
      <c r="M58" s="319"/>
      <c r="N58" s="319"/>
      <c r="O58" s="762"/>
      <c r="P58" s="767"/>
      <c r="Q58" s="760"/>
      <c r="R58" s="756"/>
      <c r="S58" s="754"/>
      <c r="T58" s="756"/>
      <c r="U58" s="754"/>
      <c r="V58" s="688"/>
    </row>
    <row r="59" spans="1:22" ht="14.5" customHeight="1" x14ac:dyDescent="0.35">
      <c r="A59" s="713">
        <f>A55+1</f>
        <v>13</v>
      </c>
      <c r="B59" s="701">
        <f>'Sensitivity Labels'!C107</f>
        <v>0</v>
      </c>
      <c r="C59" s="705">
        <f>'Sensitivity Labels'!D107</f>
        <v>0</v>
      </c>
      <c r="D59" s="707">
        <f>'Sensitivity Labels'!E107</f>
        <v>0</v>
      </c>
      <c r="E59" s="349" t="b">
        <f>'Sensitivity Labels'!F107</f>
        <v>0</v>
      </c>
      <c r="F59" s="350" t="str">
        <f>'Sensitivity Labels'!G107</f>
        <v>Files &amp; Other Data assets</v>
      </c>
      <c r="G59" s="699">
        <f>'Sensitivity Labels'!I107</f>
        <v>0</v>
      </c>
      <c r="H59" s="701">
        <f>'Sensitivity Labels'!J107</f>
        <v>0</v>
      </c>
      <c r="I59" s="703">
        <f>'Sensitivity Labels'!K107</f>
        <v>0</v>
      </c>
      <c r="J59" s="351" t="str">
        <f>IF(OR(M59=TRUE,M60=TRUE),"Encryption",(IF(K59=TRUE,"Remove Encryption","No Encryption")))</f>
        <v>No Encryption</v>
      </c>
      <c r="K59" s="352" t="b">
        <f>'Emails, Files, &amp; Other Data'!H156</f>
        <v>0</v>
      </c>
      <c r="L59" s="353" t="str">
        <f>L55</f>
        <v>Remove access control settings if already applied to items</v>
      </c>
      <c r="M59" s="352" t="b">
        <f>'Emails, Files, &amp; Other Data'!J156</f>
        <v>0</v>
      </c>
      <c r="N59" s="353" t="str">
        <f>N55</f>
        <v>Assign Permissions now</v>
      </c>
      <c r="O59" s="354" t="str">
        <f>O$11</f>
        <v>Access Control</v>
      </c>
      <c r="P59" s="747" t="str">
        <f>IF(E61=TRUE,"Yes","No")</f>
        <v>No</v>
      </c>
      <c r="Q59" s="733" t="str">
        <f>IF(OR('Groups &amp; Sites'!H121=INputs!AN$3,'Groups &amp; Sites'!H121=INputs!AN$4),"Yes","No")</f>
        <v>No</v>
      </c>
      <c r="R59" s="734" t="str">
        <f>R$11</f>
        <v>Privacy and external user access</v>
      </c>
      <c r="S59" s="703" t="str">
        <f>IF('Groups &amp; Sites'!K121=TRUE,"Yes","No")</f>
        <v>No</v>
      </c>
      <c r="T59" s="734" t="str">
        <f>T$11</f>
        <v>Content can be shared with</v>
      </c>
      <c r="U59" s="703" t="str">
        <f>IF('Groups &amp; Sites'!S122=TRUE,"Yes","No")</f>
        <v>No</v>
      </c>
      <c r="V59" s="728" t="str">
        <f>V$11</f>
        <v>Allow users to discover private teams that have this label applied.</v>
      </c>
    </row>
    <row r="60" spans="1:22" ht="14.5" x14ac:dyDescent="0.35">
      <c r="A60" s="714"/>
      <c r="B60" s="701"/>
      <c r="C60" s="705"/>
      <c r="D60" s="708"/>
      <c r="E60" s="349" t="b">
        <f>'Sensitivity Labels'!F109</f>
        <v>0</v>
      </c>
      <c r="F60" s="350" t="str">
        <f>'Sensitivity Labels'!G109</f>
        <v>Emails</v>
      </c>
      <c r="G60" s="699"/>
      <c r="H60" s="701"/>
      <c r="I60" s="703"/>
      <c r="J60" s="355" t="str">
        <f>IF(OR('Emails, Files, &amp; Other Data'!X156=TRUE,'Emails, Files, &amp; Other Data'!X157=TRUE,'Emails, Files, &amp; Other Data'!X158=TRUE),"Yes","No")</f>
        <v>No</v>
      </c>
      <c r="K60" s="356"/>
      <c r="L60" s="356"/>
      <c r="M60" s="357" t="b">
        <f>'Emails, Files, &amp; Other Data'!J157</f>
        <v>0</v>
      </c>
      <c r="N60" s="356" t="str">
        <f>N56</f>
        <v>Let users assign permissions when they apply the label</v>
      </c>
      <c r="O60" s="358" t="str">
        <f>O$12</f>
        <v>Content Marking</v>
      </c>
      <c r="P60" s="747"/>
      <c r="Q60" s="736"/>
      <c r="R60" s="735"/>
      <c r="S60" s="729"/>
      <c r="T60" s="735"/>
      <c r="U60" s="729"/>
      <c r="V60" s="686"/>
    </row>
    <row r="61" spans="1:22" ht="14.5" customHeight="1" x14ac:dyDescent="0.35">
      <c r="A61" s="714"/>
      <c r="B61" s="701"/>
      <c r="C61" s="705"/>
      <c r="D61" s="708"/>
      <c r="E61" s="349" t="b">
        <f>'Sensitivity Labels'!F111</f>
        <v>0</v>
      </c>
      <c r="F61" s="350" t="str">
        <f>'Sensitivity Labels'!G111</f>
        <v>Meetings</v>
      </c>
      <c r="G61" s="699"/>
      <c r="H61" s="701"/>
      <c r="I61" s="703"/>
      <c r="J61" s="739" t="str">
        <f>IF('Emails, Files, &amp; Other Data'!AB156=TRUE,"Yes","No")</f>
        <v>No</v>
      </c>
      <c r="K61" s="356"/>
      <c r="L61" s="356"/>
      <c r="M61" s="356"/>
      <c r="N61" s="356"/>
      <c r="O61" s="737" t="str">
        <f>O$13</f>
        <v>Auto-labeling for files and emails: "Client-side Auto-Labeling"</v>
      </c>
      <c r="P61" s="747"/>
      <c r="Q61" s="732" t="str">
        <f>IF('Groups &amp; Sites'!H123=TRUE,"Yes","No")</f>
        <v>No</v>
      </c>
      <c r="R61" s="730" t="str">
        <f>R$13</f>
        <v>Let Microsoft 365 Group owners add people outside your organization to the group as guests.</v>
      </c>
      <c r="S61" s="703" t="str">
        <f>IF('Groups &amp; Sites'!K122=TRUE,"Yes","No")</f>
        <v>No</v>
      </c>
      <c r="T61" s="731" t="str">
        <f>T$13</f>
        <v>Use Microsoft Entra Conditional Access to protect labeled SharePoint sites</v>
      </c>
      <c r="U61" s="746" t="str">
        <f>IF(OR('Groups &amp; Sites'!S124=TRUE,'Groups &amp; Sites'!S125=TRUE,'Groups &amp; Sites'!S126=TRUE),"Yes","No")</f>
        <v>No</v>
      </c>
      <c r="V61" s="689" t="str">
        <f>V$13</f>
        <v>Teams shared channels</v>
      </c>
    </row>
    <row r="62" spans="1:22" ht="15" thickBot="1" x14ac:dyDescent="0.4">
      <c r="A62" s="715"/>
      <c r="B62" s="702"/>
      <c r="C62" s="706"/>
      <c r="D62" s="709"/>
      <c r="E62" s="359" t="b">
        <f>'Sensitivity Labels'!F113</f>
        <v>0</v>
      </c>
      <c r="F62" s="360" t="str">
        <f>'Sensitivity Labels'!G113</f>
        <v>Groups &amp; Sites</v>
      </c>
      <c r="G62" s="700"/>
      <c r="H62" s="702"/>
      <c r="I62" s="704"/>
      <c r="J62" s="740"/>
      <c r="K62" s="361"/>
      <c r="L62" s="361"/>
      <c r="M62" s="361"/>
      <c r="N62" s="361"/>
      <c r="O62" s="738"/>
      <c r="P62" s="748"/>
      <c r="Q62" s="733"/>
      <c r="R62" s="731"/>
      <c r="S62" s="703"/>
      <c r="T62" s="731"/>
      <c r="U62" s="703"/>
      <c r="V62" s="745"/>
    </row>
    <row r="63" spans="1:22" ht="14.5" customHeight="1" x14ac:dyDescent="0.35">
      <c r="A63" s="716">
        <f>A59+1</f>
        <v>14</v>
      </c>
      <c r="B63" s="693">
        <f>'Sensitivity Labels'!C115</f>
        <v>0</v>
      </c>
      <c r="C63" s="710">
        <f>'Sensitivity Labels'!D115</f>
        <v>0</v>
      </c>
      <c r="D63" s="537">
        <f>'Sensitivity Labels'!E115</f>
        <v>0</v>
      </c>
      <c r="E63" s="60" t="b">
        <f>'Sensitivity Labels'!F115</f>
        <v>0</v>
      </c>
      <c r="F63" s="62" t="str">
        <f>'Sensitivity Labels'!G115</f>
        <v>Files &amp; Other Data assets</v>
      </c>
      <c r="G63" s="690">
        <f>'Sensitivity Labels'!I115</f>
        <v>0</v>
      </c>
      <c r="H63" s="693">
        <f>'Sensitivity Labels'!J115</f>
        <v>0</v>
      </c>
      <c r="I63" s="696">
        <f>'Sensitivity Labels'!K115</f>
        <v>0</v>
      </c>
      <c r="J63" s="320" t="str">
        <f>IF(OR(M63=TRUE,M64=TRUE),"Encryption",(IF(K63=TRUE,"Remove Encryption","No Encryption")))</f>
        <v>No Encryption</v>
      </c>
      <c r="K63" s="315" t="b">
        <f>'Emails, Files, &amp; Other Data'!H168</f>
        <v>0</v>
      </c>
      <c r="L63" s="316" t="str">
        <f>L59</f>
        <v>Remove access control settings if already applied to items</v>
      </c>
      <c r="M63" s="315" t="b">
        <f>'Emails, Files, &amp; Other Data'!J168</f>
        <v>0</v>
      </c>
      <c r="N63" s="316" t="str">
        <f>N59</f>
        <v>Assign Permissions now</v>
      </c>
      <c r="O63" s="321" t="str">
        <f>O$11</f>
        <v>Access Control</v>
      </c>
      <c r="P63" s="765" t="str">
        <f>IF(E65=TRUE,"Yes","No")</f>
        <v>No</v>
      </c>
      <c r="Q63" s="749" t="str">
        <f>IF(OR('Groups &amp; Sites'!H130=INputs!AN$3,'Groups &amp; Sites'!H130=INputs!AN$4),"Yes","No")</f>
        <v>No</v>
      </c>
      <c r="R63" s="751" t="str">
        <f>R$11</f>
        <v>Privacy and external user access</v>
      </c>
      <c r="S63" s="684" t="str">
        <f>IF('Groups &amp; Sites'!K130=TRUE,"Yes","No")</f>
        <v>No</v>
      </c>
      <c r="T63" s="751" t="str">
        <f>T$11</f>
        <v>Content can be shared with</v>
      </c>
      <c r="U63" s="684" t="str">
        <f>IF('Groups &amp; Sites'!S131=TRUE,"Yes","No")</f>
        <v>No</v>
      </c>
      <c r="V63" s="682" t="str">
        <f>V$11</f>
        <v>Allow users to discover private teams that have this label applied.</v>
      </c>
    </row>
    <row r="64" spans="1:22" ht="14.5" x14ac:dyDescent="0.35">
      <c r="A64" s="716"/>
      <c r="B64" s="694"/>
      <c r="C64" s="711"/>
      <c r="D64" s="538"/>
      <c r="E64" s="64" t="b">
        <f>'Sensitivity Labels'!F117</f>
        <v>0</v>
      </c>
      <c r="F64" t="str">
        <f>'Sensitivity Labels'!G117</f>
        <v>Emails</v>
      </c>
      <c r="G64" s="691"/>
      <c r="H64" s="694"/>
      <c r="I64" s="697"/>
      <c r="J64" s="322" t="str">
        <f>IF(OR('Emails, Files, &amp; Other Data'!X168=TRUE,'Emails, Files, &amp; Other Data'!X169=TRUE,'Emails, Files, &amp; Other Data'!X170=TRUE),"Yes","No")</f>
        <v>No</v>
      </c>
      <c r="K64" s="317"/>
      <c r="L64" s="317"/>
      <c r="M64" s="318" t="b">
        <f>'Emails, Files, &amp; Other Data'!J169</f>
        <v>0</v>
      </c>
      <c r="N64" s="317" t="str">
        <f>N60</f>
        <v>Let users assign permissions when they apply the label</v>
      </c>
      <c r="O64" s="323" t="str">
        <f>O$12</f>
        <v>Content Marking</v>
      </c>
      <c r="P64" s="766"/>
      <c r="Q64" s="750"/>
      <c r="R64" s="752"/>
      <c r="S64" s="685"/>
      <c r="T64" s="752"/>
      <c r="U64" s="685"/>
      <c r="V64" s="683"/>
    </row>
    <row r="65" spans="1:22" ht="14.5" customHeight="1" x14ac:dyDescent="0.35">
      <c r="A65" s="716"/>
      <c r="B65" s="694"/>
      <c r="C65" s="711"/>
      <c r="D65" s="538"/>
      <c r="E65" s="64" t="b">
        <f>'Sensitivity Labels'!F119</f>
        <v>0</v>
      </c>
      <c r="F65" t="str">
        <f>'Sensitivity Labels'!G119</f>
        <v>Meetings</v>
      </c>
      <c r="G65" s="691"/>
      <c r="H65" s="694"/>
      <c r="I65" s="697"/>
      <c r="J65" s="763" t="str">
        <f>IF('Emails, Files, &amp; Other Data'!AB168=TRUE,"Yes","No")</f>
        <v>No</v>
      </c>
      <c r="K65" s="317"/>
      <c r="L65" s="317"/>
      <c r="M65" s="317"/>
      <c r="N65" s="317"/>
      <c r="O65" s="761" t="str">
        <f>O$13</f>
        <v>Auto-labeling for files and emails: "Client-side Auto-Labeling"</v>
      </c>
      <c r="P65" s="766"/>
      <c r="Q65" s="759" t="str">
        <f>IF('Groups &amp; Sites'!H132=TRUE,"Yes","No")</f>
        <v>No</v>
      </c>
      <c r="R65" s="758" t="str">
        <f>R$13</f>
        <v>Let Microsoft 365 Group owners add people outside your organization to the group as guests.</v>
      </c>
      <c r="S65" s="753" t="str">
        <f>IF('Groups &amp; Sites'!K131=TRUE,"Yes","No")</f>
        <v>No</v>
      </c>
      <c r="T65" s="755" t="str">
        <f>T$13</f>
        <v>Use Microsoft Entra Conditional Access to protect labeled SharePoint sites</v>
      </c>
      <c r="U65" s="757" t="str">
        <f>IF(OR('Groups &amp; Sites'!S133=TRUE,'Groups &amp; Sites'!S134=TRUE,'Groups &amp; Sites'!S135=TRUE),"Yes","No")</f>
        <v>No</v>
      </c>
      <c r="V65" s="687" t="str">
        <f>V$13</f>
        <v>Teams shared channels</v>
      </c>
    </row>
    <row r="66" spans="1:22" ht="15" thickBot="1" x14ac:dyDescent="0.4">
      <c r="A66" s="716"/>
      <c r="B66" s="695"/>
      <c r="C66" s="712"/>
      <c r="D66" s="539"/>
      <c r="E66" s="69" t="b">
        <f>'Sensitivity Labels'!F121</f>
        <v>0</v>
      </c>
      <c r="F66" s="67" t="str">
        <f>'Sensitivity Labels'!G121</f>
        <v>Groups &amp; Sites</v>
      </c>
      <c r="G66" s="692"/>
      <c r="H66" s="695"/>
      <c r="I66" s="698"/>
      <c r="J66" s="764"/>
      <c r="K66" s="319"/>
      <c r="L66" s="319"/>
      <c r="M66" s="319"/>
      <c r="N66" s="319"/>
      <c r="O66" s="762"/>
      <c r="P66" s="767"/>
      <c r="Q66" s="760"/>
      <c r="R66" s="756"/>
      <c r="S66" s="754"/>
      <c r="T66" s="756"/>
      <c r="U66" s="754"/>
      <c r="V66" s="688"/>
    </row>
    <row r="67" spans="1:22" ht="14.5" customHeight="1" x14ac:dyDescent="0.35">
      <c r="A67" s="713">
        <f>A63+1</f>
        <v>15</v>
      </c>
      <c r="B67" s="701">
        <f>'Sensitivity Labels'!C123</f>
        <v>0</v>
      </c>
      <c r="C67" s="705">
        <f>'Sensitivity Labels'!D123</f>
        <v>0</v>
      </c>
      <c r="D67" s="707">
        <f>'Sensitivity Labels'!E123</f>
        <v>0</v>
      </c>
      <c r="E67" s="349" t="b">
        <f>'Sensitivity Labels'!F123</f>
        <v>0</v>
      </c>
      <c r="F67" s="350" t="str">
        <f>'Sensitivity Labels'!G123</f>
        <v>Files &amp; Other Data assets</v>
      </c>
      <c r="G67" s="699">
        <f>'Sensitivity Labels'!I123</f>
        <v>0</v>
      </c>
      <c r="H67" s="701">
        <f>'Sensitivity Labels'!J123</f>
        <v>0</v>
      </c>
      <c r="I67" s="703">
        <f>'Sensitivity Labels'!K123</f>
        <v>0</v>
      </c>
      <c r="J67" s="351" t="str">
        <f>IF(OR(M67=TRUE,M68=TRUE),"Encryption",(IF(K67=TRUE,"Remove Encryption","No Encryption")))</f>
        <v>No Encryption</v>
      </c>
      <c r="K67" s="352" t="b">
        <f>'Emails, Files, &amp; Other Data'!H180</f>
        <v>0</v>
      </c>
      <c r="L67" s="353" t="str">
        <f>L63</f>
        <v>Remove access control settings if already applied to items</v>
      </c>
      <c r="M67" s="352" t="b">
        <f>'Emails, Files, &amp; Other Data'!J180</f>
        <v>0</v>
      </c>
      <c r="N67" s="353" t="str">
        <f>N63</f>
        <v>Assign Permissions now</v>
      </c>
      <c r="O67" s="354" t="str">
        <f>O$11</f>
        <v>Access Control</v>
      </c>
      <c r="P67" s="747" t="str">
        <f>IF(E69=TRUE,"Yes","No")</f>
        <v>No</v>
      </c>
      <c r="Q67" s="733" t="str">
        <f>IF(OR('Groups &amp; Sites'!H139=INputs!AN$3,'Groups &amp; Sites'!H139=INputs!AN$4),"Yes","No")</f>
        <v>No</v>
      </c>
      <c r="R67" s="734" t="str">
        <f>R$11</f>
        <v>Privacy and external user access</v>
      </c>
      <c r="S67" s="703" t="str">
        <f>IF('Groups &amp; Sites'!K139=TRUE,"Yes","No")</f>
        <v>No</v>
      </c>
      <c r="T67" s="734" t="str">
        <f>T$11</f>
        <v>Content can be shared with</v>
      </c>
      <c r="U67" s="703" t="str">
        <f>IF('Groups &amp; Sites'!S140=TRUE,"Yes","No")</f>
        <v>No</v>
      </c>
      <c r="V67" s="728" t="str">
        <f>V$11</f>
        <v>Allow users to discover private teams that have this label applied.</v>
      </c>
    </row>
    <row r="68" spans="1:22" ht="14.5" x14ac:dyDescent="0.35">
      <c r="A68" s="714"/>
      <c r="B68" s="701"/>
      <c r="C68" s="705"/>
      <c r="D68" s="708"/>
      <c r="E68" s="349" t="b">
        <f>'Sensitivity Labels'!F125</f>
        <v>0</v>
      </c>
      <c r="F68" s="350" t="str">
        <f>'Sensitivity Labels'!G125</f>
        <v>Emails</v>
      </c>
      <c r="G68" s="699"/>
      <c r="H68" s="701"/>
      <c r="I68" s="703"/>
      <c r="J68" s="355" t="str">
        <f>IF(OR('Emails, Files, &amp; Other Data'!X180=TRUE,'Emails, Files, &amp; Other Data'!X181=TRUE,'Emails, Files, &amp; Other Data'!X182=TRUE),"Yes","No")</f>
        <v>No</v>
      </c>
      <c r="K68" s="356"/>
      <c r="L68" s="356"/>
      <c r="M68" s="357" t="b">
        <f>'Emails, Files, &amp; Other Data'!J181</f>
        <v>0</v>
      </c>
      <c r="N68" s="356" t="str">
        <f>N64</f>
        <v>Let users assign permissions when they apply the label</v>
      </c>
      <c r="O68" s="358" t="str">
        <f>O$12</f>
        <v>Content Marking</v>
      </c>
      <c r="P68" s="747"/>
      <c r="Q68" s="736"/>
      <c r="R68" s="735"/>
      <c r="S68" s="729"/>
      <c r="T68" s="735"/>
      <c r="U68" s="729"/>
      <c r="V68" s="686"/>
    </row>
    <row r="69" spans="1:22" ht="14.5" customHeight="1" x14ac:dyDescent="0.35">
      <c r="A69" s="714"/>
      <c r="B69" s="701"/>
      <c r="C69" s="705"/>
      <c r="D69" s="708"/>
      <c r="E69" s="349" t="b">
        <f>'Sensitivity Labels'!F127</f>
        <v>0</v>
      </c>
      <c r="F69" s="350" t="str">
        <f>'Sensitivity Labels'!G127</f>
        <v>Meetings</v>
      </c>
      <c r="G69" s="699"/>
      <c r="H69" s="701"/>
      <c r="I69" s="703"/>
      <c r="J69" s="739" t="str">
        <f>IF('Emails, Files, &amp; Other Data'!AB180=TRUE,"Yes","No")</f>
        <v>No</v>
      </c>
      <c r="K69" s="356"/>
      <c r="L69" s="356"/>
      <c r="M69" s="356"/>
      <c r="N69" s="356"/>
      <c r="O69" s="737" t="str">
        <f>O$13</f>
        <v>Auto-labeling for files and emails: "Client-side Auto-Labeling"</v>
      </c>
      <c r="P69" s="747"/>
      <c r="Q69" s="732" t="str">
        <f>IF('Groups &amp; Sites'!H141=TRUE,"Yes","No")</f>
        <v>No</v>
      </c>
      <c r="R69" s="730" t="str">
        <f>R$13</f>
        <v>Let Microsoft 365 Group owners add people outside your organization to the group as guests.</v>
      </c>
      <c r="S69" s="703" t="str">
        <f>IF('Groups &amp; Sites'!K140=TRUE,"Yes","No")</f>
        <v>No</v>
      </c>
      <c r="T69" s="731" t="str">
        <f>T$13</f>
        <v>Use Microsoft Entra Conditional Access to protect labeled SharePoint sites</v>
      </c>
      <c r="U69" s="746" t="str">
        <f>IF(OR('Groups &amp; Sites'!S142=TRUE,'Groups &amp; Sites'!S143=TRUE,'Groups &amp; Sites'!S144=TRUE),"Yes","No")</f>
        <v>No</v>
      </c>
      <c r="V69" s="689" t="str">
        <f>V$13</f>
        <v>Teams shared channels</v>
      </c>
    </row>
    <row r="70" spans="1:22" ht="15" thickBot="1" x14ac:dyDescent="0.4">
      <c r="A70" s="715"/>
      <c r="B70" s="702"/>
      <c r="C70" s="706"/>
      <c r="D70" s="709"/>
      <c r="E70" s="359" t="b">
        <f>'Sensitivity Labels'!F129</f>
        <v>0</v>
      </c>
      <c r="F70" s="360" t="str">
        <f>'Sensitivity Labels'!G129</f>
        <v>Groups &amp; Sites</v>
      </c>
      <c r="G70" s="700"/>
      <c r="H70" s="702"/>
      <c r="I70" s="704"/>
      <c r="J70" s="740"/>
      <c r="K70" s="361"/>
      <c r="L70" s="361"/>
      <c r="M70" s="361"/>
      <c r="N70" s="361"/>
      <c r="O70" s="738"/>
      <c r="P70" s="748"/>
      <c r="Q70" s="733"/>
      <c r="R70" s="731"/>
      <c r="S70" s="703"/>
      <c r="T70" s="731"/>
      <c r="U70" s="703"/>
      <c r="V70" s="745"/>
    </row>
    <row r="71" spans="1:22" ht="14.5" customHeight="1" x14ac:dyDescent="0.35">
      <c r="A71" s="716">
        <f>A67+1</f>
        <v>16</v>
      </c>
      <c r="B71" s="693">
        <f>'Sensitivity Labels'!C131</f>
        <v>0</v>
      </c>
      <c r="C71" s="710">
        <f>'Sensitivity Labels'!D131</f>
        <v>0</v>
      </c>
      <c r="D71" s="537">
        <f>'Sensitivity Labels'!E131</f>
        <v>0</v>
      </c>
      <c r="E71" s="60" t="b">
        <f>'Sensitivity Labels'!F131</f>
        <v>0</v>
      </c>
      <c r="F71" s="62" t="str">
        <f>'Sensitivity Labels'!G131</f>
        <v>Files &amp; Other Data assets</v>
      </c>
      <c r="G71" s="690">
        <f>'Sensitivity Labels'!I131</f>
        <v>0</v>
      </c>
      <c r="H71" s="693">
        <f>'Sensitivity Labels'!J131</f>
        <v>0</v>
      </c>
      <c r="I71" s="696">
        <f>'Sensitivity Labels'!K131</f>
        <v>0</v>
      </c>
      <c r="J71" s="320" t="str">
        <f>IF(OR(M71=TRUE,M72=TRUE),"Encryption",(IF(K71=TRUE,"Remove Encryption","No Encryption")))</f>
        <v>No Encryption</v>
      </c>
      <c r="K71" s="315" t="b">
        <f>'Emails, Files, &amp; Other Data'!H192</f>
        <v>0</v>
      </c>
      <c r="L71" s="316" t="str">
        <f>L67</f>
        <v>Remove access control settings if already applied to items</v>
      </c>
      <c r="M71" s="315" t="b">
        <f>'Emails, Files, &amp; Other Data'!J192</f>
        <v>0</v>
      </c>
      <c r="N71" s="316" t="str">
        <f>N67</f>
        <v>Assign Permissions now</v>
      </c>
      <c r="O71" s="321" t="str">
        <f>O$11</f>
        <v>Access Control</v>
      </c>
      <c r="P71" s="765" t="str">
        <f>IF(E73=TRUE,"Yes","No")</f>
        <v>No</v>
      </c>
      <c r="Q71" s="749" t="str">
        <f>IF(OR('Groups &amp; Sites'!H148=INputs!AN$3,'Groups &amp; Sites'!H148=INputs!AN$4),"Yes","No")</f>
        <v>No</v>
      </c>
      <c r="R71" s="751" t="str">
        <f>R$11</f>
        <v>Privacy and external user access</v>
      </c>
      <c r="S71" s="684" t="str">
        <f>IF('Groups &amp; Sites'!K148=TRUE,"Yes","No")</f>
        <v>No</v>
      </c>
      <c r="T71" s="751" t="str">
        <f>T$11</f>
        <v>Content can be shared with</v>
      </c>
      <c r="U71" s="684" t="str">
        <f>IF('Groups &amp; Sites'!S149=TRUE,"Yes","No")</f>
        <v>No</v>
      </c>
      <c r="V71" s="682" t="str">
        <f>V$11</f>
        <v>Allow users to discover private teams that have this label applied.</v>
      </c>
    </row>
    <row r="72" spans="1:22" ht="14.5" x14ac:dyDescent="0.35">
      <c r="A72" s="716"/>
      <c r="B72" s="694"/>
      <c r="C72" s="711"/>
      <c r="D72" s="538"/>
      <c r="E72" s="64" t="b">
        <f>'Sensitivity Labels'!F133</f>
        <v>0</v>
      </c>
      <c r="F72" t="str">
        <f>'Sensitivity Labels'!G133</f>
        <v>Emails</v>
      </c>
      <c r="G72" s="691"/>
      <c r="H72" s="694"/>
      <c r="I72" s="697"/>
      <c r="J72" s="322" t="str">
        <f>IF(OR('Emails, Files, &amp; Other Data'!X192=TRUE,'Emails, Files, &amp; Other Data'!X193=TRUE,'Emails, Files, &amp; Other Data'!X194=TRUE),"Yes","No")</f>
        <v>No</v>
      </c>
      <c r="K72" s="317"/>
      <c r="L72" s="317"/>
      <c r="M72" s="318" t="b">
        <f>'Emails, Files, &amp; Other Data'!J193</f>
        <v>0</v>
      </c>
      <c r="N72" s="317" t="str">
        <f>N68</f>
        <v>Let users assign permissions when they apply the label</v>
      </c>
      <c r="O72" s="323" t="str">
        <f>O$12</f>
        <v>Content Marking</v>
      </c>
      <c r="P72" s="766"/>
      <c r="Q72" s="750"/>
      <c r="R72" s="752"/>
      <c r="S72" s="685"/>
      <c r="T72" s="752"/>
      <c r="U72" s="685"/>
      <c r="V72" s="683"/>
    </row>
    <row r="73" spans="1:22" ht="14.5" customHeight="1" x14ac:dyDescent="0.35">
      <c r="A73" s="716"/>
      <c r="B73" s="694"/>
      <c r="C73" s="711"/>
      <c r="D73" s="538"/>
      <c r="E73" s="64" t="b">
        <f>'Sensitivity Labels'!F135</f>
        <v>0</v>
      </c>
      <c r="F73" t="str">
        <f>'Sensitivity Labels'!G135</f>
        <v>Meetings</v>
      </c>
      <c r="G73" s="691"/>
      <c r="H73" s="694"/>
      <c r="I73" s="697"/>
      <c r="J73" s="763" t="str">
        <f>IF('Emails, Files, &amp; Other Data'!AB192=TRUE,"Yes","No")</f>
        <v>No</v>
      </c>
      <c r="K73" s="317"/>
      <c r="L73" s="317"/>
      <c r="M73" s="317"/>
      <c r="N73" s="317"/>
      <c r="O73" s="761" t="str">
        <f>O$13</f>
        <v>Auto-labeling for files and emails: "Client-side Auto-Labeling"</v>
      </c>
      <c r="P73" s="766"/>
      <c r="Q73" s="759" t="str">
        <f>IF('Groups &amp; Sites'!H150=TRUE,"Yes","No")</f>
        <v>No</v>
      </c>
      <c r="R73" s="758" t="str">
        <f>R$13</f>
        <v>Let Microsoft 365 Group owners add people outside your organization to the group as guests.</v>
      </c>
      <c r="S73" s="753" t="str">
        <f>IF('Groups &amp; Sites'!K149=TRUE,"Yes","No")</f>
        <v>No</v>
      </c>
      <c r="T73" s="755" t="str">
        <f>T$13</f>
        <v>Use Microsoft Entra Conditional Access to protect labeled SharePoint sites</v>
      </c>
      <c r="U73" s="757" t="str">
        <f>IF(OR('Groups &amp; Sites'!S151=TRUE,'Groups &amp; Sites'!S152=TRUE,'Groups &amp; Sites'!S153=TRUE),"Yes","No")</f>
        <v>No</v>
      </c>
      <c r="V73" s="687" t="str">
        <f>V$13</f>
        <v>Teams shared channels</v>
      </c>
    </row>
    <row r="74" spans="1:22" ht="15" thickBot="1" x14ac:dyDescent="0.4">
      <c r="A74" s="716"/>
      <c r="B74" s="695"/>
      <c r="C74" s="712"/>
      <c r="D74" s="539"/>
      <c r="E74" s="69" t="b">
        <f>'Sensitivity Labels'!F137</f>
        <v>0</v>
      </c>
      <c r="F74" s="67" t="str">
        <f>'Sensitivity Labels'!G137</f>
        <v>Groups &amp; Sites</v>
      </c>
      <c r="G74" s="692"/>
      <c r="H74" s="695"/>
      <c r="I74" s="698"/>
      <c r="J74" s="764"/>
      <c r="K74" s="319"/>
      <c r="L74" s="319"/>
      <c r="M74" s="319"/>
      <c r="N74" s="319"/>
      <c r="O74" s="762"/>
      <c r="P74" s="767"/>
      <c r="Q74" s="760"/>
      <c r="R74" s="756"/>
      <c r="S74" s="754"/>
      <c r="T74" s="756"/>
      <c r="U74" s="754"/>
      <c r="V74" s="688"/>
    </row>
    <row r="75" spans="1:22" ht="14.5" x14ac:dyDescent="0.35">
      <c r="A75" s="713">
        <f>A71+1</f>
        <v>17</v>
      </c>
      <c r="B75" s="701">
        <f>'Sensitivity Labels'!C139</f>
        <v>0</v>
      </c>
      <c r="C75" s="705">
        <f>'Sensitivity Labels'!D139</f>
        <v>0</v>
      </c>
      <c r="D75" s="707">
        <f>'Sensitivity Labels'!E139</f>
        <v>0</v>
      </c>
      <c r="E75" s="349" t="b">
        <f>'Sensitivity Labels'!F139</f>
        <v>0</v>
      </c>
      <c r="F75" s="350" t="str">
        <f>'Sensitivity Labels'!G139</f>
        <v>Files &amp; Other Data assets</v>
      </c>
      <c r="G75" s="699">
        <f>'Sensitivity Labels'!I139</f>
        <v>0</v>
      </c>
      <c r="H75" s="701">
        <f>'Sensitivity Labels'!J139</f>
        <v>0</v>
      </c>
      <c r="I75" s="703">
        <f>'Sensitivity Labels'!K139</f>
        <v>0</v>
      </c>
      <c r="J75" s="351" t="str">
        <f>IF(OR(M75=TRUE,M76=TRUE),"Encryption",(IF(K75=TRUE,"Remove Encryption","No Encryption")))</f>
        <v>No Encryption</v>
      </c>
      <c r="K75" s="352" t="b">
        <f>'Emails, Files, &amp; Other Data'!H204</f>
        <v>0</v>
      </c>
      <c r="L75" s="353" t="str">
        <f>L71</f>
        <v>Remove access control settings if already applied to items</v>
      </c>
      <c r="M75" s="352" t="b">
        <f>'Emails, Files, &amp; Other Data'!J204</f>
        <v>0</v>
      </c>
      <c r="N75" s="353" t="str">
        <f>N71</f>
        <v>Assign Permissions now</v>
      </c>
      <c r="O75" s="354" t="str">
        <f>O$11</f>
        <v>Access Control</v>
      </c>
      <c r="P75" s="747" t="str">
        <f>IF(E77=TRUE,"Yes","No")</f>
        <v>No</v>
      </c>
      <c r="Q75" s="733" t="str">
        <f>IF(OR('Groups &amp; Sites'!H157=INputs!AN$3,'Groups &amp; Sites'!H157=INputs!AN$4),"Yes","No")</f>
        <v>No</v>
      </c>
      <c r="R75" s="734" t="str">
        <f>R$11</f>
        <v>Privacy and external user access</v>
      </c>
      <c r="S75" s="703" t="str">
        <f>IF('Groups &amp; Sites'!K157=TRUE,"Yes","No")</f>
        <v>No</v>
      </c>
      <c r="T75" s="734" t="str">
        <f>T$11</f>
        <v>Content can be shared with</v>
      </c>
      <c r="U75" s="703" t="str">
        <f>IF('Groups &amp; Sites'!S158=TRUE,"Yes","No")</f>
        <v>No</v>
      </c>
      <c r="V75" s="728" t="str">
        <f>V$11</f>
        <v>Allow users to discover private teams that have this label applied.</v>
      </c>
    </row>
    <row r="76" spans="1:22" ht="14.5" x14ac:dyDescent="0.35">
      <c r="A76" s="714"/>
      <c r="B76" s="701"/>
      <c r="C76" s="705"/>
      <c r="D76" s="708"/>
      <c r="E76" s="349" t="b">
        <f>'Sensitivity Labels'!F141</f>
        <v>0</v>
      </c>
      <c r="F76" s="350" t="str">
        <f>'Sensitivity Labels'!G141</f>
        <v>Emails</v>
      </c>
      <c r="G76" s="699"/>
      <c r="H76" s="701"/>
      <c r="I76" s="703"/>
      <c r="J76" s="355" t="str">
        <f>IF(OR('Emails, Files, &amp; Other Data'!X204=TRUE,'Emails, Files, &amp; Other Data'!X205=TRUE,'Emails, Files, &amp; Other Data'!X206=TRUE),"Yes","No")</f>
        <v>No</v>
      </c>
      <c r="K76" s="356"/>
      <c r="L76" s="356"/>
      <c r="M76" s="357" t="b">
        <f>'Emails, Files, &amp; Other Data'!J205</f>
        <v>0</v>
      </c>
      <c r="N76" s="356" t="str">
        <f>N72</f>
        <v>Let users assign permissions when they apply the label</v>
      </c>
      <c r="O76" s="358" t="str">
        <f>O$12</f>
        <v>Content Marking</v>
      </c>
      <c r="P76" s="747"/>
      <c r="Q76" s="736"/>
      <c r="R76" s="735"/>
      <c r="S76" s="729"/>
      <c r="T76" s="735"/>
      <c r="U76" s="729"/>
      <c r="V76" s="686"/>
    </row>
    <row r="77" spans="1:22" ht="14.5" customHeight="1" x14ac:dyDescent="0.35">
      <c r="A77" s="714"/>
      <c r="B77" s="701"/>
      <c r="C77" s="705"/>
      <c r="D77" s="708"/>
      <c r="E77" s="349" t="b">
        <f>'Sensitivity Labels'!F143</f>
        <v>0</v>
      </c>
      <c r="F77" s="350" t="str">
        <f>'Sensitivity Labels'!G143</f>
        <v>Meetings</v>
      </c>
      <c r="G77" s="699"/>
      <c r="H77" s="701"/>
      <c r="I77" s="703"/>
      <c r="J77" s="739" t="str">
        <f>IF('Emails, Files, &amp; Other Data'!AB204=TRUE,"Yes","No")</f>
        <v>No</v>
      </c>
      <c r="K77" s="356"/>
      <c r="L77" s="356"/>
      <c r="M77" s="356"/>
      <c r="N77" s="356"/>
      <c r="O77" s="737" t="str">
        <f>O$13</f>
        <v>Auto-labeling for files and emails: "Client-side Auto-Labeling"</v>
      </c>
      <c r="P77" s="747"/>
      <c r="Q77" s="732" t="str">
        <f>IF('Groups &amp; Sites'!H159=TRUE,"Yes","No")</f>
        <v>No</v>
      </c>
      <c r="R77" s="730" t="str">
        <f>R$13</f>
        <v>Let Microsoft 365 Group owners add people outside your organization to the group as guests.</v>
      </c>
      <c r="S77" s="703" t="str">
        <f>IF('Groups &amp; Sites'!K158=TRUE,"Yes","No")</f>
        <v>No</v>
      </c>
      <c r="T77" s="731" t="str">
        <f>T$13</f>
        <v>Use Microsoft Entra Conditional Access to protect labeled SharePoint sites</v>
      </c>
      <c r="U77" s="746" t="str">
        <f>IF(OR('Groups &amp; Sites'!S160=TRUE,'Groups &amp; Sites'!S161=TRUE,'Groups &amp; Sites'!S162=TRUE),"Yes","No")</f>
        <v>No</v>
      </c>
      <c r="V77" s="689" t="str">
        <f>V$13</f>
        <v>Teams shared channels</v>
      </c>
    </row>
    <row r="78" spans="1:22" ht="15" thickBot="1" x14ac:dyDescent="0.4">
      <c r="A78" s="715"/>
      <c r="B78" s="702"/>
      <c r="C78" s="706"/>
      <c r="D78" s="709"/>
      <c r="E78" s="359" t="b">
        <f>'Sensitivity Labels'!F145</f>
        <v>0</v>
      </c>
      <c r="F78" s="360" t="str">
        <f>'Sensitivity Labels'!G145</f>
        <v>Groups &amp; Sites</v>
      </c>
      <c r="G78" s="700"/>
      <c r="H78" s="702"/>
      <c r="I78" s="704"/>
      <c r="J78" s="740"/>
      <c r="K78" s="361"/>
      <c r="L78" s="361"/>
      <c r="M78" s="361"/>
      <c r="N78" s="361"/>
      <c r="O78" s="738"/>
      <c r="P78" s="748"/>
      <c r="Q78" s="733"/>
      <c r="R78" s="731"/>
      <c r="S78" s="703"/>
      <c r="T78" s="731"/>
      <c r="U78" s="703"/>
      <c r="V78" s="745"/>
    </row>
    <row r="79" spans="1:22" ht="14.5" x14ac:dyDescent="0.35">
      <c r="A79" s="716">
        <f>A75+1</f>
        <v>18</v>
      </c>
      <c r="B79" s="693">
        <f>'Sensitivity Labels'!C147</f>
        <v>0</v>
      </c>
      <c r="C79" s="710">
        <f>'Sensitivity Labels'!D147</f>
        <v>0</v>
      </c>
      <c r="D79" s="537">
        <f>'Sensitivity Labels'!E147</f>
        <v>0</v>
      </c>
      <c r="E79" s="60" t="b">
        <f>'Sensitivity Labels'!F147</f>
        <v>0</v>
      </c>
      <c r="F79" s="62" t="str">
        <f>'Sensitivity Labels'!G147</f>
        <v>Files &amp; Other Data assets</v>
      </c>
      <c r="G79" s="690">
        <f>'Sensitivity Labels'!I147</f>
        <v>0</v>
      </c>
      <c r="H79" s="693">
        <f>'Sensitivity Labels'!J147</f>
        <v>0</v>
      </c>
      <c r="I79" s="696">
        <f>'Sensitivity Labels'!K147</f>
        <v>0</v>
      </c>
      <c r="J79" s="320" t="str">
        <f>IF(OR(M79=TRUE,M80=TRUE),"Encryption",(IF(K79=TRUE,"Remove Encryption","No Encryption")))</f>
        <v>No Encryption</v>
      </c>
      <c r="K79" s="315" t="b">
        <f>'Emails, Files, &amp; Other Data'!H216</f>
        <v>0</v>
      </c>
      <c r="L79" s="316" t="str">
        <f>L75</f>
        <v>Remove access control settings if already applied to items</v>
      </c>
      <c r="M79" s="315" t="b">
        <f>'Emails, Files, &amp; Other Data'!J216</f>
        <v>0</v>
      </c>
      <c r="N79" s="316" t="str">
        <f>N75</f>
        <v>Assign Permissions now</v>
      </c>
      <c r="O79" s="321" t="str">
        <f>O$11</f>
        <v>Access Control</v>
      </c>
      <c r="P79" s="765" t="str">
        <f>IF(E81=TRUE,"Yes","No")</f>
        <v>No</v>
      </c>
      <c r="Q79" s="749" t="str">
        <f>IF(OR('Groups &amp; Sites'!H166=INputs!AN$3,'Groups &amp; Sites'!H166=INputs!AN$4),"Yes","No")</f>
        <v>No</v>
      </c>
      <c r="R79" s="751" t="str">
        <f>R$11</f>
        <v>Privacy and external user access</v>
      </c>
      <c r="S79" s="684" t="str">
        <f>IF('Groups &amp; Sites'!K166=TRUE,"Yes","No")</f>
        <v>No</v>
      </c>
      <c r="T79" s="751" t="str">
        <f>T$11</f>
        <v>Content can be shared with</v>
      </c>
      <c r="U79" s="684" t="str">
        <f>IF('Groups &amp; Sites'!S167=TRUE,"Yes","No")</f>
        <v>No</v>
      </c>
      <c r="V79" s="682" t="str">
        <f>V$11</f>
        <v>Allow users to discover private teams that have this label applied.</v>
      </c>
    </row>
    <row r="80" spans="1:22" ht="14.5" x14ac:dyDescent="0.35">
      <c r="A80" s="716"/>
      <c r="B80" s="694"/>
      <c r="C80" s="711"/>
      <c r="D80" s="538"/>
      <c r="E80" s="64" t="b">
        <f>'Sensitivity Labels'!F149</f>
        <v>0</v>
      </c>
      <c r="F80" t="str">
        <f>'Sensitivity Labels'!G149</f>
        <v>Emails</v>
      </c>
      <c r="G80" s="691"/>
      <c r="H80" s="694"/>
      <c r="I80" s="697"/>
      <c r="J80" s="322" t="str">
        <f>IF(OR('Emails, Files, &amp; Other Data'!X216=TRUE,'Emails, Files, &amp; Other Data'!X217=TRUE,'Emails, Files, &amp; Other Data'!X218=TRUE),"Yes","No")</f>
        <v>No</v>
      </c>
      <c r="K80" s="317"/>
      <c r="L80" s="317"/>
      <c r="M80" s="318" t="b">
        <f>'Emails, Files, &amp; Other Data'!J217</f>
        <v>0</v>
      </c>
      <c r="N80" s="317" t="str">
        <f>N76</f>
        <v>Let users assign permissions when they apply the label</v>
      </c>
      <c r="O80" s="323" t="str">
        <f>O$12</f>
        <v>Content Marking</v>
      </c>
      <c r="P80" s="766"/>
      <c r="Q80" s="750"/>
      <c r="R80" s="752"/>
      <c r="S80" s="685"/>
      <c r="T80" s="752"/>
      <c r="U80" s="685"/>
      <c r="V80" s="683"/>
    </row>
    <row r="81" spans="1:22" ht="14.5" x14ac:dyDescent="0.35">
      <c r="A81" s="716"/>
      <c r="B81" s="694"/>
      <c r="C81" s="711"/>
      <c r="D81" s="538"/>
      <c r="E81" s="64" t="b">
        <f>'Sensitivity Labels'!F151</f>
        <v>0</v>
      </c>
      <c r="F81" t="str">
        <f>'Sensitivity Labels'!G151</f>
        <v>Meetings</v>
      </c>
      <c r="G81" s="691"/>
      <c r="H81" s="694"/>
      <c r="I81" s="697"/>
      <c r="J81" s="763" t="str">
        <f>IF('Emails, Files, &amp; Other Data'!AB216=TRUE,"Yes","No")</f>
        <v>No</v>
      </c>
      <c r="K81" s="317"/>
      <c r="L81" s="317"/>
      <c r="M81" s="317"/>
      <c r="N81" s="317"/>
      <c r="O81" s="761" t="str">
        <f>O$13</f>
        <v>Auto-labeling for files and emails: "Client-side Auto-Labeling"</v>
      </c>
      <c r="P81" s="766"/>
      <c r="Q81" s="759" t="str">
        <f>IF('Groups &amp; Sites'!H168=TRUE,"Yes","No")</f>
        <v>No</v>
      </c>
      <c r="R81" s="758" t="str">
        <f>R$13</f>
        <v>Let Microsoft 365 Group owners add people outside your organization to the group as guests.</v>
      </c>
      <c r="S81" s="753" t="str">
        <f>IF('Groups &amp; Sites'!K167=TRUE,"Yes","No")</f>
        <v>No</v>
      </c>
      <c r="T81" s="755" t="str">
        <f>T$13</f>
        <v>Use Microsoft Entra Conditional Access to protect labeled SharePoint sites</v>
      </c>
      <c r="U81" s="757" t="str">
        <f>IF(OR('Groups &amp; Sites'!S169=TRUE,'Groups &amp; Sites'!S170=TRUE,'Groups &amp; Sites'!S171=TRUE),"Yes","No")</f>
        <v>No</v>
      </c>
      <c r="V81" s="687" t="str">
        <f>V$13</f>
        <v>Teams shared channels</v>
      </c>
    </row>
    <row r="82" spans="1:22" ht="15" thickBot="1" x14ac:dyDescent="0.4">
      <c r="A82" s="716"/>
      <c r="B82" s="695"/>
      <c r="C82" s="712"/>
      <c r="D82" s="539"/>
      <c r="E82" s="69" t="b">
        <f>'Sensitivity Labels'!F153</f>
        <v>0</v>
      </c>
      <c r="F82" s="67" t="str">
        <f>'Sensitivity Labels'!G153</f>
        <v>Groups &amp; Sites</v>
      </c>
      <c r="G82" s="692"/>
      <c r="H82" s="695"/>
      <c r="I82" s="698"/>
      <c r="J82" s="764"/>
      <c r="K82" s="319"/>
      <c r="L82" s="319"/>
      <c r="M82" s="319"/>
      <c r="N82" s="319"/>
      <c r="O82" s="762"/>
      <c r="P82" s="767"/>
      <c r="Q82" s="760"/>
      <c r="R82" s="756"/>
      <c r="S82" s="754"/>
      <c r="T82" s="756"/>
      <c r="U82" s="754"/>
      <c r="V82" s="688"/>
    </row>
    <row r="83" spans="1:22" ht="14.5" customHeight="1" x14ac:dyDescent="0.35">
      <c r="A83" s="713">
        <f>A79+1</f>
        <v>19</v>
      </c>
      <c r="B83" s="701">
        <f>'Sensitivity Labels'!C155</f>
        <v>0</v>
      </c>
      <c r="C83" s="705">
        <f>'Sensitivity Labels'!D155</f>
        <v>0</v>
      </c>
      <c r="D83" s="707">
        <f>'Sensitivity Labels'!E155</f>
        <v>0</v>
      </c>
      <c r="E83" s="349" t="b">
        <f>'Sensitivity Labels'!F155</f>
        <v>0</v>
      </c>
      <c r="F83" s="350" t="str">
        <f>'Sensitivity Labels'!G155</f>
        <v>Files &amp; Other Data assets</v>
      </c>
      <c r="G83" s="699">
        <f>'Sensitivity Labels'!I155</f>
        <v>0</v>
      </c>
      <c r="H83" s="701">
        <f>'Sensitivity Labels'!J155</f>
        <v>0</v>
      </c>
      <c r="I83" s="703">
        <f>'Sensitivity Labels'!K155</f>
        <v>0</v>
      </c>
      <c r="J83" s="351" t="str">
        <f>IF(OR(M83=TRUE,M84=TRUE),"Encryption",(IF(K83=TRUE,"Remove Encryption","No Encryption")))</f>
        <v>No Encryption</v>
      </c>
      <c r="K83" s="352" t="b">
        <f>'Emails, Files, &amp; Other Data'!H228</f>
        <v>0</v>
      </c>
      <c r="L83" s="353" t="str">
        <f>L79</f>
        <v>Remove access control settings if already applied to items</v>
      </c>
      <c r="M83" s="352" t="b">
        <f>'Emails, Files, &amp; Other Data'!J228</f>
        <v>0</v>
      </c>
      <c r="N83" s="353" t="str">
        <f>N79</f>
        <v>Assign Permissions now</v>
      </c>
      <c r="O83" s="354" t="str">
        <f>O$11</f>
        <v>Access Control</v>
      </c>
      <c r="P83" s="747" t="str">
        <f>IF(E85=TRUE,"Yes","No")</f>
        <v>No</v>
      </c>
      <c r="Q83" s="733" t="str">
        <f>IF(OR('Groups &amp; Sites'!H175=INputs!AN$3,'Groups &amp; Sites'!H175=INputs!AN$4),"Yes","No")</f>
        <v>No</v>
      </c>
      <c r="R83" s="734" t="str">
        <f>R$11</f>
        <v>Privacy and external user access</v>
      </c>
      <c r="S83" s="703" t="str">
        <f>IF('Groups &amp; Sites'!K175=TRUE,"Yes","No")</f>
        <v>No</v>
      </c>
      <c r="T83" s="734" t="str">
        <f>T$11</f>
        <v>Content can be shared with</v>
      </c>
      <c r="U83" s="703" t="str">
        <f>IF('Groups &amp; Sites'!S176=TRUE,"Yes","No")</f>
        <v>No</v>
      </c>
      <c r="V83" s="728" t="str">
        <f>V$11</f>
        <v>Allow users to discover private teams that have this label applied.</v>
      </c>
    </row>
    <row r="84" spans="1:22" ht="14.5" x14ac:dyDescent="0.35">
      <c r="A84" s="714"/>
      <c r="B84" s="701"/>
      <c r="C84" s="705"/>
      <c r="D84" s="708"/>
      <c r="E84" s="349" t="b">
        <f>'Sensitivity Labels'!F157</f>
        <v>0</v>
      </c>
      <c r="F84" s="350" t="str">
        <f>'Sensitivity Labels'!G157</f>
        <v>Emails</v>
      </c>
      <c r="G84" s="699"/>
      <c r="H84" s="701"/>
      <c r="I84" s="703"/>
      <c r="J84" s="355" t="str">
        <f>IF(OR('Emails, Files, &amp; Other Data'!X228=TRUE,'Emails, Files, &amp; Other Data'!X229=TRUE,'Emails, Files, &amp; Other Data'!X230=TRUE),"Yes","No")</f>
        <v>No</v>
      </c>
      <c r="K84" s="356"/>
      <c r="L84" s="356"/>
      <c r="M84" s="357" t="b">
        <f>'Emails, Files, &amp; Other Data'!J229</f>
        <v>0</v>
      </c>
      <c r="N84" s="356" t="str">
        <f>N80</f>
        <v>Let users assign permissions when they apply the label</v>
      </c>
      <c r="O84" s="358" t="str">
        <f>O$12</f>
        <v>Content Marking</v>
      </c>
      <c r="P84" s="747"/>
      <c r="Q84" s="736"/>
      <c r="R84" s="735"/>
      <c r="S84" s="729"/>
      <c r="T84" s="735"/>
      <c r="U84" s="729"/>
      <c r="V84" s="686"/>
    </row>
    <row r="85" spans="1:22" ht="14.5" customHeight="1" x14ac:dyDescent="0.35">
      <c r="A85" s="714"/>
      <c r="B85" s="701"/>
      <c r="C85" s="705"/>
      <c r="D85" s="708"/>
      <c r="E85" s="349" t="b">
        <f>'Sensitivity Labels'!F159</f>
        <v>0</v>
      </c>
      <c r="F85" s="350" t="str">
        <f>'Sensitivity Labels'!G159</f>
        <v>Meetings</v>
      </c>
      <c r="G85" s="699"/>
      <c r="H85" s="701"/>
      <c r="I85" s="703"/>
      <c r="J85" s="739" t="str">
        <f>IF('Emails, Files, &amp; Other Data'!AB228=TRUE,"Yes","No")</f>
        <v>No</v>
      </c>
      <c r="K85" s="356"/>
      <c r="L85" s="356"/>
      <c r="M85" s="356"/>
      <c r="N85" s="356"/>
      <c r="O85" s="737" t="str">
        <f>O$13</f>
        <v>Auto-labeling for files and emails: "Client-side Auto-Labeling"</v>
      </c>
      <c r="P85" s="747"/>
      <c r="Q85" s="732" t="str">
        <f>IF('Groups &amp; Sites'!H177=TRUE,"Yes","No")</f>
        <v>No</v>
      </c>
      <c r="R85" s="730" t="str">
        <f>R$13</f>
        <v>Let Microsoft 365 Group owners add people outside your organization to the group as guests.</v>
      </c>
      <c r="S85" s="703" t="str">
        <f>IF('Groups &amp; Sites'!K176=TRUE,"Yes","No")</f>
        <v>No</v>
      </c>
      <c r="T85" s="731" t="str">
        <f>T$13</f>
        <v>Use Microsoft Entra Conditional Access to protect labeled SharePoint sites</v>
      </c>
      <c r="U85" s="746" t="str">
        <f>IF(OR('Groups &amp; Sites'!S178=TRUE,'Groups &amp; Sites'!S179=TRUE,'Groups &amp; Sites'!S180=TRUE),"Yes","No")</f>
        <v>No</v>
      </c>
      <c r="V85" s="689" t="str">
        <f>V$13</f>
        <v>Teams shared channels</v>
      </c>
    </row>
    <row r="86" spans="1:22" ht="15" thickBot="1" x14ac:dyDescent="0.4">
      <c r="A86" s="715"/>
      <c r="B86" s="702"/>
      <c r="C86" s="706"/>
      <c r="D86" s="709"/>
      <c r="E86" s="359" t="b">
        <f>'Sensitivity Labels'!F161</f>
        <v>0</v>
      </c>
      <c r="F86" s="360" t="str">
        <f>'Sensitivity Labels'!G161</f>
        <v>Groups &amp; Sites</v>
      </c>
      <c r="G86" s="700"/>
      <c r="H86" s="702"/>
      <c r="I86" s="704"/>
      <c r="J86" s="740"/>
      <c r="K86" s="361"/>
      <c r="L86" s="361"/>
      <c r="M86" s="361"/>
      <c r="N86" s="361"/>
      <c r="O86" s="738"/>
      <c r="P86" s="748"/>
      <c r="Q86" s="733"/>
      <c r="R86" s="731"/>
      <c r="S86" s="703"/>
      <c r="T86" s="731"/>
      <c r="U86" s="703"/>
      <c r="V86" s="745"/>
    </row>
    <row r="87" spans="1:22" ht="14.5" customHeight="1" x14ac:dyDescent="0.35">
      <c r="A87" s="716">
        <f>A83+1</f>
        <v>20</v>
      </c>
      <c r="B87" s="693">
        <f>'Sensitivity Labels'!C163</f>
        <v>0</v>
      </c>
      <c r="C87" s="710">
        <f>'Sensitivity Labels'!D163</f>
        <v>0</v>
      </c>
      <c r="D87" s="537">
        <f>'Sensitivity Labels'!E163</f>
        <v>0</v>
      </c>
      <c r="E87" s="60" t="b">
        <f>'Sensitivity Labels'!F163</f>
        <v>0</v>
      </c>
      <c r="F87" s="62" t="str">
        <f>'Sensitivity Labels'!G163</f>
        <v>Files &amp; Other Data assets</v>
      </c>
      <c r="G87" s="690">
        <f>'Sensitivity Labels'!I163</f>
        <v>0</v>
      </c>
      <c r="H87" s="693">
        <f>'Sensitivity Labels'!J163</f>
        <v>0</v>
      </c>
      <c r="I87" s="696">
        <f>'Sensitivity Labels'!K163</f>
        <v>0</v>
      </c>
      <c r="J87" s="320" t="str">
        <f>IF(OR(M87=TRUE,M88=TRUE),"Encryption",(IF(K87=TRUE,"Remove Encryption","No Encryption")))</f>
        <v>No Encryption</v>
      </c>
      <c r="K87" s="315" t="b">
        <f>'Emails, Files, &amp; Other Data'!H240</f>
        <v>0</v>
      </c>
      <c r="L87" s="316" t="str">
        <f>L83</f>
        <v>Remove access control settings if already applied to items</v>
      </c>
      <c r="M87" s="315" t="b">
        <f>'Emails, Files, &amp; Other Data'!J240</f>
        <v>0</v>
      </c>
      <c r="N87" s="316" t="str">
        <f>N83</f>
        <v>Assign Permissions now</v>
      </c>
      <c r="O87" s="321" t="str">
        <f>O$11</f>
        <v>Access Control</v>
      </c>
      <c r="P87" s="765" t="str">
        <f>IF(E89=TRUE,"Yes","No")</f>
        <v>No</v>
      </c>
      <c r="Q87" s="749" t="str">
        <f>IF(OR('Groups &amp; Sites'!H184=INputs!AN$3,'Groups &amp; Sites'!H184=INputs!AN$4),"Yes","No")</f>
        <v>No</v>
      </c>
      <c r="R87" s="751" t="str">
        <f>R$11</f>
        <v>Privacy and external user access</v>
      </c>
      <c r="S87" s="684" t="str">
        <f>IF('Groups &amp; Sites'!K184=TRUE,"Yes","No")</f>
        <v>No</v>
      </c>
      <c r="T87" s="751" t="str">
        <f>T$11</f>
        <v>Content can be shared with</v>
      </c>
      <c r="U87" s="684" t="str">
        <f>IF('Groups &amp; Sites'!S185=TRUE,"Yes","No")</f>
        <v>No</v>
      </c>
      <c r="V87" s="682" t="str">
        <f>V$11</f>
        <v>Allow users to discover private teams that have this label applied.</v>
      </c>
    </row>
    <row r="88" spans="1:22" ht="14.5" x14ac:dyDescent="0.35">
      <c r="A88" s="716"/>
      <c r="B88" s="694"/>
      <c r="C88" s="711"/>
      <c r="D88" s="538"/>
      <c r="E88" s="64" t="b">
        <f>'Sensitivity Labels'!F165</f>
        <v>0</v>
      </c>
      <c r="F88" t="str">
        <f>'Sensitivity Labels'!G165</f>
        <v>Emails</v>
      </c>
      <c r="G88" s="691"/>
      <c r="H88" s="694"/>
      <c r="I88" s="697"/>
      <c r="J88" s="322" t="str">
        <f>IF(OR('Emails, Files, &amp; Other Data'!X240=TRUE,'Emails, Files, &amp; Other Data'!X241=TRUE,'Emails, Files, &amp; Other Data'!X242=TRUE),"Yes","No")</f>
        <v>No</v>
      </c>
      <c r="K88" s="317"/>
      <c r="L88" s="317"/>
      <c r="M88" s="318" t="b">
        <f>'Emails, Files, &amp; Other Data'!J241</f>
        <v>0</v>
      </c>
      <c r="N88" s="317" t="str">
        <f>N84</f>
        <v>Let users assign permissions when they apply the label</v>
      </c>
      <c r="O88" s="323" t="str">
        <f>O$12</f>
        <v>Content Marking</v>
      </c>
      <c r="P88" s="766"/>
      <c r="Q88" s="750"/>
      <c r="R88" s="752"/>
      <c r="S88" s="685"/>
      <c r="T88" s="752"/>
      <c r="U88" s="685"/>
      <c r="V88" s="683"/>
    </row>
    <row r="89" spans="1:22" ht="14.5" customHeight="1" x14ac:dyDescent="0.35">
      <c r="A89" s="716"/>
      <c r="B89" s="694"/>
      <c r="C89" s="711"/>
      <c r="D89" s="538"/>
      <c r="E89" s="64" t="b">
        <f>'Sensitivity Labels'!F167</f>
        <v>0</v>
      </c>
      <c r="F89" t="str">
        <f>'Sensitivity Labels'!G167</f>
        <v>Meetings</v>
      </c>
      <c r="G89" s="691"/>
      <c r="H89" s="694"/>
      <c r="I89" s="697"/>
      <c r="J89" s="763" t="str">
        <f>IF('Emails, Files, &amp; Other Data'!AB240=TRUE,"Yes","No")</f>
        <v>No</v>
      </c>
      <c r="K89" s="317"/>
      <c r="L89" s="317"/>
      <c r="M89" s="317"/>
      <c r="N89" s="317"/>
      <c r="O89" s="761" t="str">
        <f>O$13</f>
        <v>Auto-labeling for files and emails: "Client-side Auto-Labeling"</v>
      </c>
      <c r="P89" s="766"/>
      <c r="Q89" s="759" t="str">
        <f>IF('Groups &amp; Sites'!H186=TRUE,"Yes","No")</f>
        <v>No</v>
      </c>
      <c r="R89" s="758" t="str">
        <f>R$13</f>
        <v>Let Microsoft 365 Group owners add people outside your organization to the group as guests.</v>
      </c>
      <c r="S89" s="753" t="str">
        <f>IF('Groups &amp; Sites'!K185=TRUE,"Yes","No")</f>
        <v>No</v>
      </c>
      <c r="T89" s="755" t="str">
        <f>T$13</f>
        <v>Use Microsoft Entra Conditional Access to protect labeled SharePoint sites</v>
      </c>
      <c r="U89" s="757" t="str">
        <f>IF(OR('Groups &amp; Sites'!S187=TRUE,'Groups &amp; Sites'!S188=TRUE,'Groups &amp; Sites'!S189=TRUE),"Yes","No")</f>
        <v>No</v>
      </c>
      <c r="V89" s="687" t="str">
        <f>V$13</f>
        <v>Teams shared channels</v>
      </c>
    </row>
    <row r="90" spans="1:22" ht="15" thickBot="1" x14ac:dyDescent="0.4">
      <c r="A90" s="716"/>
      <c r="B90" s="695"/>
      <c r="C90" s="712"/>
      <c r="D90" s="539"/>
      <c r="E90" s="69" t="b">
        <f>'Sensitivity Labels'!F169</f>
        <v>0</v>
      </c>
      <c r="F90" s="67" t="str">
        <f>'Sensitivity Labels'!G169</f>
        <v>Groups &amp; Sites</v>
      </c>
      <c r="G90" s="692"/>
      <c r="H90" s="695"/>
      <c r="I90" s="698"/>
      <c r="J90" s="764"/>
      <c r="K90" s="319"/>
      <c r="L90" s="319"/>
      <c r="M90" s="319"/>
      <c r="N90" s="319"/>
      <c r="O90" s="762"/>
      <c r="P90" s="767"/>
      <c r="Q90" s="760"/>
      <c r="R90" s="756"/>
      <c r="S90" s="754"/>
      <c r="T90" s="756"/>
      <c r="U90" s="754"/>
      <c r="V90" s="688"/>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71" priority="160" operator="equal">
      <formula>0</formula>
    </cfRule>
  </conditionalFormatting>
  <conditionalFormatting sqref="B11:D90">
    <cfRule type="cellIs" dxfId="70" priority="162" operator="equal">
      <formula>0</formula>
    </cfRule>
  </conditionalFormatting>
  <conditionalFormatting sqref="B19:D22">
    <cfRule type="cellIs" dxfId="69" priority="159" operator="equal">
      <formula>0</formula>
    </cfRule>
  </conditionalFormatting>
  <conditionalFormatting sqref="B27:D30">
    <cfRule type="cellIs" dxfId="68" priority="158" operator="equal">
      <formula>0</formula>
    </cfRule>
  </conditionalFormatting>
  <conditionalFormatting sqref="B35:D38">
    <cfRule type="cellIs" dxfId="67" priority="157" operator="equal">
      <formula>0</formula>
    </cfRule>
  </conditionalFormatting>
  <conditionalFormatting sqref="B43:D46">
    <cfRule type="cellIs" dxfId="66" priority="156" operator="equal">
      <formula>0</formula>
    </cfRule>
  </conditionalFormatting>
  <conditionalFormatting sqref="B51:D54">
    <cfRule type="cellIs" dxfId="65" priority="155" operator="equal">
      <formula>0</formula>
    </cfRule>
  </conditionalFormatting>
  <conditionalFormatting sqref="B59:D62">
    <cfRule type="cellIs" dxfId="64" priority="154" operator="equal">
      <formula>0</formula>
    </cfRule>
  </conditionalFormatting>
  <conditionalFormatting sqref="B67:D70">
    <cfRule type="cellIs" dxfId="63" priority="153" operator="equal">
      <formula>0</formula>
    </cfRule>
  </conditionalFormatting>
  <conditionalFormatting sqref="B75:D78">
    <cfRule type="cellIs" dxfId="62" priority="152" operator="equal">
      <formula>0</formula>
    </cfRule>
  </conditionalFormatting>
  <conditionalFormatting sqref="B83:D86">
    <cfRule type="cellIs" dxfId="61" priority="151" operator="equal">
      <formula>0</formula>
    </cfRule>
  </conditionalFormatting>
  <conditionalFormatting sqref="G11:I90">
    <cfRule type="cellIs" dxfId="60" priority="161" operator="equal">
      <formula>0</formula>
    </cfRule>
  </conditionalFormatting>
  <conditionalFormatting sqref="I79 I75 I83 I67 I59 I51 I43 I35 I27 I19 I11 I87 I71 I63 I55 I47 I39 I31 I15 I23">
    <cfRule type="cellIs" dxfId="59" priority="164" operator="equal">
      <formula>"Brown"</formula>
    </cfRule>
    <cfRule type="cellIs" dxfId="58" priority="165" operator="equal">
      <formula>"Amber"</formula>
    </cfRule>
    <cfRule type="cellIs" dxfId="57" priority="166" operator="equal">
      <formula>"orange"</formula>
    </cfRule>
    <cfRule type="cellIs" dxfId="56" priority="167" operator="equal">
      <formula>"Green"</formula>
    </cfRule>
    <cfRule type="cellIs" dxfId="55" priority="168" operator="equal">
      <formula>"Blue"</formula>
    </cfRule>
    <cfRule type="cellIs" dxfId="54" priority="169" operator="equal">
      <formula>"Purple"</formula>
    </cfRule>
    <cfRule type="cellIs" dxfId="53" priority="170" operator="equal">
      <formula>"Dark Gray"</formula>
    </cfRule>
    <cfRule type="cellIs" dxfId="52" priority="171" operator="equal">
      <formula>"Magenta"</formula>
    </cfRule>
    <cfRule type="cellIs" dxfId="51" priority="172" operator="equal">
      <formula>"Gray"</formula>
    </cfRule>
    <cfRule type="cellIs" dxfId="50" priority="173" operator="equal">
      <formula>"Black"</formula>
    </cfRule>
  </conditionalFormatting>
  <conditionalFormatting sqref="G75:I78">
    <cfRule type="cellIs" dxfId="49" priority="53" operator="equal">
      <formula>0</formula>
    </cfRule>
  </conditionalFormatting>
  <conditionalFormatting sqref="G83:I86">
    <cfRule type="cellIs" dxfId="46" priority="47" operator="equal">
      <formula>0</formula>
    </cfRule>
  </conditionalFormatting>
  <conditionalFormatting sqref="G67:I70">
    <cfRule type="cellIs" dxfId="43" priority="44" operator="equal">
      <formula>0</formula>
    </cfRule>
  </conditionalFormatting>
  <conditionalFormatting sqref="G59:I62">
    <cfRule type="cellIs" dxfId="40" priority="41" operator="equal">
      <formula>0</formula>
    </cfRule>
  </conditionalFormatting>
  <conditionalFormatting sqref="G51:I54">
    <cfRule type="cellIs" dxfId="37" priority="38" operator="equal">
      <formula>0</formula>
    </cfRule>
  </conditionalFormatting>
  <conditionalFormatting sqref="G43:I46">
    <cfRule type="cellIs" dxfId="34" priority="35" operator="equal">
      <formula>0</formula>
    </cfRule>
  </conditionalFormatting>
  <conditionalFormatting sqref="G35:I38">
    <cfRule type="cellIs" dxfId="31" priority="32" operator="equal">
      <formula>0</formula>
    </cfRule>
  </conditionalFormatting>
  <conditionalFormatting sqref="G27:I30">
    <cfRule type="cellIs" dxfId="28" priority="29" operator="equal">
      <formula>0</formula>
    </cfRule>
  </conditionalFormatting>
  <conditionalFormatting sqref="G19:I22">
    <cfRule type="cellIs" dxfId="25" priority="26" operator="equal">
      <formula>0</formula>
    </cfRule>
  </conditionalFormatting>
  <conditionalFormatting sqref="G11:I14">
    <cfRule type="cellIs" dxfId="22" priority="23" operator="equal">
      <formula>0</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J75:V78 E75:F78</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J83:V86 E83:F86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J67:V70 E67:F70</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J59:V62 E59:F62</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J51:V54 E51:F54</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J43:V46 E43:F46</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J35:V38 E35:F38</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J27:V30 E27:F30</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J19:V22 E19:F22</xm:sqref>
        </x14:conditionalFormatting>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J11:V14 E11:F14</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J79:V82 E79:F82</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J87:V90 E87:F90</xm:sqref>
        </x14:conditionalFormatting>
        <x14:conditionalFormatting xmlns:xm="http://schemas.microsoft.com/office/excel/2006/main">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m:sqref>J71:V74 E71:F74</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J63:V66 E63:F66</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J55:V58 E55:F58</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J47:V50 E47:F50</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J39:V42 E39:F42</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J31:V34 E31:F34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J15:V18 E15:F18</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J23:V26 E23:F26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47" sqref="Z247"/>
    </sheetView>
  </sheetViews>
  <sheetFormatPr defaultRowHeight="14.5" outlineLevelRow="1" x14ac:dyDescent="0.35"/>
  <cols>
    <col min="1" max="1" width="3.7265625" style="87" customWidth="1"/>
    <col min="2" max="2" width="5.08984375" style="87" hidden="1" customWidth="1"/>
    <col min="3" max="3" width="40.81640625" bestFit="1" customWidth="1"/>
    <col min="4" max="4" width="1.6328125" customWidth="1"/>
    <col min="5" max="5" width="41.7265625" customWidth="1"/>
    <col min="6" max="6" width="1.6328125" customWidth="1"/>
    <col min="7" max="7" width="48.81640625" customWidth="1"/>
    <col min="8" max="8" width="1.6328125" customWidth="1"/>
    <col min="9" max="9" width="48.54296875" customWidth="1"/>
    <col min="10" max="10" width="1.632812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20"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79</v>
      </c>
      <c r="T1" s="496"/>
    </row>
    <row r="2" spans="1:30" ht="10.5" customHeight="1" thickBot="1" x14ac:dyDescent="0.4"/>
    <row r="3" spans="1:30" ht="27.75" customHeight="1" thickBot="1" x14ac:dyDescent="0.4">
      <c r="C3" s="96" t="s">
        <v>88</v>
      </c>
      <c r="D3" s="17"/>
      <c r="E3" s="96" t="s">
        <v>216</v>
      </c>
      <c r="F3" s="17"/>
      <c r="G3" s="96" t="s">
        <v>217</v>
      </c>
      <c r="H3" s="17"/>
      <c r="I3" s="96" t="s">
        <v>218</v>
      </c>
      <c r="J3" s="17"/>
      <c r="K3" s="96" t="s">
        <v>219</v>
      </c>
      <c r="L3" s="17"/>
      <c r="M3" s="653" t="s">
        <v>220</v>
      </c>
      <c r="N3" s="654"/>
      <c r="O3" s="17"/>
      <c r="P3" s="588" t="s">
        <v>221</v>
      </c>
      <c r="Q3" s="589"/>
      <c r="R3" s="17"/>
      <c r="S3" s="653" t="s">
        <v>222</v>
      </c>
      <c r="T3" s="654"/>
      <c r="U3" s="18"/>
      <c r="V3" s="653" t="s">
        <v>223</v>
      </c>
      <c r="W3" s="654"/>
      <c r="X3" s="144"/>
      <c r="Y3" s="653" t="s">
        <v>224</v>
      </c>
      <c r="Z3" s="654"/>
      <c r="AA3" s="17"/>
      <c r="AB3" s="653" t="s">
        <v>225</v>
      </c>
      <c r="AC3" s="654"/>
    </row>
    <row r="4" spans="1:30" ht="7" hidden="1" customHeight="1" x14ac:dyDescent="0.35">
      <c r="C4" s="151"/>
      <c r="D4" s="17"/>
      <c r="E4" s="152"/>
      <c r="F4" s="17"/>
      <c r="G4" s="151"/>
      <c r="H4" s="17"/>
      <c r="I4" s="152"/>
      <c r="J4" s="17"/>
      <c r="K4" s="152"/>
      <c r="L4" s="17"/>
      <c r="M4" s="152"/>
      <c r="N4" s="152"/>
      <c r="O4" s="17"/>
      <c r="P4" s="149"/>
      <c r="Q4" s="149"/>
      <c r="R4" s="17"/>
      <c r="S4" s="151"/>
      <c r="T4" s="151"/>
      <c r="U4" s="18"/>
      <c r="V4" s="152"/>
      <c r="W4" s="152"/>
      <c r="X4" s="144"/>
      <c r="Y4" s="152"/>
      <c r="Z4" s="152"/>
      <c r="AA4" s="17"/>
      <c r="AB4" s="152"/>
      <c r="AC4" s="152"/>
    </row>
    <row r="5" spans="1:30" s="3" customFormat="1" ht="192.5" hidden="1" customHeight="1" outlineLevel="1" x14ac:dyDescent="0.35">
      <c r="A5" s="234" t="s">
        <v>322</v>
      </c>
      <c r="B5" s="154"/>
      <c r="C5" s="175" t="s">
        <v>226</v>
      </c>
      <c r="D5" s="161"/>
      <c r="E5" s="176" t="s">
        <v>227</v>
      </c>
      <c r="F5" s="161"/>
      <c r="G5" s="176" t="s">
        <v>228</v>
      </c>
      <c r="H5" s="161"/>
      <c r="I5" s="176" t="s">
        <v>229</v>
      </c>
      <c r="J5" s="161"/>
      <c r="K5" s="176" t="s">
        <v>230</v>
      </c>
      <c r="L5" s="161"/>
      <c r="M5" s="778" t="s">
        <v>231</v>
      </c>
      <c r="N5" s="779"/>
      <c r="O5" s="161"/>
      <c r="P5" s="778" t="s">
        <v>232</v>
      </c>
      <c r="Q5" s="779"/>
      <c r="R5" s="161"/>
      <c r="S5" s="778" t="s">
        <v>233</v>
      </c>
      <c r="T5" s="560"/>
      <c r="U5" s="177"/>
      <c r="V5" s="560" t="s">
        <v>234</v>
      </c>
      <c r="W5" s="560"/>
      <c r="X5" s="177"/>
      <c r="Y5" s="560" t="s">
        <v>235</v>
      </c>
      <c r="Z5" s="560"/>
      <c r="AA5" s="177"/>
      <c r="AB5" s="560" t="s">
        <v>236</v>
      </c>
      <c r="AC5" s="560"/>
    </row>
    <row r="6" spans="1:30" s="3" customFormat="1" ht="14.5" hidden="1" customHeight="1" outlineLevel="1" x14ac:dyDescent="0.35">
      <c r="A6" s="633" t="s">
        <v>99</v>
      </c>
      <c r="B6" s="234"/>
      <c r="C6" s="167" t="s">
        <v>237</v>
      </c>
      <c r="D6" s="131"/>
      <c r="E6" s="170"/>
      <c r="F6" s="131"/>
      <c r="G6" s="170"/>
      <c r="H6" s="131"/>
      <c r="I6" s="167" t="s">
        <v>238</v>
      </c>
      <c r="J6" s="131"/>
      <c r="K6" s="167" t="s">
        <v>239</v>
      </c>
      <c r="L6" s="131"/>
      <c r="M6" s="563" t="s">
        <v>237</v>
      </c>
      <c r="N6" s="563"/>
      <c r="O6" s="131"/>
      <c r="P6" s="563" t="s">
        <v>240</v>
      </c>
      <c r="Q6" s="563"/>
      <c r="R6" s="131"/>
      <c r="S6" s="563" t="s">
        <v>240</v>
      </c>
      <c r="T6" s="563"/>
      <c r="U6" s="131"/>
      <c r="V6" s="563" t="s">
        <v>184</v>
      </c>
      <c r="W6" s="563"/>
      <c r="X6" s="131"/>
      <c r="Y6" s="563" t="s">
        <v>241</v>
      </c>
      <c r="Z6" s="563"/>
      <c r="AA6" s="131"/>
      <c r="AB6" s="563" t="s">
        <v>242</v>
      </c>
      <c r="AC6" s="563"/>
    </row>
    <row r="7" spans="1:30" s="3" customFormat="1" ht="14.5" hidden="1" customHeight="1" outlineLevel="1" x14ac:dyDescent="0.35">
      <c r="A7" s="633"/>
      <c r="B7" s="234"/>
      <c r="C7" s="170"/>
      <c r="D7" s="131"/>
      <c r="E7" s="170"/>
      <c r="F7" s="131"/>
      <c r="G7" s="170"/>
      <c r="H7" s="131"/>
      <c r="I7" s="170"/>
      <c r="J7" s="131"/>
      <c r="K7" s="170"/>
      <c r="L7" s="131"/>
      <c r="M7" s="563" t="s">
        <v>243</v>
      </c>
      <c r="N7" s="563"/>
      <c r="O7" s="131"/>
      <c r="P7" s="565"/>
      <c r="Q7" s="565"/>
      <c r="R7" s="131"/>
      <c r="S7" s="563" t="s">
        <v>244</v>
      </c>
      <c r="T7" s="563"/>
      <c r="U7" s="131"/>
      <c r="V7" s="565"/>
      <c r="W7" s="565"/>
      <c r="X7" s="131"/>
      <c r="Y7" s="565"/>
      <c r="Z7" s="565"/>
      <c r="AA7" s="131"/>
      <c r="AB7" s="565"/>
      <c r="AC7" s="565"/>
    </row>
    <row r="8" spans="1:30" s="3" customFormat="1" hidden="1" outlineLevel="1" x14ac:dyDescent="0.35">
      <c r="A8" s="633"/>
      <c r="B8" s="234"/>
      <c r="C8" s="170"/>
      <c r="D8" s="131"/>
      <c r="E8" s="170"/>
      <c r="F8" s="131"/>
      <c r="G8" s="170"/>
      <c r="H8" s="131"/>
      <c r="I8" s="170"/>
      <c r="J8" s="131"/>
      <c r="K8" s="170"/>
      <c r="L8" s="131"/>
      <c r="M8" s="563" t="s">
        <v>245</v>
      </c>
      <c r="N8" s="563"/>
      <c r="O8" s="131"/>
      <c r="P8" s="565"/>
      <c r="Q8" s="565"/>
      <c r="R8" s="131"/>
      <c r="S8" s="565"/>
      <c r="T8" s="565"/>
      <c r="U8" s="131"/>
      <c r="V8" s="565"/>
      <c r="W8" s="565"/>
      <c r="X8" s="131"/>
      <c r="Y8" s="565"/>
      <c r="Z8" s="565"/>
      <c r="AA8" s="131"/>
      <c r="AB8" s="565"/>
      <c r="AC8" s="565"/>
    </row>
    <row r="9" spans="1:30" s="3" customFormat="1" hidden="1" outlineLevel="1" x14ac:dyDescent="0.35">
      <c r="A9" s="633"/>
      <c r="B9" s="234"/>
      <c r="C9" s="170"/>
      <c r="D9" s="131"/>
      <c r="E9" s="170"/>
      <c r="F9" s="131"/>
      <c r="G9" s="170"/>
      <c r="H9" s="131"/>
      <c r="I9" s="170"/>
      <c r="J9" s="131"/>
      <c r="K9" s="170"/>
      <c r="L9" s="131"/>
      <c r="M9" s="563" t="s">
        <v>246</v>
      </c>
      <c r="N9" s="563"/>
      <c r="O9" s="131"/>
      <c r="P9" s="565"/>
      <c r="Q9" s="565"/>
      <c r="R9" s="131"/>
      <c r="S9" s="565"/>
      <c r="T9" s="565"/>
      <c r="U9" s="131"/>
      <c r="V9" s="565"/>
      <c r="W9" s="565"/>
      <c r="X9" s="131"/>
      <c r="Y9" s="565"/>
      <c r="Z9" s="565"/>
      <c r="AA9" s="131"/>
      <c r="AB9" s="565"/>
      <c r="AC9" s="565"/>
    </row>
    <row r="10" spans="1:30" s="3" customFormat="1" hidden="1" outlineLevel="1" x14ac:dyDescent="0.35">
      <c r="A10" s="633"/>
      <c r="B10" s="234"/>
      <c r="C10" s="170"/>
      <c r="D10" s="131"/>
      <c r="E10" s="170"/>
      <c r="F10" s="131"/>
      <c r="G10" s="170"/>
      <c r="H10" s="131"/>
      <c r="I10" s="170"/>
      <c r="J10" s="131"/>
      <c r="K10" s="170"/>
      <c r="L10" s="131"/>
      <c r="M10" s="563" t="s">
        <v>243</v>
      </c>
      <c r="N10" s="563"/>
      <c r="O10" s="131"/>
      <c r="P10" s="565"/>
      <c r="Q10" s="565"/>
      <c r="R10" s="131"/>
      <c r="S10" s="565"/>
      <c r="T10" s="565"/>
      <c r="U10" s="131"/>
      <c r="V10" s="565"/>
      <c r="W10" s="565"/>
      <c r="X10" s="131"/>
      <c r="Y10" s="565"/>
      <c r="Z10" s="565"/>
      <c r="AA10" s="131"/>
      <c r="AB10" s="565"/>
      <c r="AC10" s="565"/>
    </row>
    <row r="11" spans="1:30" collapsed="1" x14ac:dyDescent="0.35">
      <c r="C11" s="7" t="s">
        <v>107</v>
      </c>
      <c r="D11" s="17"/>
      <c r="E11" s="7" t="s">
        <v>107</v>
      </c>
      <c r="F11" s="17"/>
      <c r="G11" s="7" t="s">
        <v>107</v>
      </c>
      <c r="H11" s="17"/>
      <c r="I11" s="7" t="s">
        <v>107</v>
      </c>
      <c r="J11" s="17"/>
      <c r="K11" s="7" t="s">
        <v>107</v>
      </c>
      <c r="L11" s="17"/>
      <c r="M11" s="18"/>
      <c r="N11" s="29" t="s">
        <v>108</v>
      </c>
      <c r="O11" s="29"/>
      <c r="P11" s="631" t="s">
        <v>108</v>
      </c>
      <c r="Q11" s="631"/>
      <c r="R11" s="29"/>
      <c r="S11" s="631" t="s">
        <v>108</v>
      </c>
      <c r="T11" s="631"/>
      <c r="U11" s="29"/>
      <c r="V11" s="631" t="s">
        <v>108</v>
      </c>
      <c r="W11" s="631"/>
      <c r="X11" s="8"/>
      <c r="Y11" s="631" t="s">
        <v>108</v>
      </c>
      <c r="Z11" s="631"/>
      <c r="AA11" s="29"/>
      <c r="AB11" s="780" t="s">
        <v>108</v>
      </c>
      <c r="AC11" s="780"/>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9"/>
      <c r="W12" s="30"/>
      <c r="X12" s="30"/>
      <c r="Y12" s="30"/>
      <c r="Z12" s="30"/>
      <c r="AA12" s="30"/>
      <c r="AB12" s="30"/>
      <c r="AC12" s="30"/>
      <c r="AD12" s="30"/>
    </row>
    <row r="13" spans="1:30" x14ac:dyDescent="0.35">
      <c r="A13" s="547">
        <v>1</v>
      </c>
      <c r="B13" s="13">
        <f>A13+10</f>
        <v>11</v>
      </c>
      <c r="C13" s="772"/>
      <c r="D13" s="78"/>
      <c r="E13" s="768"/>
      <c r="F13" s="78"/>
      <c r="G13" s="534"/>
      <c r="H13" s="78"/>
      <c r="I13" s="768"/>
      <c r="J13" s="78"/>
      <c r="K13" s="768"/>
      <c r="L13" s="62"/>
      <c r="M13" s="60" t="b">
        <v>0</v>
      </c>
      <c r="N13" s="62" t="s">
        <v>247</v>
      </c>
      <c r="O13" s="62"/>
      <c r="P13" s="62"/>
      <c r="Q13" s="62" t="s">
        <v>248</v>
      </c>
      <c r="R13" s="62"/>
      <c r="S13" s="710"/>
      <c r="T13" s="62" t="s">
        <v>249</v>
      </c>
      <c r="U13" s="62"/>
      <c r="V13" s="710"/>
      <c r="W13" s="62" t="s">
        <v>250</v>
      </c>
      <c r="X13" s="62"/>
      <c r="Y13" s="710"/>
      <c r="Z13" s="62" t="s">
        <v>251</v>
      </c>
      <c r="AA13" s="62"/>
      <c r="AB13" s="710"/>
      <c r="AC13" s="62" t="s">
        <v>252</v>
      </c>
      <c r="AD13" s="71"/>
    </row>
    <row r="14" spans="1:30" x14ac:dyDescent="0.35">
      <c r="A14" s="548"/>
      <c r="B14" s="242">
        <f t="shared" ref="B14:B22" si="0">B13+1</f>
        <v>12</v>
      </c>
      <c r="C14" s="773"/>
      <c r="D14" s="25"/>
      <c r="E14" s="769"/>
      <c r="F14" s="25"/>
      <c r="G14" s="535"/>
      <c r="H14" s="25"/>
      <c r="I14" s="769"/>
      <c r="J14" s="25"/>
      <c r="K14" s="769"/>
      <c r="M14" s="64" t="b">
        <v>0</v>
      </c>
      <c r="N14" t="s">
        <v>253</v>
      </c>
      <c r="Q14" s="495" t="s">
        <v>107</v>
      </c>
      <c r="S14" s="711"/>
      <c r="T14" s="495" t="s">
        <v>107</v>
      </c>
      <c r="V14" s="711"/>
      <c r="W14" s="495" t="s">
        <v>107</v>
      </c>
      <c r="Y14" s="711"/>
      <c r="Z14" s="495" t="s">
        <v>107</v>
      </c>
      <c r="AB14" s="711"/>
      <c r="AC14" s="495" t="s">
        <v>107</v>
      </c>
      <c r="AD14" s="66"/>
    </row>
    <row r="15" spans="1:30" x14ac:dyDescent="0.35">
      <c r="A15" s="548"/>
      <c r="B15" s="242">
        <f t="shared" si="0"/>
        <v>13</v>
      </c>
      <c r="C15" s="773"/>
      <c r="D15" s="25"/>
      <c r="E15" s="769"/>
      <c r="F15" s="25"/>
      <c r="G15" s="535"/>
      <c r="H15" s="25"/>
      <c r="I15" s="769"/>
      <c r="J15" s="25"/>
      <c r="K15" s="769"/>
      <c r="M15" s="64" t="b">
        <v>0</v>
      </c>
      <c r="N15" t="s">
        <v>254</v>
      </c>
      <c r="Q15" s="5"/>
      <c r="T15" s="10"/>
      <c r="W15" s="10"/>
      <c r="Z15" s="10"/>
      <c r="AC15" s="10"/>
      <c r="AD15" s="66"/>
    </row>
    <row r="16" spans="1:30" ht="1.5" customHeight="1" x14ac:dyDescent="0.35">
      <c r="A16" s="548"/>
      <c r="B16" s="242">
        <f t="shared" si="0"/>
        <v>14</v>
      </c>
      <c r="C16" s="773"/>
      <c r="D16" s="25"/>
      <c r="E16" s="769"/>
      <c r="F16" s="25"/>
      <c r="G16" s="535"/>
      <c r="H16" s="25"/>
      <c r="I16" s="769"/>
      <c r="J16" s="25"/>
      <c r="K16" s="769"/>
      <c r="Q16" s="3"/>
      <c r="AD16" s="66"/>
    </row>
    <row r="17" spans="1:30" x14ac:dyDescent="0.35">
      <c r="A17" s="548"/>
      <c r="B17" s="242">
        <f t="shared" si="0"/>
        <v>15</v>
      </c>
      <c r="C17" s="773"/>
      <c r="D17" s="25"/>
      <c r="E17" s="769"/>
      <c r="F17" s="25"/>
      <c r="G17" s="535"/>
      <c r="H17" s="25"/>
      <c r="I17" s="769"/>
      <c r="J17" s="25"/>
      <c r="K17" s="769"/>
      <c r="M17" s="64" t="b">
        <v>0</v>
      </c>
      <c r="N17" t="s">
        <v>256</v>
      </c>
      <c r="Q17" s="9"/>
      <c r="S17" s="45" t="b">
        <v>0</v>
      </c>
      <c r="T17" s="44" t="s">
        <v>257</v>
      </c>
      <c r="V17" s="121" t="b">
        <v>0</v>
      </c>
      <c r="W17" t="s">
        <v>255</v>
      </c>
      <c r="Y17" s="776" t="b">
        <v>0</v>
      </c>
      <c r="Z17" t="s">
        <v>371</v>
      </c>
      <c r="AD17" s="66"/>
    </row>
    <row r="18" spans="1:30" ht="3.5" customHeight="1" x14ac:dyDescent="0.35">
      <c r="A18" s="548"/>
      <c r="B18" s="242">
        <f t="shared" si="0"/>
        <v>16</v>
      </c>
      <c r="C18" s="773"/>
      <c r="D18" s="25"/>
      <c r="E18" s="769"/>
      <c r="F18" s="25"/>
      <c r="G18" s="535"/>
      <c r="H18" s="25"/>
      <c r="I18" s="769"/>
      <c r="J18" s="25"/>
      <c r="K18" s="769"/>
      <c r="Q18" s="9"/>
      <c r="S18" s="44"/>
      <c r="T18" s="44"/>
      <c r="Y18" s="776"/>
      <c r="AD18" s="66"/>
    </row>
    <row r="19" spans="1:30" x14ac:dyDescent="0.35">
      <c r="A19" s="548"/>
      <c r="B19" s="242">
        <f t="shared" si="0"/>
        <v>17</v>
      </c>
      <c r="C19" s="773"/>
      <c r="D19" s="25"/>
      <c r="E19" s="769"/>
      <c r="F19" s="25"/>
      <c r="G19" s="535"/>
      <c r="H19" s="25"/>
      <c r="I19" s="769"/>
      <c r="J19" s="25"/>
      <c r="K19" s="769"/>
      <c r="N19" s="73" t="s">
        <v>107</v>
      </c>
      <c r="S19" s="777" t="s">
        <v>258</v>
      </c>
      <c r="T19" s="777"/>
      <c r="V19" s="777" t="s">
        <v>259</v>
      </c>
      <c r="W19" s="777"/>
      <c r="Y19" s="776"/>
      <c r="AD19" s="66"/>
    </row>
    <row r="20" spans="1:30" x14ac:dyDescent="0.35">
      <c r="A20" s="548"/>
      <c r="B20" s="242">
        <f t="shared" si="0"/>
        <v>18</v>
      </c>
      <c r="C20" s="773"/>
      <c r="D20" s="25"/>
      <c r="E20" s="769"/>
      <c r="F20" s="25"/>
      <c r="G20" s="535"/>
      <c r="H20" s="25"/>
      <c r="I20" s="769"/>
      <c r="J20" s="25"/>
      <c r="K20" s="769"/>
      <c r="N20" s="649"/>
      <c r="S20" s="64" t="b">
        <v>0</v>
      </c>
      <c r="T20" t="s">
        <v>260</v>
      </c>
      <c r="W20" t="s">
        <v>261</v>
      </c>
      <c r="AD20" s="66"/>
    </row>
    <row r="21" spans="1:30" x14ac:dyDescent="0.35">
      <c r="A21" s="548"/>
      <c r="B21" s="242">
        <f t="shared" si="0"/>
        <v>19</v>
      </c>
      <c r="C21" s="773"/>
      <c r="D21" s="25"/>
      <c r="E21" s="769"/>
      <c r="F21" s="25"/>
      <c r="G21" s="535"/>
      <c r="H21" s="25"/>
      <c r="I21" s="769"/>
      <c r="J21" s="25"/>
      <c r="K21" s="769"/>
      <c r="N21" s="649"/>
      <c r="T21" s="73" t="s">
        <v>109</v>
      </c>
      <c r="W21" s="498" t="s">
        <v>109</v>
      </c>
      <c r="X21" s="73"/>
      <c r="Y21" s="73"/>
      <c r="Z21" s="73"/>
      <c r="AD21" s="66"/>
    </row>
    <row r="22" spans="1:30" x14ac:dyDescent="0.35">
      <c r="A22" s="548"/>
      <c r="B22" s="242">
        <f t="shared" si="0"/>
        <v>20</v>
      </c>
      <c r="C22" s="774"/>
      <c r="D22" s="25"/>
      <c r="E22" s="770"/>
      <c r="F22" s="25"/>
      <c r="G22" s="535"/>
      <c r="H22" s="25"/>
      <c r="I22" s="770"/>
      <c r="J22" s="25"/>
      <c r="K22" s="770"/>
      <c r="N22" s="492"/>
      <c r="T22" s="44"/>
      <c r="W22" s="10"/>
      <c r="X22" s="73"/>
      <c r="Y22" s="73"/>
      <c r="Z22" s="73"/>
      <c r="AD22" s="66"/>
    </row>
    <row r="23" spans="1:30" ht="9.5" customHeight="1" thickBot="1" x14ac:dyDescent="0.4">
      <c r="A23" s="549"/>
      <c r="B23" s="242"/>
      <c r="C23" s="775"/>
      <c r="D23" s="127"/>
      <c r="E23" s="771"/>
      <c r="F23" s="127"/>
      <c r="G23" s="536"/>
      <c r="H23" s="127"/>
      <c r="I23" s="771"/>
      <c r="J23" s="127"/>
      <c r="K23" s="771"/>
      <c r="L23" s="67"/>
      <c r="M23" s="67"/>
      <c r="N23" s="67"/>
      <c r="O23" s="67"/>
      <c r="P23" s="67"/>
      <c r="Q23" s="67"/>
      <c r="R23" s="67"/>
      <c r="S23" s="67"/>
      <c r="T23" s="67"/>
      <c r="U23" s="67"/>
      <c r="V23" s="103"/>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9"/>
      <c r="W24" s="30"/>
      <c r="X24" s="30"/>
      <c r="Y24" s="30"/>
      <c r="Z24" s="30"/>
      <c r="AA24" s="30"/>
      <c r="AB24" s="30"/>
      <c r="AC24" s="30"/>
      <c r="AD24" s="30"/>
    </row>
    <row r="25" spans="1:30" ht="15" customHeight="1" x14ac:dyDescent="0.35">
      <c r="A25" s="547">
        <f>A13+1</f>
        <v>2</v>
      </c>
      <c r="B25" s="13">
        <f>(A25*10)+1</f>
        <v>21</v>
      </c>
      <c r="C25" s="772"/>
      <c r="D25" s="78"/>
      <c r="E25" s="768"/>
      <c r="F25" s="78"/>
      <c r="G25" s="534"/>
      <c r="H25" s="78"/>
      <c r="I25" s="768"/>
      <c r="J25" s="78"/>
      <c r="K25" s="768"/>
      <c r="L25" s="62"/>
      <c r="M25" s="60" t="b">
        <v>0</v>
      </c>
      <c r="N25" s="62" t="s">
        <v>247</v>
      </c>
      <c r="O25" s="62"/>
      <c r="P25" s="62"/>
      <c r="Q25" s="62" t="s">
        <v>248</v>
      </c>
      <c r="R25" s="62"/>
      <c r="S25" s="710"/>
      <c r="T25" s="62" t="s">
        <v>249</v>
      </c>
      <c r="U25" s="62"/>
      <c r="V25" s="710"/>
      <c r="W25" s="62" t="s">
        <v>250</v>
      </c>
      <c r="X25" s="62"/>
      <c r="Y25" s="710"/>
      <c r="Z25" s="62" t="s">
        <v>251</v>
      </c>
      <c r="AA25" s="62"/>
      <c r="AB25" s="710"/>
      <c r="AC25" s="62" t="s">
        <v>252</v>
      </c>
      <c r="AD25" s="71"/>
    </row>
    <row r="26" spans="1:30" ht="15" customHeight="1" x14ac:dyDescent="0.35">
      <c r="A26" s="548"/>
      <c r="B26" s="242">
        <f t="shared" ref="B26:B34" si="1">B25+1</f>
        <v>22</v>
      </c>
      <c r="C26" s="773"/>
      <c r="D26" s="25"/>
      <c r="E26" s="769"/>
      <c r="F26" s="25"/>
      <c r="G26" s="535"/>
      <c r="H26" s="25"/>
      <c r="I26" s="769"/>
      <c r="J26" s="25"/>
      <c r="K26" s="769"/>
      <c r="M26" s="64" t="b">
        <v>0</v>
      </c>
      <c r="N26" t="s">
        <v>253</v>
      </c>
      <c r="Q26" s="495" t="s">
        <v>107</v>
      </c>
      <c r="S26" s="711"/>
      <c r="T26" s="495" t="s">
        <v>107</v>
      </c>
      <c r="V26" s="711"/>
      <c r="W26" s="495" t="s">
        <v>107</v>
      </c>
      <c r="Y26" s="711"/>
      <c r="Z26" s="495" t="s">
        <v>107</v>
      </c>
      <c r="AB26" s="711"/>
      <c r="AC26" s="495" t="s">
        <v>107</v>
      </c>
      <c r="AD26" s="66"/>
    </row>
    <row r="27" spans="1:30" ht="15" customHeight="1" x14ac:dyDescent="0.35">
      <c r="A27" s="548"/>
      <c r="B27" s="242">
        <f t="shared" si="1"/>
        <v>23</v>
      </c>
      <c r="C27" s="773"/>
      <c r="D27" s="25"/>
      <c r="E27" s="769"/>
      <c r="F27" s="25"/>
      <c r="G27" s="535"/>
      <c r="H27" s="25"/>
      <c r="I27" s="769"/>
      <c r="J27" s="25"/>
      <c r="K27" s="769"/>
      <c r="M27" s="64" t="b">
        <v>0</v>
      </c>
      <c r="N27" t="s">
        <v>254</v>
      </c>
      <c r="Q27" s="5"/>
      <c r="T27" s="10"/>
      <c r="W27" s="10"/>
      <c r="Z27" s="10"/>
      <c r="AC27" s="10"/>
      <c r="AD27" s="66"/>
    </row>
    <row r="28" spans="1:30" ht="4" customHeight="1" x14ac:dyDescent="0.35">
      <c r="A28" s="548"/>
      <c r="B28" s="242">
        <f t="shared" si="1"/>
        <v>24</v>
      </c>
      <c r="C28" s="773"/>
      <c r="D28" s="25"/>
      <c r="E28" s="769"/>
      <c r="F28" s="25"/>
      <c r="G28" s="535"/>
      <c r="H28" s="25"/>
      <c r="I28" s="769"/>
      <c r="J28" s="25"/>
      <c r="K28" s="769"/>
      <c r="Q28" s="3"/>
      <c r="AD28" s="66"/>
    </row>
    <row r="29" spans="1:30" ht="15" customHeight="1" x14ac:dyDescent="0.35">
      <c r="A29" s="548"/>
      <c r="B29" s="242">
        <f t="shared" si="1"/>
        <v>25</v>
      </c>
      <c r="C29" s="773"/>
      <c r="D29" s="25"/>
      <c r="E29" s="769"/>
      <c r="F29" s="25"/>
      <c r="G29" s="535"/>
      <c r="H29" s="25"/>
      <c r="I29" s="769"/>
      <c r="J29" s="25"/>
      <c r="K29" s="769"/>
      <c r="M29" s="64" t="b">
        <v>0</v>
      </c>
      <c r="N29" t="s">
        <v>256</v>
      </c>
      <c r="Q29" s="9"/>
      <c r="S29" s="45" t="b">
        <v>0</v>
      </c>
      <c r="T29" s="44" t="s">
        <v>257</v>
      </c>
      <c r="V29" s="121" t="b">
        <v>0</v>
      </c>
      <c r="W29" t="s">
        <v>255</v>
      </c>
      <c r="Y29" s="776" t="b">
        <v>0</v>
      </c>
      <c r="Z29" t="s">
        <v>371</v>
      </c>
      <c r="AD29" s="66"/>
    </row>
    <row r="30" spans="1:30" ht="4" customHeight="1" x14ac:dyDescent="0.35">
      <c r="A30" s="548"/>
      <c r="B30" s="242">
        <f t="shared" si="1"/>
        <v>26</v>
      </c>
      <c r="C30" s="773"/>
      <c r="D30" s="25"/>
      <c r="E30" s="769"/>
      <c r="F30" s="25"/>
      <c r="G30" s="535"/>
      <c r="H30" s="25"/>
      <c r="I30" s="769"/>
      <c r="J30" s="25"/>
      <c r="K30" s="769"/>
      <c r="Q30" s="9"/>
      <c r="T30" s="44"/>
      <c r="Y30" s="776"/>
      <c r="AD30" s="66"/>
    </row>
    <row r="31" spans="1:30" ht="15" customHeight="1" x14ac:dyDescent="0.35">
      <c r="A31" s="548"/>
      <c r="B31" s="242">
        <f t="shared" si="1"/>
        <v>27</v>
      </c>
      <c r="C31" s="773"/>
      <c r="D31" s="25"/>
      <c r="E31" s="769"/>
      <c r="F31" s="25"/>
      <c r="G31" s="535"/>
      <c r="H31" s="25"/>
      <c r="I31" s="769"/>
      <c r="J31" s="25"/>
      <c r="K31" s="769"/>
      <c r="N31" s="73" t="s">
        <v>107</v>
      </c>
      <c r="S31" s="777" t="s">
        <v>258</v>
      </c>
      <c r="T31" s="777"/>
      <c r="V31" s="777" t="s">
        <v>259</v>
      </c>
      <c r="W31" s="777"/>
      <c r="Y31" s="776"/>
      <c r="AD31" s="66"/>
    </row>
    <row r="32" spans="1:30" ht="15" customHeight="1" x14ac:dyDescent="0.35">
      <c r="A32" s="548"/>
      <c r="B32" s="242">
        <f t="shared" si="1"/>
        <v>28</v>
      </c>
      <c r="C32" s="773"/>
      <c r="D32" s="25"/>
      <c r="E32" s="769"/>
      <c r="F32" s="25"/>
      <c r="G32" s="535"/>
      <c r="H32" s="25"/>
      <c r="I32" s="769"/>
      <c r="J32" s="25"/>
      <c r="K32" s="769"/>
      <c r="N32" s="649"/>
      <c r="S32" s="64" t="b">
        <v>0</v>
      </c>
      <c r="T32" t="s">
        <v>260</v>
      </c>
      <c r="W32" t="s">
        <v>261</v>
      </c>
      <c r="AD32" s="66"/>
    </row>
    <row r="33" spans="1:30" ht="15" customHeight="1" x14ac:dyDescent="0.35">
      <c r="A33" s="548"/>
      <c r="B33" s="242">
        <f t="shared" si="1"/>
        <v>29</v>
      </c>
      <c r="C33" s="773"/>
      <c r="D33" s="25"/>
      <c r="E33" s="769"/>
      <c r="F33" s="25"/>
      <c r="G33" s="535"/>
      <c r="H33" s="25"/>
      <c r="I33" s="769"/>
      <c r="J33" s="25"/>
      <c r="K33" s="769"/>
      <c r="N33" s="649"/>
      <c r="T33" s="73" t="s">
        <v>109</v>
      </c>
      <c r="W33" s="498" t="s">
        <v>109</v>
      </c>
      <c r="X33" s="73"/>
      <c r="Y33" s="73"/>
      <c r="Z33" s="73"/>
      <c r="AD33" s="66"/>
    </row>
    <row r="34" spans="1:30" ht="15" customHeight="1" x14ac:dyDescent="0.35">
      <c r="A34" s="548"/>
      <c r="B34" s="242">
        <f t="shared" si="1"/>
        <v>30</v>
      </c>
      <c r="C34" s="774"/>
      <c r="D34" s="25"/>
      <c r="E34" s="770"/>
      <c r="F34" s="25"/>
      <c r="G34" s="535"/>
      <c r="H34" s="25"/>
      <c r="I34" s="770"/>
      <c r="J34" s="25"/>
      <c r="K34" s="770"/>
      <c r="N34" s="492"/>
      <c r="T34" s="44"/>
      <c r="W34" s="10"/>
      <c r="X34" s="73"/>
      <c r="Y34" s="73"/>
      <c r="Z34" s="73"/>
      <c r="AD34" s="66"/>
    </row>
    <row r="35" spans="1:30" ht="8" customHeight="1" thickBot="1" x14ac:dyDescent="0.4">
      <c r="A35" s="549"/>
      <c r="B35" s="242"/>
      <c r="C35" s="775"/>
      <c r="D35" s="127"/>
      <c r="E35" s="771"/>
      <c r="F35" s="127"/>
      <c r="G35" s="536"/>
      <c r="H35" s="127"/>
      <c r="I35" s="771"/>
      <c r="J35" s="127"/>
      <c r="K35" s="771"/>
      <c r="L35" s="67"/>
      <c r="M35" s="67"/>
      <c r="N35" s="67"/>
      <c r="O35" s="67"/>
      <c r="P35" s="67"/>
      <c r="Q35" s="67"/>
      <c r="R35" s="67"/>
      <c r="S35" s="67"/>
      <c r="T35" s="67"/>
      <c r="U35" s="67"/>
      <c r="V35" s="103"/>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9"/>
      <c r="W36" s="30"/>
      <c r="X36" s="30"/>
      <c r="Y36" s="30"/>
      <c r="Z36" s="30"/>
      <c r="AA36" s="30"/>
      <c r="AB36" s="30"/>
      <c r="AC36" s="30"/>
      <c r="AD36" s="30"/>
    </row>
    <row r="37" spans="1:30" ht="15" customHeight="1" x14ac:dyDescent="0.35">
      <c r="A37" s="547">
        <f>A25+1</f>
        <v>3</v>
      </c>
      <c r="B37" s="13">
        <f>(A37*10)+1</f>
        <v>31</v>
      </c>
      <c r="C37" s="772"/>
      <c r="D37" s="78"/>
      <c r="E37" s="768"/>
      <c r="F37" s="78"/>
      <c r="G37" s="534"/>
      <c r="H37" s="78"/>
      <c r="I37" s="768"/>
      <c r="J37" s="78"/>
      <c r="K37" s="768"/>
      <c r="L37" s="62"/>
      <c r="M37" s="60" t="b">
        <v>0</v>
      </c>
      <c r="N37" s="62" t="s">
        <v>247</v>
      </c>
      <c r="O37" s="62"/>
      <c r="P37" s="62"/>
      <c r="Q37" s="62" t="s">
        <v>248</v>
      </c>
      <c r="R37" s="62"/>
      <c r="S37" s="710"/>
      <c r="T37" s="62" t="s">
        <v>249</v>
      </c>
      <c r="U37" s="62"/>
      <c r="V37" s="710"/>
      <c r="W37" s="62" t="s">
        <v>250</v>
      </c>
      <c r="X37" s="62"/>
      <c r="Y37" s="710"/>
      <c r="Z37" s="62" t="s">
        <v>251</v>
      </c>
      <c r="AA37" s="62"/>
      <c r="AB37" s="710"/>
      <c r="AC37" s="62" t="s">
        <v>252</v>
      </c>
      <c r="AD37" s="71"/>
    </row>
    <row r="38" spans="1:30" ht="15" customHeight="1" x14ac:dyDescent="0.35">
      <c r="A38" s="548"/>
      <c r="B38" s="242">
        <f t="shared" ref="B38:B46" si="2">B37+1</f>
        <v>32</v>
      </c>
      <c r="C38" s="773"/>
      <c r="D38" s="25"/>
      <c r="E38" s="769"/>
      <c r="F38" s="25"/>
      <c r="G38" s="535"/>
      <c r="H38" s="25"/>
      <c r="I38" s="769"/>
      <c r="J38" s="25"/>
      <c r="K38" s="769"/>
      <c r="M38" s="64" t="b">
        <v>0</v>
      </c>
      <c r="N38" t="s">
        <v>253</v>
      </c>
      <c r="Q38" s="495" t="s">
        <v>107</v>
      </c>
      <c r="S38" s="711"/>
      <c r="T38" s="495" t="s">
        <v>107</v>
      </c>
      <c r="V38" s="711"/>
      <c r="W38" s="495" t="s">
        <v>107</v>
      </c>
      <c r="Y38" s="711"/>
      <c r="Z38" s="495" t="s">
        <v>107</v>
      </c>
      <c r="AB38" s="711"/>
      <c r="AC38" s="495" t="s">
        <v>107</v>
      </c>
      <c r="AD38" s="66"/>
    </row>
    <row r="39" spans="1:30" ht="15" customHeight="1" x14ac:dyDescent="0.35">
      <c r="A39" s="548"/>
      <c r="B39" s="242">
        <f t="shared" si="2"/>
        <v>33</v>
      </c>
      <c r="C39" s="773"/>
      <c r="D39" s="25"/>
      <c r="E39" s="769"/>
      <c r="F39" s="25"/>
      <c r="G39" s="535"/>
      <c r="H39" s="25"/>
      <c r="I39" s="769"/>
      <c r="J39" s="25"/>
      <c r="K39" s="769"/>
      <c r="M39" s="64" t="b">
        <v>0</v>
      </c>
      <c r="N39" t="s">
        <v>254</v>
      </c>
      <c r="Q39" s="5"/>
      <c r="T39" s="10"/>
      <c r="W39" s="10"/>
      <c r="Z39" s="10"/>
      <c r="AC39" s="10"/>
      <c r="AD39" s="66"/>
    </row>
    <row r="40" spans="1:30" ht="4" customHeight="1" x14ac:dyDescent="0.35">
      <c r="A40" s="548"/>
      <c r="B40" s="242">
        <f t="shared" si="2"/>
        <v>34</v>
      </c>
      <c r="C40" s="773"/>
      <c r="D40" s="25"/>
      <c r="E40" s="769"/>
      <c r="F40" s="25"/>
      <c r="G40" s="535"/>
      <c r="H40" s="25"/>
      <c r="I40" s="769"/>
      <c r="J40" s="25"/>
      <c r="K40" s="769"/>
      <c r="Q40" s="3"/>
      <c r="AD40" s="66"/>
    </row>
    <row r="41" spans="1:30" ht="15" customHeight="1" x14ac:dyDescent="0.35">
      <c r="A41" s="548"/>
      <c r="B41" s="242">
        <f t="shared" si="2"/>
        <v>35</v>
      </c>
      <c r="C41" s="773"/>
      <c r="D41" s="25"/>
      <c r="E41" s="769"/>
      <c r="F41" s="25"/>
      <c r="G41" s="535"/>
      <c r="H41" s="25"/>
      <c r="I41" s="769"/>
      <c r="J41" s="25"/>
      <c r="K41" s="769"/>
      <c r="M41" s="64" t="b">
        <v>0</v>
      </c>
      <c r="N41" t="s">
        <v>256</v>
      </c>
      <c r="Q41" s="9"/>
      <c r="S41" s="45" t="b">
        <v>0</v>
      </c>
      <c r="T41" s="44" t="s">
        <v>257</v>
      </c>
      <c r="V41" s="121" t="b">
        <v>0</v>
      </c>
      <c r="W41" t="s">
        <v>255</v>
      </c>
      <c r="Y41" s="776" t="b">
        <v>0</v>
      </c>
      <c r="Z41" t="s">
        <v>371</v>
      </c>
      <c r="AD41" s="66"/>
    </row>
    <row r="42" spans="1:30" ht="4" customHeight="1" x14ac:dyDescent="0.35">
      <c r="A42" s="548"/>
      <c r="B42" s="242">
        <f t="shared" si="2"/>
        <v>36</v>
      </c>
      <c r="C42" s="773"/>
      <c r="D42" s="25"/>
      <c r="E42" s="769"/>
      <c r="F42" s="25"/>
      <c r="G42" s="535"/>
      <c r="H42" s="25"/>
      <c r="I42" s="769"/>
      <c r="J42" s="25"/>
      <c r="K42" s="769"/>
      <c r="Q42" s="9"/>
      <c r="S42" s="44"/>
      <c r="T42" s="44"/>
      <c r="Y42" s="776"/>
      <c r="AD42" s="66"/>
    </row>
    <row r="43" spans="1:30" ht="15" customHeight="1" x14ac:dyDescent="0.35">
      <c r="A43" s="548"/>
      <c r="B43" s="242">
        <f t="shared" si="2"/>
        <v>37</v>
      </c>
      <c r="C43" s="773"/>
      <c r="D43" s="25"/>
      <c r="E43" s="769"/>
      <c r="F43" s="25"/>
      <c r="G43" s="535"/>
      <c r="H43" s="25"/>
      <c r="I43" s="769"/>
      <c r="J43" s="25"/>
      <c r="K43" s="769"/>
      <c r="N43" s="73" t="s">
        <v>107</v>
      </c>
      <c r="S43" s="777" t="s">
        <v>258</v>
      </c>
      <c r="T43" s="777"/>
      <c r="V43" s="777" t="s">
        <v>259</v>
      </c>
      <c r="W43" s="777"/>
      <c r="Y43" s="776"/>
      <c r="AD43" s="66"/>
    </row>
    <row r="44" spans="1:30" ht="15" customHeight="1" x14ac:dyDescent="0.35">
      <c r="A44" s="548"/>
      <c r="B44" s="242">
        <f t="shared" si="2"/>
        <v>38</v>
      </c>
      <c r="C44" s="773"/>
      <c r="D44" s="25"/>
      <c r="E44" s="769"/>
      <c r="F44" s="25"/>
      <c r="G44" s="535"/>
      <c r="H44" s="25"/>
      <c r="I44" s="769"/>
      <c r="J44" s="25"/>
      <c r="K44" s="769"/>
      <c r="N44" s="649"/>
      <c r="S44" s="64" t="b">
        <v>0</v>
      </c>
      <c r="T44" t="s">
        <v>260</v>
      </c>
      <c r="W44" t="s">
        <v>261</v>
      </c>
      <c r="AD44" s="66"/>
    </row>
    <row r="45" spans="1:30" ht="15" customHeight="1" x14ac:dyDescent="0.35">
      <c r="A45" s="548"/>
      <c r="B45" s="242">
        <f t="shared" si="2"/>
        <v>39</v>
      </c>
      <c r="C45" s="773"/>
      <c r="D45" s="25"/>
      <c r="E45" s="769"/>
      <c r="F45" s="25"/>
      <c r="G45" s="535"/>
      <c r="H45" s="25"/>
      <c r="I45" s="769"/>
      <c r="J45" s="25"/>
      <c r="K45" s="769"/>
      <c r="N45" s="649"/>
      <c r="T45" s="73" t="s">
        <v>109</v>
      </c>
      <c r="W45" s="498" t="s">
        <v>109</v>
      </c>
      <c r="X45" s="73"/>
      <c r="Y45" s="73"/>
      <c r="Z45" s="73"/>
      <c r="AD45" s="66"/>
    </row>
    <row r="46" spans="1:30" ht="15" customHeight="1" x14ac:dyDescent="0.35">
      <c r="A46" s="548"/>
      <c r="B46" s="242">
        <f t="shared" si="2"/>
        <v>40</v>
      </c>
      <c r="C46" s="774"/>
      <c r="D46" s="25"/>
      <c r="E46" s="770"/>
      <c r="F46" s="25"/>
      <c r="G46" s="535"/>
      <c r="H46" s="25"/>
      <c r="I46" s="770"/>
      <c r="J46" s="25"/>
      <c r="K46" s="770"/>
      <c r="N46" s="492"/>
      <c r="T46" s="44"/>
      <c r="W46" s="10"/>
      <c r="X46" s="73"/>
      <c r="Y46" s="73"/>
      <c r="Z46" s="73"/>
      <c r="AD46" s="66"/>
    </row>
    <row r="47" spans="1:30" ht="8" customHeight="1" thickBot="1" x14ac:dyDescent="0.4">
      <c r="A47" s="549"/>
      <c r="B47" s="242"/>
      <c r="C47" s="775"/>
      <c r="D47" s="127"/>
      <c r="E47" s="771"/>
      <c r="F47" s="127"/>
      <c r="G47" s="536"/>
      <c r="H47" s="127"/>
      <c r="I47" s="771"/>
      <c r="J47" s="127"/>
      <c r="K47" s="771"/>
      <c r="L47" s="67"/>
      <c r="M47" s="67"/>
      <c r="N47" s="67"/>
      <c r="O47" s="67"/>
      <c r="P47" s="67"/>
      <c r="Q47" s="67"/>
      <c r="R47" s="67"/>
      <c r="S47" s="67"/>
      <c r="T47" s="67"/>
      <c r="U47" s="67"/>
      <c r="V47" s="103"/>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9"/>
      <c r="W48" s="30"/>
      <c r="X48" s="30"/>
      <c r="Y48" s="30"/>
      <c r="Z48" s="30"/>
      <c r="AA48" s="30"/>
      <c r="AB48" s="30"/>
      <c r="AC48" s="30"/>
      <c r="AD48" s="30"/>
    </row>
    <row r="49" spans="1:30" ht="15" customHeight="1" x14ac:dyDescent="0.35">
      <c r="A49" s="547">
        <f>A37+1</f>
        <v>4</v>
      </c>
      <c r="B49" s="13">
        <f>(A49*10)+1</f>
        <v>41</v>
      </c>
      <c r="C49" s="772"/>
      <c r="D49" s="78"/>
      <c r="E49" s="768"/>
      <c r="F49" s="78"/>
      <c r="G49" s="534"/>
      <c r="H49" s="78"/>
      <c r="I49" s="768"/>
      <c r="J49" s="78"/>
      <c r="K49" s="768"/>
      <c r="L49" s="62"/>
      <c r="M49" s="60" t="b">
        <v>0</v>
      </c>
      <c r="N49" s="62" t="s">
        <v>247</v>
      </c>
      <c r="O49" s="62"/>
      <c r="P49" s="62"/>
      <c r="Q49" s="62" t="s">
        <v>248</v>
      </c>
      <c r="R49" s="62"/>
      <c r="S49" s="710"/>
      <c r="T49" s="62" t="s">
        <v>249</v>
      </c>
      <c r="U49" s="62"/>
      <c r="V49" s="710"/>
      <c r="W49" s="62" t="s">
        <v>250</v>
      </c>
      <c r="X49" s="62"/>
      <c r="Y49" s="710"/>
      <c r="Z49" s="62" t="s">
        <v>251</v>
      </c>
      <c r="AA49" s="62"/>
      <c r="AB49" s="710"/>
      <c r="AC49" s="62" t="s">
        <v>252</v>
      </c>
      <c r="AD49" s="71"/>
    </row>
    <row r="50" spans="1:30" ht="15" customHeight="1" x14ac:dyDescent="0.35">
      <c r="A50" s="548"/>
      <c r="B50" s="242">
        <f t="shared" ref="B50:B58" si="3">B49+1</f>
        <v>42</v>
      </c>
      <c r="C50" s="773"/>
      <c r="D50" s="25"/>
      <c r="E50" s="769"/>
      <c r="F50" s="25"/>
      <c r="G50" s="535"/>
      <c r="H50" s="25"/>
      <c r="I50" s="769"/>
      <c r="J50" s="25"/>
      <c r="K50" s="769"/>
      <c r="M50" s="64" t="b">
        <v>0</v>
      </c>
      <c r="N50" t="s">
        <v>253</v>
      </c>
      <c r="Q50" s="495" t="s">
        <v>107</v>
      </c>
      <c r="S50" s="711"/>
      <c r="T50" s="495" t="s">
        <v>107</v>
      </c>
      <c r="V50" s="711"/>
      <c r="W50" s="495" t="s">
        <v>107</v>
      </c>
      <c r="Y50" s="711"/>
      <c r="Z50" s="495" t="s">
        <v>107</v>
      </c>
      <c r="AB50" s="711"/>
      <c r="AC50" s="495" t="s">
        <v>107</v>
      </c>
      <c r="AD50" s="66"/>
    </row>
    <row r="51" spans="1:30" ht="15" customHeight="1" x14ac:dyDescent="0.35">
      <c r="A51" s="548"/>
      <c r="B51" s="242">
        <f t="shared" si="3"/>
        <v>43</v>
      </c>
      <c r="C51" s="773"/>
      <c r="D51" s="25"/>
      <c r="E51" s="769"/>
      <c r="F51" s="25"/>
      <c r="G51" s="535"/>
      <c r="H51" s="25"/>
      <c r="I51" s="769"/>
      <c r="J51" s="25"/>
      <c r="K51" s="769"/>
      <c r="M51" s="64" t="b">
        <v>0</v>
      </c>
      <c r="N51" t="s">
        <v>254</v>
      </c>
      <c r="Q51" s="5"/>
      <c r="T51" s="10"/>
      <c r="W51" s="10"/>
      <c r="Z51" s="10"/>
      <c r="AC51" s="10"/>
      <c r="AD51" s="66"/>
    </row>
    <row r="52" spans="1:30" ht="4" customHeight="1" x14ac:dyDescent="0.35">
      <c r="A52" s="548"/>
      <c r="B52" s="242">
        <f t="shared" si="3"/>
        <v>44</v>
      </c>
      <c r="C52" s="773"/>
      <c r="D52" s="25"/>
      <c r="E52" s="769"/>
      <c r="F52" s="25"/>
      <c r="G52" s="535"/>
      <c r="H52" s="25"/>
      <c r="I52" s="769"/>
      <c r="J52" s="25"/>
      <c r="K52" s="769"/>
      <c r="Q52" s="3"/>
      <c r="AD52" s="66"/>
    </row>
    <row r="53" spans="1:30" ht="15" customHeight="1" x14ac:dyDescent="0.35">
      <c r="A53" s="548"/>
      <c r="B53" s="242">
        <f t="shared" si="3"/>
        <v>45</v>
      </c>
      <c r="C53" s="773"/>
      <c r="D53" s="25"/>
      <c r="E53" s="769"/>
      <c r="F53" s="25"/>
      <c r="G53" s="535"/>
      <c r="H53" s="25"/>
      <c r="I53" s="769"/>
      <c r="J53" s="25"/>
      <c r="K53" s="769"/>
      <c r="M53" s="64" t="b">
        <v>0</v>
      </c>
      <c r="N53" t="s">
        <v>256</v>
      </c>
      <c r="Q53" s="9"/>
      <c r="S53" s="45" t="b">
        <v>0</v>
      </c>
      <c r="T53" s="44" t="s">
        <v>257</v>
      </c>
      <c r="V53" s="121" t="b">
        <v>0</v>
      </c>
      <c r="W53" t="s">
        <v>255</v>
      </c>
      <c r="Y53" s="776" t="b">
        <v>0</v>
      </c>
      <c r="Z53" t="s">
        <v>371</v>
      </c>
      <c r="AD53" s="66"/>
    </row>
    <row r="54" spans="1:30" ht="4" customHeight="1" x14ac:dyDescent="0.35">
      <c r="A54" s="548"/>
      <c r="B54" s="242">
        <f t="shared" si="3"/>
        <v>46</v>
      </c>
      <c r="C54" s="773"/>
      <c r="D54" s="25"/>
      <c r="E54" s="769"/>
      <c r="F54" s="25"/>
      <c r="G54" s="535"/>
      <c r="H54" s="25"/>
      <c r="I54" s="769"/>
      <c r="J54" s="25"/>
      <c r="K54" s="769"/>
      <c r="Q54" s="9"/>
      <c r="S54" s="44"/>
      <c r="T54" s="44"/>
      <c r="Y54" s="776"/>
      <c r="AD54" s="66"/>
    </row>
    <row r="55" spans="1:30" ht="15" customHeight="1" x14ac:dyDescent="0.35">
      <c r="A55" s="548"/>
      <c r="B55" s="242">
        <f t="shared" si="3"/>
        <v>47</v>
      </c>
      <c r="C55" s="773"/>
      <c r="D55" s="25"/>
      <c r="E55" s="769"/>
      <c r="F55" s="25"/>
      <c r="G55" s="535"/>
      <c r="H55" s="25"/>
      <c r="I55" s="769"/>
      <c r="J55" s="25"/>
      <c r="K55" s="769"/>
      <c r="N55" s="73" t="s">
        <v>107</v>
      </c>
      <c r="S55" s="777" t="s">
        <v>258</v>
      </c>
      <c r="T55" s="777"/>
      <c r="V55" s="777" t="s">
        <v>259</v>
      </c>
      <c r="W55" s="777"/>
      <c r="Y55" s="776"/>
      <c r="AD55" s="66"/>
    </row>
    <row r="56" spans="1:30" ht="15" customHeight="1" x14ac:dyDescent="0.35">
      <c r="A56" s="548"/>
      <c r="B56" s="242">
        <f t="shared" si="3"/>
        <v>48</v>
      </c>
      <c r="C56" s="773"/>
      <c r="D56" s="25"/>
      <c r="E56" s="769"/>
      <c r="F56" s="25"/>
      <c r="G56" s="535"/>
      <c r="H56" s="25"/>
      <c r="I56" s="769"/>
      <c r="J56" s="25"/>
      <c r="K56" s="769"/>
      <c r="N56" s="649"/>
      <c r="S56" s="64" t="b">
        <v>0</v>
      </c>
      <c r="T56" t="s">
        <v>260</v>
      </c>
      <c r="W56" t="s">
        <v>261</v>
      </c>
      <c r="AD56" s="66"/>
    </row>
    <row r="57" spans="1:30" ht="15" customHeight="1" x14ac:dyDescent="0.35">
      <c r="A57" s="548"/>
      <c r="B57" s="242">
        <f t="shared" si="3"/>
        <v>49</v>
      </c>
      <c r="C57" s="773"/>
      <c r="D57" s="25"/>
      <c r="E57" s="769"/>
      <c r="F57" s="25"/>
      <c r="G57" s="535"/>
      <c r="H57" s="25"/>
      <c r="I57" s="769"/>
      <c r="J57" s="25"/>
      <c r="K57" s="769"/>
      <c r="N57" s="649"/>
      <c r="T57" s="73" t="s">
        <v>109</v>
      </c>
      <c r="W57" s="498" t="s">
        <v>109</v>
      </c>
      <c r="X57" s="73"/>
      <c r="Y57" s="73"/>
      <c r="Z57" s="73"/>
      <c r="AD57" s="66"/>
    </row>
    <row r="58" spans="1:30" ht="15" customHeight="1" x14ac:dyDescent="0.35">
      <c r="A58" s="548"/>
      <c r="B58" s="242">
        <f t="shared" si="3"/>
        <v>50</v>
      </c>
      <c r="C58" s="774"/>
      <c r="D58" s="25"/>
      <c r="E58" s="770"/>
      <c r="F58" s="25"/>
      <c r="G58" s="535"/>
      <c r="H58" s="25"/>
      <c r="I58" s="770"/>
      <c r="J58" s="25"/>
      <c r="K58" s="770"/>
      <c r="N58" s="492"/>
      <c r="T58" s="44"/>
      <c r="W58" s="10"/>
      <c r="X58" s="73"/>
      <c r="Y58" s="73"/>
      <c r="Z58" s="73"/>
      <c r="AD58" s="66"/>
    </row>
    <row r="59" spans="1:30" ht="8" customHeight="1" thickBot="1" x14ac:dyDescent="0.4">
      <c r="A59" s="549"/>
      <c r="B59" s="242"/>
      <c r="C59" s="775"/>
      <c r="D59" s="127"/>
      <c r="E59" s="771"/>
      <c r="F59" s="127"/>
      <c r="G59" s="536"/>
      <c r="H59" s="127"/>
      <c r="I59" s="771"/>
      <c r="J59" s="127"/>
      <c r="K59" s="771"/>
      <c r="L59" s="67"/>
      <c r="M59" s="67"/>
      <c r="N59" s="67"/>
      <c r="O59" s="67"/>
      <c r="P59" s="67"/>
      <c r="Q59" s="67"/>
      <c r="R59" s="67"/>
      <c r="S59" s="67"/>
      <c r="T59" s="67"/>
      <c r="U59" s="67"/>
      <c r="V59" s="103"/>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9"/>
      <c r="W60" s="30"/>
      <c r="X60" s="30"/>
      <c r="Y60" s="30"/>
      <c r="Z60" s="30"/>
      <c r="AA60" s="30"/>
      <c r="AB60" s="30"/>
      <c r="AC60" s="30"/>
      <c r="AD60" s="30"/>
    </row>
    <row r="61" spans="1:30" ht="15" customHeight="1" x14ac:dyDescent="0.35">
      <c r="A61" s="547">
        <f>A49+1</f>
        <v>5</v>
      </c>
      <c r="B61" s="13">
        <f>(A61*10)+1</f>
        <v>51</v>
      </c>
      <c r="C61" s="772"/>
      <c r="D61" s="78"/>
      <c r="E61" s="768"/>
      <c r="F61" s="78"/>
      <c r="G61" s="534"/>
      <c r="H61" s="78"/>
      <c r="I61" s="768"/>
      <c r="J61" s="78"/>
      <c r="K61" s="768"/>
      <c r="L61" s="62"/>
      <c r="M61" s="60" t="b">
        <v>0</v>
      </c>
      <c r="N61" s="62" t="s">
        <v>247</v>
      </c>
      <c r="O61" s="62"/>
      <c r="P61" s="62"/>
      <c r="Q61" s="62" t="s">
        <v>248</v>
      </c>
      <c r="R61" s="62"/>
      <c r="S61" s="710"/>
      <c r="T61" s="62" t="s">
        <v>249</v>
      </c>
      <c r="U61" s="62"/>
      <c r="V61" s="710"/>
      <c r="W61" s="62" t="s">
        <v>250</v>
      </c>
      <c r="X61" s="62"/>
      <c r="Y61" s="710"/>
      <c r="Z61" s="62" t="s">
        <v>251</v>
      </c>
      <c r="AA61" s="62"/>
      <c r="AB61" s="710"/>
      <c r="AC61" s="62" t="s">
        <v>252</v>
      </c>
      <c r="AD61" s="71"/>
    </row>
    <row r="62" spans="1:30" ht="15" customHeight="1" x14ac:dyDescent="0.35">
      <c r="A62" s="548"/>
      <c r="B62" s="242">
        <f t="shared" ref="B62:B70" si="4">B61+1</f>
        <v>52</v>
      </c>
      <c r="C62" s="773"/>
      <c r="D62" s="25"/>
      <c r="E62" s="769"/>
      <c r="F62" s="25"/>
      <c r="G62" s="535"/>
      <c r="H62" s="25"/>
      <c r="I62" s="769"/>
      <c r="J62" s="25"/>
      <c r="K62" s="769"/>
      <c r="M62" s="64" t="b">
        <v>0</v>
      </c>
      <c r="N62" t="s">
        <v>253</v>
      </c>
      <c r="Q62" s="495" t="s">
        <v>107</v>
      </c>
      <c r="S62" s="711"/>
      <c r="T62" s="495" t="s">
        <v>107</v>
      </c>
      <c r="V62" s="711"/>
      <c r="W62" s="495" t="s">
        <v>107</v>
      </c>
      <c r="Y62" s="711"/>
      <c r="Z62" s="495" t="s">
        <v>107</v>
      </c>
      <c r="AB62" s="711"/>
      <c r="AC62" s="495" t="s">
        <v>107</v>
      </c>
      <c r="AD62" s="66"/>
    </row>
    <row r="63" spans="1:30" ht="15" customHeight="1" x14ac:dyDescent="0.35">
      <c r="A63" s="548"/>
      <c r="B63" s="242">
        <f t="shared" si="4"/>
        <v>53</v>
      </c>
      <c r="C63" s="773"/>
      <c r="D63" s="25"/>
      <c r="E63" s="769"/>
      <c r="F63" s="25"/>
      <c r="G63" s="535"/>
      <c r="H63" s="25"/>
      <c r="I63" s="769"/>
      <c r="J63" s="25"/>
      <c r="K63" s="769"/>
      <c r="M63" s="64" t="b">
        <v>0</v>
      </c>
      <c r="N63" t="s">
        <v>254</v>
      </c>
      <c r="Q63" s="5"/>
      <c r="T63" s="10"/>
      <c r="W63" s="10"/>
      <c r="Z63" s="10"/>
      <c r="AC63" s="10"/>
      <c r="AD63" s="66"/>
    </row>
    <row r="64" spans="1:30" ht="4" customHeight="1" x14ac:dyDescent="0.35">
      <c r="A64" s="548"/>
      <c r="B64" s="242">
        <f t="shared" si="4"/>
        <v>54</v>
      </c>
      <c r="C64" s="773"/>
      <c r="D64" s="25"/>
      <c r="E64" s="769"/>
      <c r="F64" s="25"/>
      <c r="G64" s="535"/>
      <c r="H64" s="25"/>
      <c r="I64" s="769"/>
      <c r="J64" s="25"/>
      <c r="K64" s="769"/>
      <c r="Q64" s="3"/>
      <c r="AD64" s="66"/>
    </row>
    <row r="65" spans="1:30" ht="15" customHeight="1" x14ac:dyDescent="0.35">
      <c r="A65" s="548"/>
      <c r="B65" s="242">
        <f t="shared" si="4"/>
        <v>55</v>
      </c>
      <c r="C65" s="773"/>
      <c r="D65" s="25"/>
      <c r="E65" s="769"/>
      <c r="F65" s="25"/>
      <c r="G65" s="535"/>
      <c r="H65" s="25"/>
      <c r="I65" s="769"/>
      <c r="J65" s="25"/>
      <c r="K65" s="769"/>
      <c r="M65" s="64" t="b">
        <v>0</v>
      </c>
      <c r="N65" t="s">
        <v>256</v>
      </c>
      <c r="Q65" s="9"/>
      <c r="S65" s="45" t="b">
        <v>0</v>
      </c>
      <c r="T65" s="44" t="s">
        <v>257</v>
      </c>
      <c r="V65" s="121" t="b">
        <v>0</v>
      </c>
      <c r="W65" t="s">
        <v>255</v>
      </c>
      <c r="Y65" s="776" t="b">
        <v>0</v>
      </c>
      <c r="Z65" t="s">
        <v>371</v>
      </c>
      <c r="AD65" s="66"/>
    </row>
    <row r="66" spans="1:30" ht="4" customHeight="1" x14ac:dyDescent="0.35">
      <c r="A66" s="548"/>
      <c r="B66" s="242">
        <f t="shared" si="4"/>
        <v>56</v>
      </c>
      <c r="C66" s="773"/>
      <c r="D66" s="25"/>
      <c r="E66" s="769"/>
      <c r="F66" s="25"/>
      <c r="G66" s="535"/>
      <c r="H66" s="25"/>
      <c r="I66" s="769"/>
      <c r="J66" s="25"/>
      <c r="K66" s="769"/>
      <c r="Q66" s="9"/>
      <c r="S66" s="44"/>
      <c r="T66" s="44"/>
      <c r="Y66" s="776"/>
      <c r="AD66" s="66"/>
    </row>
    <row r="67" spans="1:30" ht="15" customHeight="1" x14ac:dyDescent="0.35">
      <c r="A67" s="548"/>
      <c r="B67" s="242">
        <f t="shared" si="4"/>
        <v>57</v>
      </c>
      <c r="C67" s="773"/>
      <c r="D67" s="25"/>
      <c r="E67" s="769"/>
      <c r="F67" s="25"/>
      <c r="G67" s="535"/>
      <c r="H67" s="25"/>
      <c r="I67" s="769"/>
      <c r="J67" s="25"/>
      <c r="K67" s="769"/>
      <c r="N67" s="73" t="s">
        <v>107</v>
      </c>
      <c r="S67" s="777" t="s">
        <v>258</v>
      </c>
      <c r="T67" s="777"/>
      <c r="V67" s="777" t="s">
        <v>259</v>
      </c>
      <c r="W67" s="777"/>
      <c r="Y67" s="776"/>
      <c r="AD67" s="66"/>
    </row>
    <row r="68" spans="1:30" ht="15" customHeight="1" x14ac:dyDescent="0.35">
      <c r="A68" s="548"/>
      <c r="B68" s="242">
        <f t="shared" si="4"/>
        <v>58</v>
      </c>
      <c r="C68" s="773"/>
      <c r="D68" s="25"/>
      <c r="E68" s="769"/>
      <c r="F68" s="25"/>
      <c r="G68" s="535"/>
      <c r="H68" s="25"/>
      <c r="I68" s="769"/>
      <c r="J68" s="25"/>
      <c r="K68" s="769"/>
      <c r="N68" s="649"/>
      <c r="S68" s="64" t="b">
        <v>0</v>
      </c>
      <c r="T68" t="s">
        <v>260</v>
      </c>
      <c r="W68" t="s">
        <v>261</v>
      </c>
      <c r="AD68" s="66"/>
    </row>
    <row r="69" spans="1:30" ht="15" customHeight="1" x14ac:dyDescent="0.35">
      <c r="A69" s="548"/>
      <c r="B69" s="242">
        <f t="shared" si="4"/>
        <v>59</v>
      </c>
      <c r="C69" s="773"/>
      <c r="D69" s="25"/>
      <c r="E69" s="769"/>
      <c r="F69" s="25"/>
      <c r="G69" s="535"/>
      <c r="H69" s="25"/>
      <c r="I69" s="769"/>
      <c r="J69" s="25"/>
      <c r="K69" s="769"/>
      <c r="N69" s="649"/>
      <c r="T69" s="73" t="s">
        <v>109</v>
      </c>
      <c r="W69" s="498" t="s">
        <v>109</v>
      </c>
      <c r="X69" s="73"/>
      <c r="Y69" s="73"/>
      <c r="Z69" s="73"/>
      <c r="AD69" s="66"/>
    </row>
    <row r="70" spans="1:30" ht="15" customHeight="1" x14ac:dyDescent="0.35">
      <c r="A70" s="548"/>
      <c r="B70" s="242">
        <f t="shared" si="4"/>
        <v>60</v>
      </c>
      <c r="C70" s="774"/>
      <c r="D70" s="25"/>
      <c r="E70" s="770"/>
      <c r="F70" s="25"/>
      <c r="G70" s="535"/>
      <c r="H70" s="25"/>
      <c r="I70" s="770"/>
      <c r="J70" s="25"/>
      <c r="K70" s="770"/>
      <c r="N70" s="492"/>
      <c r="T70" s="44"/>
      <c r="W70" s="10"/>
      <c r="X70" s="73"/>
      <c r="Y70" s="73"/>
      <c r="Z70" s="73"/>
      <c r="AD70" s="66"/>
    </row>
    <row r="71" spans="1:30" ht="8" customHeight="1" thickBot="1" x14ac:dyDescent="0.4">
      <c r="A71" s="549"/>
      <c r="B71" s="242"/>
      <c r="C71" s="775"/>
      <c r="D71" s="127"/>
      <c r="E71" s="771"/>
      <c r="F71" s="127"/>
      <c r="G71" s="536"/>
      <c r="H71" s="127"/>
      <c r="I71" s="771"/>
      <c r="J71" s="127"/>
      <c r="K71" s="771"/>
      <c r="L71" s="67"/>
      <c r="M71" s="67"/>
      <c r="N71" s="67"/>
      <c r="O71" s="67"/>
      <c r="P71" s="67"/>
      <c r="Q71" s="67"/>
      <c r="R71" s="67"/>
      <c r="S71" s="67"/>
      <c r="T71" s="67"/>
      <c r="U71" s="67"/>
      <c r="V71" s="103"/>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9"/>
      <c r="W72" s="30"/>
      <c r="X72" s="30"/>
      <c r="Y72" s="30"/>
      <c r="Z72" s="30"/>
      <c r="AA72" s="30"/>
      <c r="AB72" s="30"/>
      <c r="AC72" s="30"/>
      <c r="AD72" s="30"/>
    </row>
    <row r="73" spans="1:30" ht="15" customHeight="1" x14ac:dyDescent="0.35">
      <c r="A73" s="547">
        <f>A61+1</f>
        <v>6</v>
      </c>
      <c r="B73" s="13">
        <f>(A73*10)+1</f>
        <v>61</v>
      </c>
      <c r="C73" s="772"/>
      <c r="D73" s="78"/>
      <c r="E73" s="768"/>
      <c r="F73" s="78"/>
      <c r="G73" s="534"/>
      <c r="H73" s="78"/>
      <c r="I73" s="768"/>
      <c r="J73" s="78"/>
      <c r="K73" s="768"/>
      <c r="L73" s="62"/>
      <c r="M73" s="60" t="b">
        <v>0</v>
      </c>
      <c r="N73" s="62" t="s">
        <v>247</v>
      </c>
      <c r="O73" s="62"/>
      <c r="P73" s="62"/>
      <c r="Q73" s="62" t="s">
        <v>248</v>
      </c>
      <c r="R73" s="62"/>
      <c r="S73" s="710"/>
      <c r="T73" s="62" t="s">
        <v>249</v>
      </c>
      <c r="U73" s="62"/>
      <c r="V73" s="710"/>
      <c r="W73" s="62" t="s">
        <v>250</v>
      </c>
      <c r="X73" s="62"/>
      <c r="Y73" s="710"/>
      <c r="Z73" s="62" t="s">
        <v>251</v>
      </c>
      <c r="AA73" s="62"/>
      <c r="AB73" s="710"/>
      <c r="AC73" s="62" t="s">
        <v>252</v>
      </c>
      <c r="AD73" s="71"/>
    </row>
    <row r="74" spans="1:30" ht="15" customHeight="1" x14ac:dyDescent="0.35">
      <c r="A74" s="548"/>
      <c r="B74" s="242">
        <f t="shared" ref="B74:B82" si="5">B73+1</f>
        <v>62</v>
      </c>
      <c r="C74" s="773"/>
      <c r="D74" s="25"/>
      <c r="E74" s="769"/>
      <c r="F74" s="25"/>
      <c r="G74" s="535"/>
      <c r="H74" s="25"/>
      <c r="I74" s="769"/>
      <c r="J74" s="25"/>
      <c r="K74" s="769"/>
      <c r="M74" s="64" t="b">
        <v>0</v>
      </c>
      <c r="N74" t="s">
        <v>253</v>
      </c>
      <c r="Q74" s="495" t="s">
        <v>107</v>
      </c>
      <c r="S74" s="711"/>
      <c r="T74" s="495" t="s">
        <v>107</v>
      </c>
      <c r="V74" s="711"/>
      <c r="W74" s="495" t="s">
        <v>107</v>
      </c>
      <c r="Y74" s="711"/>
      <c r="Z74" s="495" t="s">
        <v>107</v>
      </c>
      <c r="AB74" s="711"/>
      <c r="AC74" s="495" t="s">
        <v>107</v>
      </c>
      <c r="AD74" s="66"/>
    </row>
    <row r="75" spans="1:30" ht="15" customHeight="1" x14ac:dyDescent="0.35">
      <c r="A75" s="548"/>
      <c r="B75" s="242">
        <f t="shared" si="5"/>
        <v>63</v>
      </c>
      <c r="C75" s="773"/>
      <c r="D75" s="25"/>
      <c r="E75" s="769"/>
      <c r="F75" s="25"/>
      <c r="G75" s="535"/>
      <c r="H75" s="25"/>
      <c r="I75" s="769"/>
      <c r="J75" s="25"/>
      <c r="K75" s="769"/>
      <c r="M75" s="64" t="b">
        <v>0</v>
      </c>
      <c r="N75" t="s">
        <v>254</v>
      </c>
      <c r="Q75" s="5"/>
      <c r="T75" s="10"/>
      <c r="W75" s="10"/>
      <c r="Z75" s="10"/>
      <c r="AC75" s="10"/>
      <c r="AD75" s="66"/>
    </row>
    <row r="76" spans="1:30" ht="4" customHeight="1" x14ac:dyDescent="0.35">
      <c r="A76" s="548"/>
      <c r="B76" s="242">
        <f t="shared" si="5"/>
        <v>64</v>
      </c>
      <c r="C76" s="773"/>
      <c r="D76" s="25"/>
      <c r="E76" s="769"/>
      <c r="F76" s="25"/>
      <c r="G76" s="535"/>
      <c r="H76" s="25"/>
      <c r="I76" s="769"/>
      <c r="J76" s="25"/>
      <c r="K76" s="769"/>
      <c r="Q76" s="3"/>
      <c r="AD76" s="66"/>
    </row>
    <row r="77" spans="1:30" ht="15" customHeight="1" x14ac:dyDescent="0.35">
      <c r="A77" s="548"/>
      <c r="B77" s="242">
        <f t="shared" si="5"/>
        <v>65</v>
      </c>
      <c r="C77" s="773"/>
      <c r="D77" s="25"/>
      <c r="E77" s="769"/>
      <c r="F77" s="25"/>
      <c r="G77" s="535"/>
      <c r="H77" s="25"/>
      <c r="I77" s="769"/>
      <c r="J77" s="25"/>
      <c r="K77" s="769"/>
      <c r="M77" s="64" t="b">
        <v>0</v>
      </c>
      <c r="N77" t="s">
        <v>256</v>
      </c>
      <c r="Q77" s="9"/>
      <c r="S77" s="45" t="b">
        <v>0</v>
      </c>
      <c r="T77" s="44" t="s">
        <v>257</v>
      </c>
      <c r="V77" s="121" t="b">
        <v>0</v>
      </c>
      <c r="W77" t="s">
        <v>255</v>
      </c>
      <c r="Y77" s="776" t="b">
        <v>0</v>
      </c>
      <c r="Z77" t="s">
        <v>371</v>
      </c>
      <c r="AD77" s="66"/>
    </row>
    <row r="78" spans="1:30" ht="4" customHeight="1" x14ac:dyDescent="0.35">
      <c r="A78" s="548"/>
      <c r="B78" s="242">
        <f t="shared" si="5"/>
        <v>66</v>
      </c>
      <c r="C78" s="773"/>
      <c r="D78" s="25"/>
      <c r="E78" s="769"/>
      <c r="F78" s="25"/>
      <c r="G78" s="535"/>
      <c r="H78" s="25"/>
      <c r="I78" s="769"/>
      <c r="J78" s="25"/>
      <c r="K78" s="769"/>
      <c r="Q78" s="9"/>
      <c r="S78" s="44"/>
      <c r="T78" s="44"/>
      <c r="Y78" s="776"/>
      <c r="AD78" s="66"/>
    </row>
    <row r="79" spans="1:30" ht="15" customHeight="1" x14ac:dyDescent="0.35">
      <c r="A79" s="548"/>
      <c r="B79" s="242">
        <f t="shared" si="5"/>
        <v>67</v>
      </c>
      <c r="C79" s="773"/>
      <c r="D79" s="25"/>
      <c r="E79" s="769"/>
      <c r="F79" s="25"/>
      <c r="G79" s="535"/>
      <c r="H79" s="25"/>
      <c r="I79" s="769"/>
      <c r="J79" s="25"/>
      <c r="K79" s="769"/>
      <c r="N79" s="73" t="s">
        <v>107</v>
      </c>
      <c r="S79" s="777" t="s">
        <v>258</v>
      </c>
      <c r="T79" s="777"/>
      <c r="V79" s="777" t="s">
        <v>259</v>
      </c>
      <c r="W79" s="777"/>
      <c r="Y79" s="776"/>
      <c r="AD79" s="66"/>
    </row>
    <row r="80" spans="1:30" ht="15" customHeight="1" x14ac:dyDescent="0.35">
      <c r="A80" s="548"/>
      <c r="B80" s="242">
        <f t="shared" si="5"/>
        <v>68</v>
      </c>
      <c r="C80" s="773"/>
      <c r="D80" s="25"/>
      <c r="E80" s="769"/>
      <c r="F80" s="25"/>
      <c r="G80" s="535"/>
      <c r="H80" s="25"/>
      <c r="I80" s="769"/>
      <c r="J80" s="25"/>
      <c r="K80" s="769"/>
      <c r="N80" s="649"/>
      <c r="S80" s="64" t="b">
        <v>0</v>
      </c>
      <c r="T80" t="s">
        <v>260</v>
      </c>
      <c r="W80" t="s">
        <v>261</v>
      </c>
      <c r="AD80" s="66"/>
    </row>
    <row r="81" spans="1:30" ht="15" customHeight="1" x14ac:dyDescent="0.35">
      <c r="A81" s="548"/>
      <c r="B81" s="242">
        <f t="shared" si="5"/>
        <v>69</v>
      </c>
      <c r="C81" s="773"/>
      <c r="D81" s="25"/>
      <c r="E81" s="769"/>
      <c r="F81" s="25"/>
      <c r="G81" s="535"/>
      <c r="H81" s="25"/>
      <c r="I81" s="769"/>
      <c r="J81" s="25"/>
      <c r="K81" s="769"/>
      <c r="N81" s="649"/>
      <c r="T81" s="73" t="s">
        <v>109</v>
      </c>
      <c r="W81" s="498" t="s">
        <v>109</v>
      </c>
      <c r="X81" s="73"/>
      <c r="Y81" s="73"/>
      <c r="Z81" s="73"/>
      <c r="AD81" s="66"/>
    </row>
    <row r="82" spans="1:30" ht="15" customHeight="1" x14ac:dyDescent="0.35">
      <c r="A82" s="548"/>
      <c r="B82" s="242">
        <f t="shared" si="5"/>
        <v>70</v>
      </c>
      <c r="C82" s="774"/>
      <c r="D82" s="25"/>
      <c r="E82" s="770"/>
      <c r="F82" s="25"/>
      <c r="G82" s="535"/>
      <c r="H82" s="25"/>
      <c r="I82" s="770"/>
      <c r="J82" s="25"/>
      <c r="K82" s="770"/>
      <c r="N82" s="492"/>
      <c r="T82" s="44"/>
      <c r="W82" s="10"/>
      <c r="X82" s="73"/>
      <c r="Y82" s="73"/>
      <c r="Z82" s="73"/>
      <c r="AD82" s="66"/>
    </row>
    <row r="83" spans="1:30" ht="8" customHeight="1" thickBot="1" x14ac:dyDescent="0.4">
      <c r="A83" s="549"/>
      <c r="B83" s="242"/>
      <c r="C83" s="775"/>
      <c r="D83" s="127"/>
      <c r="E83" s="771"/>
      <c r="F83" s="127"/>
      <c r="G83" s="536"/>
      <c r="H83" s="127"/>
      <c r="I83" s="771"/>
      <c r="J83" s="127"/>
      <c r="K83" s="771"/>
      <c r="L83" s="67"/>
      <c r="M83" s="67"/>
      <c r="N83" s="67"/>
      <c r="O83" s="67"/>
      <c r="P83" s="67"/>
      <c r="Q83" s="67"/>
      <c r="R83" s="67"/>
      <c r="S83" s="67"/>
      <c r="T83" s="67"/>
      <c r="U83" s="67"/>
      <c r="V83" s="103"/>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9"/>
      <c r="W84" s="30"/>
      <c r="X84" s="30"/>
      <c r="Y84" s="30"/>
      <c r="Z84" s="30"/>
      <c r="AA84" s="30"/>
      <c r="AB84" s="30"/>
      <c r="AC84" s="30"/>
      <c r="AD84" s="30"/>
    </row>
    <row r="85" spans="1:30" ht="15" customHeight="1" x14ac:dyDescent="0.35">
      <c r="A85" s="547">
        <f>A73+1</f>
        <v>7</v>
      </c>
      <c r="B85" s="13">
        <f>(A85*10)+1</f>
        <v>71</v>
      </c>
      <c r="C85" s="772"/>
      <c r="D85" s="78"/>
      <c r="E85" s="768"/>
      <c r="F85" s="78"/>
      <c r="G85" s="534"/>
      <c r="H85" s="78"/>
      <c r="I85" s="768"/>
      <c r="J85" s="78"/>
      <c r="K85" s="768"/>
      <c r="L85" s="62"/>
      <c r="M85" s="60" t="b">
        <v>0</v>
      </c>
      <c r="N85" s="62" t="s">
        <v>247</v>
      </c>
      <c r="O85" s="62"/>
      <c r="P85" s="62"/>
      <c r="Q85" s="62" t="s">
        <v>248</v>
      </c>
      <c r="R85" s="62"/>
      <c r="S85" s="710"/>
      <c r="T85" s="62" t="s">
        <v>249</v>
      </c>
      <c r="U85" s="62"/>
      <c r="V85" s="710"/>
      <c r="W85" s="62" t="s">
        <v>250</v>
      </c>
      <c r="X85" s="62"/>
      <c r="Y85" s="710"/>
      <c r="Z85" s="62" t="s">
        <v>251</v>
      </c>
      <c r="AA85" s="62"/>
      <c r="AB85" s="710"/>
      <c r="AC85" s="62" t="s">
        <v>252</v>
      </c>
      <c r="AD85" s="71"/>
    </row>
    <row r="86" spans="1:30" ht="15" customHeight="1" x14ac:dyDescent="0.35">
      <c r="A86" s="548"/>
      <c r="B86" s="242">
        <f t="shared" ref="B86:B94" si="6">B85+1</f>
        <v>72</v>
      </c>
      <c r="C86" s="773"/>
      <c r="D86" s="25"/>
      <c r="E86" s="769"/>
      <c r="F86" s="25"/>
      <c r="G86" s="535"/>
      <c r="H86" s="25"/>
      <c r="I86" s="769"/>
      <c r="J86" s="25"/>
      <c r="K86" s="769"/>
      <c r="M86" s="64" t="b">
        <v>0</v>
      </c>
      <c r="N86" t="s">
        <v>253</v>
      </c>
      <c r="Q86" s="495" t="s">
        <v>107</v>
      </c>
      <c r="S86" s="711"/>
      <c r="T86" s="495" t="s">
        <v>107</v>
      </c>
      <c r="V86" s="711"/>
      <c r="W86" s="495" t="s">
        <v>107</v>
      </c>
      <c r="Y86" s="711"/>
      <c r="Z86" s="495" t="s">
        <v>107</v>
      </c>
      <c r="AB86" s="711"/>
      <c r="AC86" s="495" t="s">
        <v>107</v>
      </c>
      <c r="AD86" s="66"/>
    </row>
    <row r="87" spans="1:30" ht="15" customHeight="1" x14ac:dyDescent="0.35">
      <c r="A87" s="548"/>
      <c r="B87" s="242">
        <f t="shared" si="6"/>
        <v>73</v>
      </c>
      <c r="C87" s="773"/>
      <c r="D87" s="25"/>
      <c r="E87" s="769"/>
      <c r="F87" s="25"/>
      <c r="G87" s="535"/>
      <c r="H87" s="25"/>
      <c r="I87" s="769"/>
      <c r="J87" s="25"/>
      <c r="K87" s="769"/>
      <c r="M87" s="64" t="b">
        <v>0</v>
      </c>
      <c r="N87" t="s">
        <v>254</v>
      </c>
      <c r="Q87" s="5"/>
      <c r="T87" s="10"/>
      <c r="W87" s="10"/>
      <c r="Z87" s="10"/>
      <c r="AC87" s="10"/>
      <c r="AD87" s="66"/>
    </row>
    <row r="88" spans="1:30" ht="4" customHeight="1" x14ac:dyDescent="0.35">
      <c r="A88" s="548"/>
      <c r="B88" s="242">
        <f t="shared" si="6"/>
        <v>74</v>
      </c>
      <c r="C88" s="773"/>
      <c r="D88" s="25"/>
      <c r="E88" s="769"/>
      <c r="F88" s="25"/>
      <c r="G88" s="535"/>
      <c r="H88" s="25"/>
      <c r="I88" s="769"/>
      <c r="J88" s="25"/>
      <c r="K88" s="769"/>
      <c r="Q88" s="3"/>
      <c r="AD88" s="66"/>
    </row>
    <row r="89" spans="1:30" ht="15" customHeight="1" x14ac:dyDescent="0.35">
      <c r="A89" s="548"/>
      <c r="B89" s="242">
        <f t="shared" si="6"/>
        <v>75</v>
      </c>
      <c r="C89" s="773"/>
      <c r="D89" s="25"/>
      <c r="E89" s="769"/>
      <c r="F89" s="25"/>
      <c r="G89" s="535"/>
      <c r="H89" s="25"/>
      <c r="I89" s="769"/>
      <c r="J89" s="25"/>
      <c r="K89" s="769"/>
      <c r="M89" s="64" t="b">
        <v>0</v>
      </c>
      <c r="N89" t="s">
        <v>256</v>
      </c>
      <c r="Q89" s="9"/>
      <c r="S89" s="45" t="b">
        <v>0</v>
      </c>
      <c r="T89" s="44" t="s">
        <v>257</v>
      </c>
      <c r="V89" s="121" t="b">
        <v>0</v>
      </c>
      <c r="W89" t="s">
        <v>255</v>
      </c>
      <c r="Y89" s="776" t="b">
        <v>0</v>
      </c>
      <c r="Z89" t="s">
        <v>371</v>
      </c>
      <c r="AD89" s="66"/>
    </row>
    <row r="90" spans="1:30" ht="4" customHeight="1" x14ac:dyDescent="0.35">
      <c r="A90" s="548"/>
      <c r="B90" s="242">
        <f t="shared" si="6"/>
        <v>76</v>
      </c>
      <c r="C90" s="773"/>
      <c r="D90" s="25"/>
      <c r="E90" s="769"/>
      <c r="F90" s="25"/>
      <c r="G90" s="535"/>
      <c r="H90" s="25"/>
      <c r="I90" s="769"/>
      <c r="J90" s="25"/>
      <c r="K90" s="769"/>
      <c r="Q90" s="9"/>
      <c r="S90" s="44"/>
      <c r="T90" s="44"/>
      <c r="Y90" s="776"/>
      <c r="AD90" s="66"/>
    </row>
    <row r="91" spans="1:30" ht="15" customHeight="1" x14ac:dyDescent="0.35">
      <c r="A91" s="548"/>
      <c r="B91" s="242">
        <f t="shared" si="6"/>
        <v>77</v>
      </c>
      <c r="C91" s="773"/>
      <c r="D91" s="25"/>
      <c r="E91" s="769"/>
      <c r="F91" s="25"/>
      <c r="G91" s="535"/>
      <c r="H91" s="25"/>
      <c r="I91" s="769"/>
      <c r="J91" s="25"/>
      <c r="K91" s="769"/>
      <c r="N91" s="73" t="s">
        <v>107</v>
      </c>
      <c r="S91" s="777" t="s">
        <v>258</v>
      </c>
      <c r="T91" s="777"/>
      <c r="V91" s="777" t="s">
        <v>259</v>
      </c>
      <c r="W91" s="777"/>
      <c r="Y91" s="776"/>
      <c r="AD91" s="66"/>
    </row>
    <row r="92" spans="1:30" ht="15" customHeight="1" x14ac:dyDescent="0.35">
      <c r="A92" s="548"/>
      <c r="B92" s="242">
        <f t="shared" si="6"/>
        <v>78</v>
      </c>
      <c r="C92" s="773"/>
      <c r="D92" s="25"/>
      <c r="E92" s="769"/>
      <c r="F92" s="25"/>
      <c r="G92" s="535"/>
      <c r="H92" s="25"/>
      <c r="I92" s="769"/>
      <c r="J92" s="25"/>
      <c r="K92" s="769"/>
      <c r="N92" s="649"/>
      <c r="S92" s="64" t="b">
        <v>0</v>
      </c>
      <c r="T92" t="s">
        <v>260</v>
      </c>
      <c r="W92" t="s">
        <v>261</v>
      </c>
      <c r="AD92" s="66"/>
    </row>
    <row r="93" spans="1:30" ht="15" customHeight="1" x14ac:dyDescent="0.35">
      <c r="A93" s="548"/>
      <c r="B93" s="242">
        <f t="shared" si="6"/>
        <v>79</v>
      </c>
      <c r="C93" s="773"/>
      <c r="D93" s="25"/>
      <c r="E93" s="769"/>
      <c r="F93" s="25"/>
      <c r="G93" s="535"/>
      <c r="H93" s="25"/>
      <c r="I93" s="769"/>
      <c r="J93" s="25"/>
      <c r="K93" s="769"/>
      <c r="N93" s="649"/>
      <c r="T93" s="73" t="s">
        <v>109</v>
      </c>
      <c r="W93" s="498" t="s">
        <v>109</v>
      </c>
      <c r="X93" s="73"/>
      <c r="Y93" s="73"/>
      <c r="Z93" s="73"/>
      <c r="AD93" s="66"/>
    </row>
    <row r="94" spans="1:30" ht="15" customHeight="1" x14ac:dyDescent="0.35">
      <c r="A94" s="548"/>
      <c r="B94" s="242">
        <f t="shared" si="6"/>
        <v>80</v>
      </c>
      <c r="C94" s="774"/>
      <c r="D94" s="25"/>
      <c r="E94" s="770"/>
      <c r="F94" s="25"/>
      <c r="G94" s="535"/>
      <c r="H94" s="25"/>
      <c r="I94" s="770"/>
      <c r="J94" s="25"/>
      <c r="K94" s="770"/>
      <c r="N94" s="492"/>
      <c r="T94" s="44"/>
      <c r="W94" s="10"/>
      <c r="X94" s="73"/>
      <c r="Y94" s="73"/>
      <c r="Z94" s="73"/>
      <c r="AD94" s="66"/>
    </row>
    <row r="95" spans="1:30" ht="8" customHeight="1" thickBot="1" x14ac:dyDescent="0.4">
      <c r="A95" s="549"/>
      <c r="B95" s="242"/>
      <c r="C95" s="775"/>
      <c r="D95" s="127"/>
      <c r="E95" s="771"/>
      <c r="F95" s="127"/>
      <c r="G95" s="536"/>
      <c r="H95" s="127"/>
      <c r="I95" s="771"/>
      <c r="J95" s="127"/>
      <c r="K95" s="771"/>
      <c r="L95" s="67"/>
      <c r="M95" s="67"/>
      <c r="N95" s="67"/>
      <c r="O95" s="67"/>
      <c r="P95" s="67"/>
      <c r="Q95" s="67"/>
      <c r="R95" s="67"/>
      <c r="S95" s="67"/>
      <c r="T95" s="67"/>
      <c r="U95" s="67"/>
      <c r="V95" s="103"/>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9"/>
      <c r="W96" s="30"/>
      <c r="X96" s="30"/>
      <c r="Y96" s="30"/>
      <c r="Z96" s="30"/>
      <c r="AA96" s="30"/>
      <c r="AB96" s="30"/>
      <c r="AC96" s="30"/>
      <c r="AD96" s="30"/>
    </row>
    <row r="97" spans="1:30" ht="15" customHeight="1" x14ac:dyDescent="0.35">
      <c r="A97" s="547">
        <f>A85+1</f>
        <v>8</v>
      </c>
      <c r="B97" s="13">
        <f>(A97*10)+1</f>
        <v>81</v>
      </c>
      <c r="C97" s="772"/>
      <c r="D97" s="78"/>
      <c r="E97" s="768"/>
      <c r="F97" s="78"/>
      <c r="G97" s="534"/>
      <c r="H97" s="78"/>
      <c r="I97" s="768"/>
      <c r="J97" s="78"/>
      <c r="K97" s="768"/>
      <c r="L97" s="62"/>
      <c r="M97" s="60" t="b">
        <v>0</v>
      </c>
      <c r="N97" s="62" t="s">
        <v>247</v>
      </c>
      <c r="O97" s="62"/>
      <c r="P97" s="62"/>
      <c r="Q97" s="62" t="s">
        <v>248</v>
      </c>
      <c r="R97" s="62"/>
      <c r="S97" s="710"/>
      <c r="T97" s="62" t="s">
        <v>249</v>
      </c>
      <c r="U97" s="62"/>
      <c r="V97" s="710"/>
      <c r="W97" s="62" t="s">
        <v>250</v>
      </c>
      <c r="X97" s="62"/>
      <c r="Y97" s="710"/>
      <c r="Z97" s="62" t="s">
        <v>251</v>
      </c>
      <c r="AA97" s="62"/>
      <c r="AB97" s="710"/>
      <c r="AC97" s="62" t="s">
        <v>252</v>
      </c>
      <c r="AD97" s="71"/>
    </row>
    <row r="98" spans="1:30" ht="15" customHeight="1" x14ac:dyDescent="0.35">
      <c r="A98" s="548"/>
      <c r="B98" s="242">
        <f t="shared" ref="B98:B106" si="7">B97+1</f>
        <v>82</v>
      </c>
      <c r="C98" s="773"/>
      <c r="D98" s="25"/>
      <c r="E98" s="769"/>
      <c r="F98" s="25"/>
      <c r="G98" s="535"/>
      <c r="H98" s="25"/>
      <c r="I98" s="769"/>
      <c r="J98" s="25"/>
      <c r="K98" s="769"/>
      <c r="M98" s="64" t="b">
        <v>0</v>
      </c>
      <c r="N98" t="s">
        <v>253</v>
      </c>
      <c r="Q98" s="495" t="s">
        <v>107</v>
      </c>
      <c r="S98" s="711"/>
      <c r="T98" s="495" t="s">
        <v>107</v>
      </c>
      <c r="V98" s="711"/>
      <c r="W98" s="495" t="s">
        <v>107</v>
      </c>
      <c r="Y98" s="711"/>
      <c r="Z98" s="495" t="s">
        <v>107</v>
      </c>
      <c r="AB98" s="711"/>
      <c r="AC98" s="495" t="s">
        <v>107</v>
      </c>
      <c r="AD98" s="66"/>
    </row>
    <row r="99" spans="1:30" ht="15" customHeight="1" x14ac:dyDescent="0.35">
      <c r="A99" s="548"/>
      <c r="B99" s="242">
        <f t="shared" si="7"/>
        <v>83</v>
      </c>
      <c r="C99" s="773"/>
      <c r="D99" s="25"/>
      <c r="E99" s="769"/>
      <c r="F99" s="25"/>
      <c r="G99" s="535"/>
      <c r="H99" s="25"/>
      <c r="I99" s="769"/>
      <c r="J99" s="25"/>
      <c r="K99" s="769"/>
      <c r="M99" s="64" t="b">
        <v>0</v>
      </c>
      <c r="N99" t="s">
        <v>254</v>
      </c>
      <c r="Q99" s="5"/>
      <c r="T99" s="10"/>
      <c r="W99" s="10"/>
      <c r="Z99" s="10"/>
      <c r="AC99" s="10"/>
      <c r="AD99" s="66"/>
    </row>
    <row r="100" spans="1:30" ht="4" customHeight="1" x14ac:dyDescent="0.35">
      <c r="A100" s="548"/>
      <c r="B100" s="242">
        <f t="shared" si="7"/>
        <v>84</v>
      </c>
      <c r="C100" s="773"/>
      <c r="D100" s="25"/>
      <c r="E100" s="769"/>
      <c r="F100" s="25"/>
      <c r="G100" s="535"/>
      <c r="H100" s="25"/>
      <c r="I100" s="769"/>
      <c r="J100" s="25"/>
      <c r="K100" s="769"/>
      <c r="Q100" s="3"/>
      <c r="AD100" s="66"/>
    </row>
    <row r="101" spans="1:30" ht="15" customHeight="1" x14ac:dyDescent="0.35">
      <c r="A101" s="548"/>
      <c r="B101" s="242">
        <f t="shared" si="7"/>
        <v>85</v>
      </c>
      <c r="C101" s="773"/>
      <c r="D101" s="25"/>
      <c r="E101" s="769"/>
      <c r="F101" s="25"/>
      <c r="G101" s="535"/>
      <c r="H101" s="25"/>
      <c r="I101" s="769"/>
      <c r="J101" s="25"/>
      <c r="K101" s="769"/>
      <c r="M101" s="64" t="b">
        <v>0</v>
      </c>
      <c r="N101" t="s">
        <v>256</v>
      </c>
      <c r="Q101" s="9"/>
      <c r="S101" s="45" t="b">
        <v>0</v>
      </c>
      <c r="T101" s="44" t="s">
        <v>257</v>
      </c>
      <c r="V101" s="121" t="b">
        <v>0</v>
      </c>
      <c r="W101" t="s">
        <v>255</v>
      </c>
      <c r="Y101" s="776" t="b">
        <v>0</v>
      </c>
      <c r="Z101" t="s">
        <v>371</v>
      </c>
      <c r="AD101" s="66"/>
    </row>
    <row r="102" spans="1:30" ht="4" customHeight="1" x14ac:dyDescent="0.35">
      <c r="A102" s="548"/>
      <c r="B102" s="242">
        <f t="shared" si="7"/>
        <v>86</v>
      </c>
      <c r="C102" s="773"/>
      <c r="D102" s="25"/>
      <c r="E102" s="769"/>
      <c r="F102" s="25"/>
      <c r="G102" s="535"/>
      <c r="H102" s="25"/>
      <c r="I102" s="769"/>
      <c r="J102" s="25"/>
      <c r="K102" s="769"/>
      <c r="Q102" s="9"/>
      <c r="S102" s="44"/>
      <c r="T102" s="44"/>
      <c r="Y102" s="776"/>
      <c r="AD102" s="66"/>
    </row>
    <row r="103" spans="1:30" ht="15" customHeight="1" x14ac:dyDescent="0.35">
      <c r="A103" s="548"/>
      <c r="B103" s="242">
        <f t="shared" si="7"/>
        <v>87</v>
      </c>
      <c r="C103" s="773"/>
      <c r="D103" s="25"/>
      <c r="E103" s="769"/>
      <c r="F103" s="25"/>
      <c r="G103" s="535"/>
      <c r="H103" s="25"/>
      <c r="I103" s="769"/>
      <c r="J103" s="25"/>
      <c r="K103" s="769"/>
      <c r="N103" s="73" t="s">
        <v>107</v>
      </c>
      <c r="S103" s="777" t="s">
        <v>258</v>
      </c>
      <c r="T103" s="777"/>
      <c r="V103" s="777" t="s">
        <v>259</v>
      </c>
      <c r="W103" s="777"/>
      <c r="Y103" s="776"/>
      <c r="AD103" s="66"/>
    </row>
    <row r="104" spans="1:30" ht="15" customHeight="1" x14ac:dyDescent="0.35">
      <c r="A104" s="548"/>
      <c r="B104" s="242">
        <f t="shared" si="7"/>
        <v>88</v>
      </c>
      <c r="C104" s="773"/>
      <c r="D104" s="25"/>
      <c r="E104" s="769"/>
      <c r="F104" s="25"/>
      <c r="G104" s="535"/>
      <c r="H104" s="25"/>
      <c r="I104" s="769"/>
      <c r="J104" s="25"/>
      <c r="K104" s="769"/>
      <c r="N104" s="649"/>
      <c r="S104" s="64" t="b">
        <v>0</v>
      </c>
      <c r="T104" t="s">
        <v>260</v>
      </c>
      <c r="W104" t="s">
        <v>261</v>
      </c>
      <c r="AD104" s="66"/>
    </row>
    <row r="105" spans="1:30" ht="15" customHeight="1" x14ac:dyDescent="0.35">
      <c r="A105" s="548"/>
      <c r="B105" s="242">
        <f t="shared" si="7"/>
        <v>89</v>
      </c>
      <c r="C105" s="773"/>
      <c r="D105" s="25"/>
      <c r="E105" s="769"/>
      <c r="F105" s="25"/>
      <c r="G105" s="535"/>
      <c r="H105" s="25"/>
      <c r="I105" s="769"/>
      <c r="J105" s="25"/>
      <c r="K105" s="769"/>
      <c r="N105" s="649"/>
      <c r="T105" s="73" t="s">
        <v>109</v>
      </c>
      <c r="W105" s="498" t="s">
        <v>109</v>
      </c>
      <c r="X105" s="73"/>
      <c r="Y105" s="73"/>
      <c r="Z105" s="73"/>
      <c r="AD105" s="66"/>
    </row>
    <row r="106" spans="1:30" ht="15" customHeight="1" x14ac:dyDescent="0.35">
      <c r="A106" s="548"/>
      <c r="B106" s="242">
        <f t="shared" si="7"/>
        <v>90</v>
      </c>
      <c r="C106" s="774"/>
      <c r="D106" s="25"/>
      <c r="E106" s="770"/>
      <c r="F106" s="25"/>
      <c r="G106" s="535"/>
      <c r="H106" s="25"/>
      <c r="I106" s="770"/>
      <c r="J106" s="25"/>
      <c r="K106" s="770"/>
      <c r="N106" s="492"/>
      <c r="T106" s="44"/>
      <c r="W106" s="10"/>
      <c r="X106" s="73"/>
      <c r="Y106" s="73"/>
      <c r="Z106" s="73"/>
      <c r="AD106" s="66"/>
    </row>
    <row r="107" spans="1:30" ht="8" customHeight="1" thickBot="1" x14ac:dyDescent="0.4">
      <c r="A107" s="549"/>
      <c r="B107" s="242"/>
      <c r="C107" s="775"/>
      <c r="D107" s="127"/>
      <c r="E107" s="771"/>
      <c r="F107" s="127"/>
      <c r="G107" s="536"/>
      <c r="H107" s="127"/>
      <c r="I107" s="771"/>
      <c r="J107" s="127"/>
      <c r="K107" s="771"/>
      <c r="L107" s="67"/>
      <c r="M107" s="67"/>
      <c r="N107" s="67"/>
      <c r="O107" s="67"/>
      <c r="P107" s="67"/>
      <c r="Q107" s="67"/>
      <c r="R107" s="67"/>
      <c r="S107" s="67"/>
      <c r="T107" s="67"/>
      <c r="U107" s="67"/>
      <c r="V107" s="103"/>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9"/>
      <c r="W108" s="30"/>
      <c r="X108" s="30"/>
      <c r="Y108" s="30"/>
      <c r="Z108" s="30"/>
      <c r="AA108" s="30"/>
      <c r="AB108" s="30"/>
      <c r="AC108" s="30"/>
      <c r="AD108" s="30"/>
    </row>
    <row r="109" spans="1:30" ht="15" customHeight="1" x14ac:dyDescent="0.35">
      <c r="A109" s="547">
        <f>A97+1</f>
        <v>9</v>
      </c>
      <c r="B109" s="13">
        <f>(A109*10)+1</f>
        <v>91</v>
      </c>
      <c r="C109" s="772"/>
      <c r="D109" s="78"/>
      <c r="E109" s="768"/>
      <c r="F109" s="78"/>
      <c r="G109" s="534"/>
      <c r="H109" s="78"/>
      <c r="I109" s="768"/>
      <c r="J109" s="78"/>
      <c r="K109" s="768"/>
      <c r="L109" s="62"/>
      <c r="M109" s="60" t="b">
        <v>0</v>
      </c>
      <c r="N109" s="62" t="s">
        <v>247</v>
      </c>
      <c r="O109" s="62"/>
      <c r="P109" s="62"/>
      <c r="Q109" s="62" t="s">
        <v>248</v>
      </c>
      <c r="R109" s="62"/>
      <c r="S109" s="710"/>
      <c r="T109" s="62" t="s">
        <v>249</v>
      </c>
      <c r="U109" s="62"/>
      <c r="V109" s="710"/>
      <c r="W109" s="62" t="s">
        <v>250</v>
      </c>
      <c r="X109" s="62"/>
      <c r="Y109" s="710"/>
      <c r="Z109" s="62" t="s">
        <v>251</v>
      </c>
      <c r="AA109" s="62"/>
      <c r="AB109" s="710"/>
      <c r="AC109" s="62" t="s">
        <v>252</v>
      </c>
      <c r="AD109" s="71"/>
    </row>
    <row r="110" spans="1:30" ht="15" customHeight="1" x14ac:dyDescent="0.35">
      <c r="A110" s="548"/>
      <c r="B110" s="242">
        <f t="shared" ref="B110:B118" si="8">B109+1</f>
        <v>92</v>
      </c>
      <c r="C110" s="773"/>
      <c r="D110" s="25"/>
      <c r="E110" s="769"/>
      <c r="F110" s="25"/>
      <c r="G110" s="535"/>
      <c r="H110" s="25"/>
      <c r="I110" s="769"/>
      <c r="J110" s="25"/>
      <c r="K110" s="769"/>
      <c r="M110" s="64" t="b">
        <v>0</v>
      </c>
      <c r="N110" t="s">
        <v>253</v>
      </c>
      <c r="Q110" s="495" t="s">
        <v>107</v>
      </c>
      <c r="S110" s="711"/>
      <c r="T110" s="495" t="s">
        <v>107</v>
      </c>
      <c r="V110" s="711"/>
      <c r="W110" s="495" t="s">
        <v>107</v>
      </c>
      <c r="Y110" s="711"/>
      <c r="Z110" s="495" t="s">
        <v>107</v>
      </c>
      <c r="AB110" s="711"/>
      <c r="AC110" s="495" t="s">
        <v>107</v>
      </c>
      <c r="AD110" s="66"/>
    </row>
    <row r="111" spans="1:30" ht="15" customHeight="1" x14ac:dyDescent="0.35">
      <c r="A111" s="548"/>
      <c r="B111" s="242">
        <f t="shared" si="8"/>
        <v>93</v>
      </c>
      <c r="C111" s="773"/>
      <c r="D111" s="25"/>
      <c r="E111" s="769"/>
      <c r="F111" s="25"/>
      <c r="G111" s="535"/>
      <c r="H111" s="25"/>
      <c r="I111" s="769"/>
      <c r="J111" s="25"/>
      <c r="K111" s="769"/>
      <c r="M111" s="64" t="b">
        <v>0</v>
      </c>
      <c r="N111" t="s">
        <v>254</v>
      </c>
      <c r="Q111" s="5"/>
      <c r="T111" s="10"/>
      <c r="W111" s="10"/>
      <c r="Z111" s="10"/>
      <c r="AC111" s="10"/>
      <c r="AD111" s="66"/>
    </row>
    <row r="112" spans="1:30" ht="4" customHeight="1" x14ac:dyDescent="0.35">
      <c r="A112" s="548"/>
      <c r="B112" s="242">
        <f t="shared" si="8"/>
        <v>94</v>
      </c>
      <c r="C112" s="773"/>
      <c r="D112" s="25"/>
      <c r="E112" s="769"/>
      <c r="F112" s="25"/>
      <c r="G112" s="535"/>
      <c r="H112" s="25"/>
      <c r="I112" s="769"/>
      <c r="J112" s="25"/>
      <c r="K112" s="769"/>
      <c r="Q112" s="3"/>
      <c r="AD112" s="66"/>
    </row>
    <row r="113" spans="1:30" ht="15" customHeight="1" x14ac:dyDescent="0.35">
      <c r="A113" s="548"/>
      <c r="B113" s="242">
        <f t="shared" si="8"/>
        <v>95</v>
      </c>
      <c r="C113" s="773"/>
      <c r="D113" s="25"/>
      <c r="E113" s="769"/>
      <c r="F113" s="25"/>
      <c r="G113" s="535"/>
      <c r="H113" s="25"/>
      <c r="I113" s="769"/>
      <c r="J113" s="25"/>
      <c r="K113" s="769"/>
      <c r="M113" s="64" t="b">
        <v>0</v>
      </c>
      <c r="N113" t="s">
        <v>256</v>
      </c>
      <c r="Q113" s="9"/>
      <c r="S113" s="45" t="b">
        <v>0</v>
      </c>
      <c r="T113" s="44" t="s">
        <v>257</v>
      </c>
      <c r="V113" s="121" t="b">
        <v>0</v>
      </c>
      <c r="W113" t="s">
        <v>255</v>
      </c>
      <c r="Y113" s="776" t="b">
        <v>0</v>
      </c>
      <c r="Z113" t="s">
        <v>371</v>
      </c>
      <c r="AD113" s="66"/>
    </row>
    <row r="114" spans="1:30" ht="4" customHeight="1" x14ac:dyDescent="0.35">
      <c r="A114" s="548"/>
      <c r="B114" s="242">
        <f t="shared" si="8"/>
        <v>96</v>
      </c>
      <c r="C114" s="773"/>
      <c r="D114" s="25"/>
      <c r="E114" s="769"/>
      <c r="F114" s="25"/>
      <c r="G114" s="535"/>
      <c r="H114" s="25"/>
      <c r="I114" s="769"/>
      <c r="J114" s="25"/>
      <c r="K114" s="769"/>
      <c r="Q114" s="9"/>
      <c r="S114" s="44"/>
      <c r="T114" s="44"/>
      <c r="Y114" s="776"/>
      <c r="AD114" s="66"/>
    </row>
    <row r="115" spans="1:30" ht="15" customHeight="1" x14ac:dyDescent="0.35">
      <c r="A115" s="548"/>
      <c r="B115" s="242">
        <f t="shared" si="8"/>
        <v>97</v>
      </c>
      <c r="C115" s="773"/>
      <c r="D115" s="25"/>
      <c r="E115" s="769"/>
      <c r="F115" s="25"/>
      <c r="G115" s="535"/>
      <c r="H115" s="25"/>
      <c r="I115" s="769"/>
      <c r="J115" s="25"/>
      <c r="K115" s="769"/>
      <c r="N115" s="73" t="s">
        <v>107</v>
      </c>
      <c r="S115" s="777" t="s">
        <v>258</v>
      </c>
      <c r="T115" s="777"/>
      <c r="V115" s="777" t="s">
        <v>259</v>
      </c>
      <c r="W115" s="777"/>
      <c r="Y115" s="776"/>
      <c r="AD115" s="66"/>
    </row>
    <row r="116" spans="1:30" ht="15" customHeight="1" x14ac:dyDescent="0.35">
      <c r="A116" s="548"/>
      <c r="B116" s="242">
        <f t="shared" si="8"/>
        <v>98</v>
      </c>
      <c r="C116" s="773"/>
      <c r="D116" s="25"/>
      <c r="E116" s="769"/>
      <c r="F116" s="25"/>
      <c r="G116" s="535"/>
      <c r="H116" s="25"/>
      <c r="I116" s="769"/>
      <c r="J116" s="25"/>
      <c r="K116" s="769"/>
      <c r="N116" s="649"/>
      <c r="S116" s="64" t="b">
        <v>0</v>
      </c>
      <c r="T116" t="s">
        <v>260</v>
      </c>
      <c r="W116" t="s">
        <v>261</v>
      </c>
      <c r="AD116" s="66"/>
    </row>
    <row r="117" spans="1:30" ht="15" customHeight="1" x14ac:dyDescent="0.35">
      <c r="A117" s="548"/>
      <c r="B117" s="242">
        <f t="shared" si="8"/>
        <v>99</v>
      </c>
      <c r="C117" s="773"/>
      <c r="D117" s="25"/>
      <c r="E117" s="769"/>
      <c r="F117" s="25"/>
      <c r="G117" s="535"/>
      <c r="H117" s="25"/>
      <c r="I117" s="769"/>
      <c r="J117" s="25"/>
      <c r="K117" s="769"/>
      <c r="N117" s="649"/>
      <c r="T117" s="73" t="s">
        <v>109</v>
      </c>
      <c r="W117" s="498" t="s">
        <v>109</v>
      </c>
      <c r="X117" s="73"/>
      <c r="Y117" s="73"/>
      <c r="Z117" s="73"/>
      <c r="AD117" s="66"/>
    </row>
    <row r="118" spans="1:30" ht="15" customHeight="1" x14ac:dyDescent="0.35">
      <c r="A118" s="548"/>
      <c r="B118" s="242">
        <f t="shared" si="8"/>
        <v>100</v>
      </c>
      <c r="C118" s="774"/>
      <c r="D118" s="25"/>
      <c r="E118" s="770"/>
      <c r="F118" s="25"/>
      <c r="G118" s="535"/>
      <c r="H118" s="25"/>
      <c r="I118" s="770"/>
      <c r="J118" s="25"/>
      <c r="K118" s="770"/>
      <c r="N118" s="492"/>
      <c r="T118" s="44"/>
      <c r="W118" s="10"/>
      <c r="X118" s="73"/>
      <c r="Y118" s="73"/>
      <c r="Z118" s="73"/>
      <c r="AD118" s="66"/>
    </row>
    <row r="119" spans="1:30" ht="8" customHeight="1" thickBot="1" x14ac:dyDescent="0.4">
      <c r="A119" s="549"/>
      <c r="B119" s="242"/>
      <c r="C119" s="775"/>
      <c r="D119" s="127"/>
      <c r="E119" s="771"/>
      <c r="F119" s="127"/>
      <c r="G119" s="536"/>
      <c r="H119" s="127"/>
      <c r="I119" s="771"/>
      <c r="J119" s="127"/>
      <c r="K119" s="771"/>
      <c r="L119" s="67"/>
      <c r="M119" s="67"/>
      <c r="N119" s="67"/>
      <c r="O119" s="67"/>
      <c r="P119" s="67"/>
      <c r="Q119" s="67"/>
      <c r="R119" s="67"/>
      <c r="S119" s="67"/>
      <c r="T119" s="67"/>
      <c r="U119" s="67"/>
      <c r="V119" s="103"/>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9"/>
      <c r="W120" s="30"/>
      <c r="X120" s="30"/>
      <c r="Y120" s="30"/>
      <c r="Z120" s="30"/>
      <c r="AA120" s="30"/>
      <c r="AB120" s="30"/>
      <c r="AC120" s="30"/>
      <c r="AD120" s="30"/>
    </row>
    <row r="121" spans="1:30" ht="15" customHeight="1" x14ac:dyDescent="0.35">
      <c r="A121" s="547">
        <f>A109+1</f>
        <v>10</v>
      </c>
      <c r="B121" s="13">
        <f>(A121*10)+1</f>
        <v>101</v>
      </c>
      <c r="C121" s="772"/>
      <c r="D121" s="78"/>
      <c r="E121" s="768"/>
      <c r="F121" s="78"/>
      <c r="G121" s="534"/>
      <c r="H121" s="78"/>
      <c r="I121" s="768"/>
      <c r="J121" s="78"/>
      <c r="K121" s="768"/>
      <c r="L121" s="62"/>
      <c r="M121" s="60" t="b">
        <v>0</v>
      </c>
      <c r="N121" s="62" t="s">
        <v>247</v>
      </c>
      <c r="O121" s="62"/>
      <c r="P121" s="62"/>
      <c r="Q121" s="62" t="s">
        <v>248</v>
      </c>
      <c r="R121" s="62"/>
      <c r="S121" s="710"/>
      <c r="T121" s="62" t="s">
        <v>249</v>
      </c>
      <c r="U121" s="62"/>
      <c r="V121" s="710"/>
      <c r="W121" s="62" t="s">
        <v>250</v>
      </c>
      <c r="X121" s="62"/>
      <c r="Y121" s="710"/>
      <c r="Z121" s="62" t="s">
        <v>251</v>
      </c>
      <c r="AA121" s="62"/>
      <c r="AB121" s="710"/>
      <c r="AC121" s="62" t="s">
        <v>252</v>
      </c>
      <c r="AD121" s="71"/>
    </row>
    <row r="122" spans="1:30" ht="15" customHeight="1" x14ac:dyDescent="0.35">
      <c r="A122" s="548"/>
      <c r="B122" s="242">
        <f t="shared" ref="B122:B130" si="9">B121+1</f>
        <v>102</v>
      </c>
      <c r="C122" s="773"/>
      <c r="D122" s="25"/>
      <c r="E122" s="769"/>
      <c r="F122" s="25"/>
      <c r="G122" s="535"/>
      <c r="H122" s="25"/>
      <c r="I122" s="769"/>
      <c r="J122" s="25"/>
      <c r="K122" s="769"/>
      <c r="M122" s="64" t="b">
        <v>0</v>
      </c>
      <c r="N122" t="s">
        <v>253</v>
      </c>
      <c r="Q122" s="495" t="s">
        <v>107</v>
      </c>
      <c r="S122" s="711"/>
      <c r="T122" s="495" t="s">
        <v>107</v>
      </c>
      <c r="V122" s="711"/>
      <c r="W122" s="495" t="s">
        <v>107</v>
      </c>
      <c r="Y122" s="711"/>
      <c r="Z122" s="495" t="s">
        <v>107</v>
      </c>
      <c r="AB122" s="711"/>
      <c r="AC122" s="495" t="s">
        <v>107</v>
      </c>
      <c r="AD122" s="66"/>
    </row>
    <row r="123" spans="1:30" ht="15" customHeight="1" x14ac:dyDescent="0.35">
      <c r="A123" s="548"/>
      <c r="B123" s="242">
        <f t="shared" si="9"/>
        <v>103</v>
      </c>
      <c r="C123" s="773"/>
      <c r="D123" s="25"/>
      <c r="E123" s="769"/>
      <c r="F123" s="25"/>
      <c r="G123" s="535"/>
      <c r="H123" s="25"/>
      <c r="I123" s="769"/>
      <c r="J123" s="25"/>
      <c r="K123" s="769"/>
      <c r="M123" s="64" t="b">
        <v>0</v>
      </c>
      <c r="N123" t="s">
        <v>254</v>
      </c>
      <c r="Q123" s="5"/>
      <c r="T123" s="10"/>
      <c r="W123" s="10"/>
      <c r="Z123" s="10"/>
      <c r="AC123" s="10"/>
      <c r="AD123" s="66"/>
    </row>
    <row r="124" spans="1:30" ht="4" customHeight="1" x14ac:dyDescent="0.35">
      <c r="A124" s="548"/>
      <c r="B124" s="242">
        <f t="shared" si="9"/>
        <v>104</v>
      </c>
      <c r="C124" s="773"/>
      <c r="D124" s="25"/>
      <c r="E124" s="769"/>
      <c r="F124" s="25"/>
      <c r="G124" s="535"/>
      <c r="H124" s="25"/>
      <c r="I124" s="769"/>
      <c r="J124" s="25"/>
      <c r="K124" s="769"/>
      <c r="Q124" s="3"/>
      <c r="AD124" s="66"/>
    </row>
    <row r="125" spans="1:30" ht="15" customHeight="1" x14ac:dyDescent="0.35">
      <c r="A125" s="548"/>
      <c r="B125" s="242">
        <f t="shared" si="9"/>
        <v>105</v>
      </c>
      <c r="C125" s="773"/>
      <c r="D125" s="25"/>
      <c r="E125" s="769"/>
      <c r="F125" s="25"/>
      <c r="G125" s="535"/>
      <c r="H125" s="25"/>
      <c r="I125" s="769"/>
      <c r="J125" s="25"/>
      <c r="K125" s="769"/>
      <c r="M125" s="64" t="b">
        <v>0</v>
      </c>
      <c r="N125" t="s">
        <v>256</v>
      </c>
      <c r="Q125" s="9"/>
      <c r="S125" s="45" t="b">
        <v>0</v>
      </c>
      <c r="T125" s="44" t="s">
        <v>257</v>
      </c>
      <c r="V125" s="121" t="b">
        <v>0</v>
      </c>
      <c r="W125" t="s">
        <v>255</v>
      </c>
      <c r="Y125" s="776" t="b">
        <v>0</v>
      </c>
      <c r="Z125" t="s">
        <v>371</v>
      </c>
      <c r="AD125" s="66"/>
    </row>
    <row r="126" spans="1:30" ht="4" customHeight="1" x14ac:dyDescent="0.35">
      <c r="A126" s="548"/>
      <c r="B126" s="242">
        <f t="shared" si="9"/>
        <v>106</v>
      </c>
      <c r="C126" s="773"/>
      <c r="D126" s="25"/>
      <c r="E126" s="769"/>
      <c r="F126" s="25"/>
      <c r="G126" s="535"/>
      <c r="H126" s="25"/>
      <c r="I126" s="769"/>
      <c r="J126" s="25"/>
      <c r="K126" s="769"/>
      <c r="Q126" s="9"/>
      <c r="S126" s="44"/>
      <c r="T126" s="44"/>
      <c r="Y126" s="776"/>
      <c r="AD126" s="66"/>
    </row>
    <row r="127" spans="1:30" ht="15" customHeight="1" x14ac:dyDescent="0.35">
      <c r="A127" s="548"/>
      <c r="B127" s="242">
        <f t="shared" si="9"/>
        <v>107</v>
      </c>
      <c r="C127" s="773"/>
      <c r="D127" s="25"/>
      <c r="E127" s="769"/>
      <c r="F127" s="25"/>
      <c r="G127" s="535"/>
      <c r="H127" s="25"/>
      <c r="I127" s="769"/>
      <c r="J127" s="25"/>
      <c r="K127" s="769"/>
      <c r="N127" s="73" t="s">
        <v>107</v>
      </c>
      <c r="S127" s="777" t="s">
        <v>258</v>
      </c>
      <c r="T127" s="777"/>
      <c r="V127" s="777" t="s">
        <v>259</v>
      </c>
      <c r="W127" s="777"/>
      <c r="Y127" s="776"/>
      <c r="AD127" s="66"/>
    </row>
    <row r="128" spans="1:30" ht="15" customHeight="1" x14ac:dyDescent="0.35">
      <c r="A128" s="548"/>
      <c r="B128" s="242">
        <f t="shared" si="9"/>
        <v>108</v>
      </c>
      <c r="C128" s="773"/>
      <c r="D128" s="25"/>
      <c r="E128" s="769"/>
      <c r="F128" s="25"/>
      <c r="G128" s="535"/>
      <c r="H128" s="25"/>
      <c r="I128" s="769"/>
      <c r="J128" s="25"/>
      <c r="K128" s="769"/>
      <c r="N128" s="649"/>
      <c r="S128" s="64" t="b">
        <v>0</v>
      </c>
      <c r="T128" t="s">
        <v>260</v>
      </c>
      <c r="W128" t="s">
        <v>261</v>
      </c>
      <c r="AD128" s="66"/>
    </row>
    <row r="129" spans="1:30" ht="15" customHeight="1" x14ac:dyDescent="0.35">
      <c r="A129" s="548"/>
      <c r="B129" s="242">
        <f t="shared" si="9"/>
        <v>109</v>
      </c>
      <c r="C129" s="773"/>
      <c r="D129" s="25"/>
      <c r="E129" s="769"/>
      <c r="F129" s="25"/>
      <c r="G129" s="535"/>
      <c r="H129" s="25"/>
      <c r="I129" s="769"/>
      <c r="J129" s="25"/>
      <c r="K129" s="769"/>
      <c r="N129" s="649"/>
      <c r="T129" s="73" t="s">
        <v>109</v>
      </c>
      <c r="W129" s="498" t="s">
        <v>109</v>
      </c>
      <c r="X129" s="73"/>
      <c r="Y129" s="73"/>
      <c r="Z129" s="73"/>
      <c r="AD129" s="66"/>
    </row>
    <row r="130" spans="1:30" ht="15" customHeight="1" x14ac:dyDescent="0.35">
      <c r="A130" s="548"/>
      <c r="B130" s="242">
        <f t="shared" si="9"/>
        <v>110</v>
      </c>
      <c r="C130" s="774"/>
      <c r="D130" s="25"/>
      <c r="E130" s="770"/>
      <c r="F130" s="25"/>
      <c r="G130" s="535"/>
      <c r="H130" s="25"/>
      <c r="I130" s="770"/>
      <c r="J130" s="25"/>
      <c r="K130" s="770"/>
      <c r="N130" s="492"/>
      <c r="T130" s="44"/>
      <c r="W130" s="10"/>
      <c r="X130" s="73"/>
      <c r="Y130" s="73"/>
      <c r="Z130" s="73"/>
      <c r="AD130" s="66"/>
    </row>
    <row r="131" spans="1:30" ht="8" customHeight="1" thickBot="1" x14ac:dyDescent="0.4">
      <c r="A131" s="549"/>
      <c r="B131" s="242"/>
      <c r="C131" s="775"/>
      <c r="D131" s="127"/>
      <c r="E131" s="771"/>
      <c r="F131" s="127"/>
      <c r="G131" s="536"/>
      <c r="H131" s="127"/>
      <c r="I131" s="771"/>
      <c r="J131" s="127"/>
      <c r="K131" s="771"/>
      <c r="L131" s="67"/>
      <c r="M131" s="67"/>
      <c r="N131" s="67"/>
      <c r="O131" s="67"/>
      <c r="P131" s="67"/>
      <c r="Q131" s="67"/>
      <c r="R131" s="67"/>
      <c r="S131" s="67"/>
      <c r="T131" s="67"/>
      <c r="U131" s="67"/>
      <c r="V131" s="103"/>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9"/>
      <c r="W132" s="30"/>
      <c r="X132" s="30"/>
      <c r="Y132" s="30"/>
      <c r="Z132" s="30"/>
      <c r="AA132" s="30"/>
      <c r="AB132" s="30"/>
      <c r="AC132" s="30"/>
      <c r="AD132" s="30"/>
    </row>
    <row r="133" spans="1:30" ht="15" customHeight="1" x14ac:dyDescent="0.35">
      <c r="A133" s="547">
        <f>A121+1</f>
        <v>11</v>
      </c>
      <c r="B133" s="13">
        <f>(A133*10)+1</f>
        <v>111</v>
      </c>
      <c r="C133" s="772"/>
      <c r="D133" s="78"/>
      <c r="E133" s="768"/>
      <c r="F133" s="78"/>
      <c r="G133" s="534"/>
      <c r="H133" s="78"/>
      <c r="I133" s="768"/>
      <c r="J133" s="78"/>
      <c r="K133" s="768"/>
      <c r="L133" s="62"/>
      <c r="M133" s="60" t="b">
        <v>0</v>
      </c>
      <c r="N133" s="62" t="s">
        <v>247</v>
      </c>
      <c r="O133" s="62"/>
      <c r="P133" s="62"/>
      <c r="Q133" s="62" t="s">
        <v>248</v>
      </c>
      <c r="R133" s="62"/>
      <c r="S133" s="710"/>
      <c r="T133" s="62" t="s">
        <v>249</v>
      </c>
      <c r="U133" s="62"/>
      <c r="V133" s="710"/>
      <c r="W133" s="62" t="s">
        <v>250</v>
      </c>
      <c r="X133" s="62"/>
      <c r="Y133" s="710"/>
      <c r="Z133" s="62" t="s">
        <v>251</v>
      </c>
      <c r="AA133" s="62"/>
      <c r="AB133" s="710"/>
      <c r="AC133" s="62" t="s">
        <v>252</v>
      </c>
      <c r="AD133" s="71"/>
    </row>
    <row r="134" spans="1:30" ht="15" customHeight="1" x14ac:dyDescent="0.35">
      <c r="A134" s="548"/>
      <c r="B134" s="242">
        <f t="shared" ref="B134:B142" si="10">B133+1</f>
        <v>112</v>
      </c>
      <c r="C134" s="773"/>
      <c r="D134" s="25"/>
      <c r="E134" s="769"/>
      <c r="F134" s="25"/>
      <c r="G134" s="535"/>
      <c r="H134" s="25"/>
      <c r="I134" s="769"/>
      <c r="J134" s="25"/>
      <c r="K134" s="769"/>
      <c r="M134" s="64" t="b">
        <v>0</v>
      </c>
      <c r="N134" t="s">
        <v>253</v>
      </c>
      <c r="Q134" s="495" t="s">
        <v>107</v>
      </c>
      <c r="S134" s="711"/>
      <c r="T134" s="495" t="s">
        <v>107</v>
      </c>
      <c r="V134" s="711"/>
      <c r="W134" s="495" t="s">
        <v>107</v>
      </c>
      <c r="Y134" s="711"/>
      <c r="Z134" s="495" t="s">
        <v>107</v>
      </c>
      <c r="AB134" s="711"/>
      <c r="AC134" s="495" t="s">
        <v>107</v>
      </c>
      <c r="AD134" s="66"/>
    </row>
    <row r="135" spans="1:30" ht="15" customHeight="1" x14ac:dyDescent="0.35">
      <c r="A135" s="548"/>
      <c r="B135" s="242">
        <f t="shared" si="10"/>
        <v>113</v>
      </c>
      <c r="C135" s="773"/>
      <c r="D135" s="25"/>
      <c r="E135" s="769"/>
      <c r="F135" s="25"/>
      <c r="G135" s="535"/>
      <c r="H135" s="25"/>
      <c r="I135" s="769"/>
      <c r="J135" s="25"/>
      <c r="K135" s="769"/>
      <c r="M135" s="64" t="b">
        <v>0</v>
      </c>
      <c r="N135" t="s">
        <v>254</v>
      </c>
      <c r="Q135" s="5"/>
      <c r="T135" s="10"/>
      <c r="W135" s="10"/>
      <c r="Z135" s="10"/>
      <c r="AC135" s="10"/>
      <c r="AD135" s="66"/>
    </row>
    <row r="136" spans="1:30" ht="4" customHeight="1" x14ac:dyDescent="0.35">
      <c r="A136" s="548"/>
      <c r="B136" s="242">
        <f t="shared" si="10"/>
        <v>114</v>
      </c>
      <c r="C136" s="773"/>
      <c r="D136" s="25"/>
      <c r="E136" s="769"/>
      <c r="F136" s="25"/>
      <c r="G136" s="535"/>
      <c r="H136" s="25"/>
      <c r="I136" s="769"/>
      <c r="J136" s="25"/>
      <c r="K136" s="769"/>
      <c r="Q136" s="3"/>
      <c r="AD136" s="66"/>
    </row>
    <row r="137" spans="1:30" ht="15" customHeight="1" x14ac:dyDescent="0.35">
      <c r="A137" s="548"/>
      <c r="B137" s="242">
        <f t="shared" si="10"/>
        <v>115</v>
      </c>
      <c r="C137" s="773"/>
      <c r="D137" s="25"/>
      <c r="E137" s="769"/>
      <c r="F137" s="25"/>
      <c r="G137" s="535"/>
      <c r="H137" s="25"/>
      <c r="I137" s="769"/>
      <c r="J137" s="25"/>
      <c r="K137" s="769"/>
      <c r="M137" s="64" t="b">
        <v>0</v>
      </c>
      <c r="N137" t="s">
        <v>256</v>
      </c>
      <c r="Q137" s="9"/>
      <c r="S137" s="45" t="b">
        <v>0</v>
      </c>
      <c r="T137" s="44" t="s">
        <v>257</v>
      </c>
      <c r="V137" s="121" t="b">
        <v>0</v>
      </c>
      <c r="W137" t="s">
        <v>255</v>
      </c>
      <c r="Y137" s="776" t="b">
        <v>0</v>
      </c>
      <c r="Z137" t="s">
        <v>371</v>
      </c>
      <c r="AD137" s="66"/>
    </row>
    <row r="138" spans="1:30" ht="4" customHeight="1" x14ac:dyDescent="0.35">
      <c r="A138" s="548"/>
      <c r="B138" s="242">
        <f t="shared" si="10"/>
        <v>116</v>
      </c>
      <c r="C138" s="773"/>
      <c r="D138" s="25"/>
      <c r="E138" s="769"/>
      <c r="F138" s="25"/>
      <c r="G138" s="535"/>
      <c r="H138" s="25"/>
      <c r="I138" s="769"/>
      <c r="J138" s="25"/>
      <c r="K138" s="769"/>
      <c r="Q138" s="9"/>
      <c r="S138" s="44"/>
      <c r="T138" s="44"/>
      <c r="Y138" s="776"/>
      <c r="AD138" s="66"/>
    </row>
    <row r="139" spans="1:30" ht="15" customHeight="1" x14ac:dyDescent="0.35">
      <c r="A139" s="548"/>
      <c r="B139" s="242">
        <f t="shared" si="10"/>
        <v>117</v>
      </c>
      <c r="C139" s="773"/>
      <c r="D139" s="25"/>
      <c r="E139" s="769"/>
      <c r="F139" s="25"/>
      <c r="G139" s="535"/>
      <c r="H139" s="25"/>
      <c r="I139" s="769"/>
      <c r="J139" s="25"/>
      <c r="K139" s="769"/>
      <c r="N139" s="73" t="s">
        <v>107</v>
      </c>
      <c r="S139" s="777" t="s">
        <v>258</v>
      </c>
      <c r="T139" s="777"/>
      <c r="V139" s="777" t="s">
        <v>259</v>
      </c>
      <c r="W139" s="777"/>
      <c r="Y139" s="776"/>
      <c r="AD139" s="66"/>
    </row>
    <row r="140" spans="1:30" ht="15" customHeight="1" x14ac:dyDescent="0.35">
      <c r="A140" s="548"/>
      <c r="B140" s="242">
        <f t="shared" si="10"/>
        <v>118</v>
      </c>
      <c r="C140" s="773"/>
      <c r="D140" s="25"/>
      <c r="E140" s="769"/>
      <c r="F140" s="25"/>
      <c r="G140" s="535"/>
      <c r="H140" s="25"/>
      <c r="I140" s="769"/>
      <c r="J140" s="25"/>
      <c r="K140" s="769"/>
      <c r="N140" s="649"/>
      <c r="S140" s="64" t="b">
        <v>0</v>
      </c>
      <c r="T140" t="s">
        <v>260</v>
      </c>
      <c r="W140" t="s">
        <v>261</v>
      </c>
      <c r="AD140" s="66"/>
    </row>
    <row r="141" spans="1:30" ht="15" customHeight="1" x14ac:dyDescent="0.35">
      <c r="A141" s="548"/>
      <c r="B141" s="242">
        <f t="shared" si="10"/>
        <v>119</v>
      </c>
      <c r="C141" s="773"/>
      <c r="D141" s="25"/>
      <c r="E141" s="769"/>
      <c r="F141" s="25"/>
      <c r="G141" s="535"/>
      <c r="H141" s="25"/>
      <c r="I141" s="769"/>
      <c r="J141" s="25"/>
      <c r="K141" s="769"/>
      <c r="N141" s="649"/>
      <c r="T141" s="73" t="s">
        <v>109</v>
      </c>
      <c r="W141" s="498" t="s">
        <v>109</v>
      </c>
      <c r="X141" s="73"/>
      <c r="Y141" s="73"/>
      <c r="Z141" s="73"/>
      <c r="AD141" s="66"/>
    </row>
    <row r="142" spans="1:30" ht="15" customHeight="1" x14ac:dyDescent="0.35">
      <c r="A142" s="548"/>
      <c r="B142" s="242">
        <f t="shared" si="10"/>
        <v>120</v>
      </c>
      <c r="C142" s="774"/>
      <c r="D142" s="25"/>
      <c r="E142" s="770"/>
      <c r="F142" s="25"/>
      <c r="G142" s="535"/>
      <c r="H142" s="25"/>
      <c r="I142" s="770"/>
      <c r="J142" s="25"/>
      <c r="K142" s="770"/>
      <c r="N142" s="492"/>
      <c r="T142" s="44"/>
      <c r="W142" s="10"/>
      <c r="X142" s="73"/>
      <c r="Y142" s="73"/>
      <c r="Z142" s="73"/>
      <c r="AD142" s="66"/>
    </row>
    <row r="143" spans="1:30" ht="8" customHeight="1" thickBot="1" x14ac:dyDescent="0.4">
      <c r="A143" s="549"/>
      <c r="B143" s="242"/>
      <c r="C143" s="775"/>
      <c r="D143" s="127"/>
      <c r="E143" s="771"/>
      <c r="F143" s="127"/>
      <c r="G143" s="536"/>
      <c r="H143" s="127"/>
      <c r="I143" s="771"/>
      <c r="J143" s="127"/>
      <c r="K143" s="771"/>
      <c r="L143" s="67"/>
      <c r="M143" s="67"/>
      <c r="N143" s="67"/>
      <c r="O143" s="67"/>
      <c r="P143" s="67"/>
      <c r="Q143" s="67"/>
      <c r="R143" s="67"/>
      <c r="S143" s="67"/>
      <c r="T143" s="67"/>
      <c r="U143" s="67"/>
      <c r="V143" s="103"/>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9"/>
      <c r="W144" s="30"/>
      <c r="X144" s="30"/>
      <c r="Y144" s="30"/>
      <c r="Z144" s="30"/>
      <c r="AA144" s="30"/>
      <c r="AB144" s="30"/>
      <c r="AC144" s="30"/>
      <c r="AD144" s="30"/>
    </row>
    <row r="145" spans="1:30" ht="15" customHeight="1" x14ac:dyDescent="0.35">
      <c r="A145" s="547">
        <f>A133+1</f>
        <v>12</v>
      </c>
      <c r="B145" s="13">
        <f>(A145*10)+1</f>
        <v>121</v>
      </c>
      <c r="C145" s="772"/>
      <c r="D145" s="78"/>
      <c r="E145" s="768"/>
      <c r="F145" s="78"/>
      <c r="G145" s="534"/>
      <c r="H145" s="78"/>
      <c r="I145" s="768"/>
      <c r="J145" s="78"/>
      <c r="K145" s="768"/>
      <c r="L145" s="62"/>
      <c r="M145" s="60" t="b">
        <v>0</v>
      </c>
      <c r="N145" s="62" t="s">
        <v>247</v>
      </c>
      <c r="O145" s="62"/>
      <c r="P145" s="62"/>
      <c r="Q145" s="62" t="s">
        <v>248</v>
      </c>
      <c r="R145" s="62"/>
      <c r="S145" s="710"/>
      <c r="T145" s="62" t="s">
        <v>249</v>
      </c>
      <c r="U145" s="62"/>
      <c r="V145" s="710"/>
      <c r="W145" s="62" t="s">
        <v>250</v>
      </c>
      <c r="X145" s="62"/>
      <c r="Y145" s="710"/>
      <c r="Z145" s="62" t="s">
        <v>251</v>
      </c>
      <c r="AA145" s="62"/>
      <c r="AB145" s="710"/>
      <c r="AC145" s="62" t="s">
        <v>252</v>
      </c>
      <c r="AD145" s="71"/>
    </row>
    <row r="146" spans="1:30" ht="15" customHeight="1" x14ac:dyDescent="0.35">
      <c r="A146" s="548"/>
      <c r="B146" s="242">
        <f t="shared" ref="B146:B154" si="11">B145+1</f>
        <v>122</v>
      </c>
      <c r="C146" s="773"/>
      <c r="D146" s="25"/>
      <c r="E146" s="769"/>
      <c r="F146" s="25"/>
      <c r="G146" s="535"/>
      <c r="H146" s="25"/>
      <c r="I146" s="769"/>
      <c r="J146" s="25"/>
      <c r="K146" s="769"/>
      <c r="M146" s="64" t="b">
        <v>0</v>
      </c>
      <c r="N146" t="s">
        <v>253</v>
      </c>
      <c r="Q146" s="495" t="s">
        <v>107</v>
      </c>
      <c r="S146" s="711"/>
      <c r="T146" s="495" t="s">
        <v>107</v>
      </c>
      <c r="V146" s="711"/>
      <c r="W146" s="495" t="s">
        <v>107</v>
      </c>
      <c r="Y146" s="711"/>
      <c r="Z146" s="495" t="s">
        <v>107</v>
      </c>
      <c r="AB146" s="711"/>
      <c r="AC146" s="495" t="s">
        <v>107</v>
      </c>
      <c r="AD146" s="66"/>
    </row>
    <row r="147" spans="1:30" ht="15" customHeight="1" x14ac:dyDescent="0.35">
      <c r="A147" s="548"/>
      <c r="B147" s="242">
        <f t="shared" si="11"/>
        <v>123</v>
      </c>
      <c r="C147" s="773"/>
      <c r="D147" s="25"/>
      <c r="E147" s="769"/>
      <c r="F147" s="25"/>
      <c r="G147" s="535"/>
      <c r="H147" s="25"/>
      <c r="I147" s="769"/>
      <c r="J147" s="25"/>
      <c r="K147" s="769"/>
      <c r="M147" s="64" t="b">
        <v>0</v>
      </c>
      <c r="N147" t="s">
        <v>254</v>
      </c>
      <c r="Q147" s="5"/>
      <c r="T147" s="10"/>
      <c r="W147" s="10"/>
      <c r="Z147" s="10"/>
      <c r="AC147" s="10"/>
      <c r="AD147" s="66"/>
    </row>
    <row r="148" spans="1:30" ht="4" customHeight="1" x14ac:dyDescent="0.35">
      <c r="A148" s="548"/>
      <c r="B148" s="242">
        <f t="shared" si="11"/>
        <v>124</v>
      </c>
      <c r="C148" s="773"/>
      <c r="D148" s="25"/>
      <c r="E148" s="769"/>
      <c r="F148" s="25"/>
      <c r="G148" s="535"/>
      <c r="H148" s="25"/>
      <c r="I148" s="769"/>
      <c r="J148" s="25"/>
      <c r="K148" s="769"/>
      <c r="Q148" s="3"/>
      <c r="AD148" s="66"/>
    </row>
    <row r="149" spans="1:30" ht="15" customHeight="1" x14ac:dyDescent="0.35">
      <c r="A149" s="548"/>
      <c r="B149" s="242">
        <f t="shared" si="11"/>
        <v>125</v>
      </c>
      <c r="C149" s="773"/>
      <c r="D149" s="25"/>
      <c r="E149" s="769"/>
      <c r="F149" s="25"/>
      <c r="G149" s="535"/>
      <c r="H149" s="25"/>
      <c r="I149" s="769"/>
      <c r="J149" s="25"/>
      <c r="K149" s="769"/>
      <c r="M149" s="64" t="b">
        <v>0</v>
      </c>
      <c r="N149" t="s">
        <v>256</v>
      </c>
      <c r="Q149" s="9"/>
      <c r="S149" s="45" t="b">
        <v>0</v>
      </c>
      <c r="T149" s="44" t="s">
        <v>257</v>
      </c>
      <c r="V149" s="121" t="b">
        <v>0</v>
      </c>
      <c r="W149" t="s">
        <v>255</v>
      </c>
      <c r="Y149" s="776" t="b">
        <v>0</v>
      </c>
      <c r="Z149" t="s">
        <v>371</v>
      </c>
      <c r="AD149" s="66"/>
    </row>
    <row r="150" spans="1:30" ht="4" customHeight="1" x14ac:dyDescent="0.35">
      <c r="A150" s="548"/>
      <c r="B150" s="242">
        <f t="shared" si="11"/>
        <v>126</v>
      </c>
      <c r="C150" s="773"/>
      <c r="D150" s="25"/>
      <c r="E150" s="769"/>
      <c r="F150" s="25"/>
      <c r="G150" s="535"/>
      <c r="H150" s="25"/>
      <c r="I150" s="769"/>
      <c r="J150" s="25"/>
      <c r="K150" s="769"/>
      <c r="Q150" s="9"/>
      <c r="S150" s="44"/>
      <c r="T150" s="44"/>
      <c r="Y150" s="776"/>
      <c r="AD150" s="66"/>
    </row>
    <row r="151" spans="1:30" ht="15" customHeight="1" x14ac:dyDescent="0.35">
      <c r="A151" s="548"/>
      <c r="B151" s="242">
        <f t="shared" si="11"/>
        <v>127</v>
      </c>
      <c r="C151" s="773"/>
      <c r="D151" s="25"/>
      <c r="E151" s="769"/>
      <c r="F151" s="25"/>
      <c r="G151" s="535"/>
      <c r="H151" s="25"/>
      <c r="I151" s="769"/>
      <c r="J151" s="25"/>
      <c r="K151" s="769"/>
      <c r="N151" s="73" t="s">
        <v>107</v>
      </c>
      <c r="S151" s="777" t="s">
        <v>258</v>
      </c>
      <c r="T151" s="777"/>
      <c r="V151" s="777" t="s">
        <v>259</v>
      </c>
      <c r="W151" s="777"/>
      <c r="Y151" s="776"/>
      <c r="AD151" s="66"/>
    </row>
    <row r="152" spans="1:30" ht="15" customHeight="1" x14ac:dyDescent="0.35">
      <c r="A152" s="548"/>
      <c r="B152" s="242">
        <f t="shared" si="11"/>
        <v>128</v>
      </c>
      <c r="C152" s="773"/>
      <c r="D152" s="25"/>
      <c r="E152" s="769"/>
      <c r="F152" s="25"/>
      <c r="G152" s="535"/>
      <c r="H152" s="25"/>
      <c r="I152" s="769"/>
      <c r="J152" s="25"/>
      <c r="K152" s="769"/>
      <c r="N152" s="649"/>
      <c r="S152" s="64" t="b">
        <v>0</v>
      </c>
      <c r="T152" t="s">
        <v>260</v>
      </c>
      <c r="W152" t="s">
        <v>261</v>
      </c>
      <c r="AD152" s="66"/>
    </row>
    <row r="153" spans="1:30" ht="15" customHeight="1" x14ac:dyDescent="0.35">
      <c r="A153" s="548"/>
      <c r="B153" s="242">
        <f t="shared" si="11"/>
        <v>129</v>
      </c>
      <c r="C153" s="773"/>
      <c r="D153" s="25"/>
      <c r="E153" s="769"/>
      <c r="F153" s="25"/>
      <c r="G153" s="535"/>
      <c r="H153" s="25"/>
      <c r="I153" s="769"/>
      <c r="J153" s="25"/>
      <c r="K153" s="769"/>
      <c r="N153" s="649"/>
      <c r="T153" s="73" t="s">
        <v>109</v>
      </c>
      <c r="W153" s="498" t="s">
        <v>109</v>
      </c>
      <c r="X153" s="73"/>
      <c r="Y153" s="73"/>
      <c r="Z153" s="73"/>
      <c r="AD153" s="66"/>
    </row>
    <row r="154" spans="1:30" ht="15" customHeight="1" x14ac:dyDescent="0.35">
      <c r="A154" s="548"/>
      <c r="B154" s="242">
        <f t="shared" si="11"/>
        <v>130</v>
      </c>
      <c r="C154" s="774"/>
      <c r="D154" s="25"/>
      <c r="E154" s="770"/>
      <c r="F154" s="25"/>
      <c r="G154" s="535"/>
      <c r="H154" s="25"/>
      <c r="I154" s="770"/>
      <c r="J154" s="25"/>
      <c r="K154" s="770"/>
      <c r="N154" s="492"/>
      <c r="T154" s="44"/>
      <c r="W154" s="10"/>
      <c r="X154" s="73"/>
      <c r="Y154" s="73"/>
      <c r="Z154" s="73"/>
      <c r="AD154" s="66"/>
    </row>
    <row r="155" spans="1:30" ht="8" customHeight="1" thickBot="1" x14ac:dyDescent="0.4">
      <c r="A155" s="549"/>
      <c r="B155" s="242"/>
      <c r="C155" s="775"/>
      <c r="D155" s="127"/>
      <c r="E155" s="771"/>
      <c r="F155" s="127"/>
      <c r="G155" s="536"/>
      <c r="H155" s="127"/>
      <c r="I155" s="771"/>
      <c r="J155" s="127"/>
      <c r="K155" s="771"/>
      <c r="L155" s="67"/>
      <c r="M155" s="67"/>
      <c r="N155" s="67"/>
      <c r="O155" s="67"/>
      <c r="P155" s="67"/>
      <c r="Q155" s="67"/>
      <c r="R155" s="67"/>
      <c r="S155" s="67"/>
      <c r="T155" s="67"/>
      <c r="U155" s="67"/>
      <c r="V155" s="103"/>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9"/>
      <c r="W156" s="30"/>
      <c r="X156" s="30"/>
      <c r="Y156" s="30"/>
      <c r="Z156" s="30"/>
      <c r="AA156" s="30"/>
      <c r="AB156" s="30"/>
      <c r="AC156" s="30"/>
      <c r="AD156" s="30"/>
    </row>
    <row r="157" spans="1:30" ht="15" customHeight="1" x14ac:dyDescent="0.35">
      <c r="A157" s="547">
        <f>A145+1</f>
        <v>13</v>
      </c>
      <c r="B157" s="13">
        <f>(A157*10)+1</f>
        <v>131</v>
      </c>
      <c r="C157" s="772"/>
      <c r="D157" s="78"/>
      <c r="E157" s="768"/>
      <c r="F157" s="78"/>
      <c r="G157" s="534"/>
      <c r="H157" s="78"/>
      <c r="I157" s="768"/>
      <c r="J157" s="78"/>
      <c r="K157" s="768"/>
      <c r="L157" s="62"/>
      <c r="M157" s="60" t="b">
        <v>0</v>
      </c>
      <c r="N157" s="62" t="s">
        <v>247</v>
      </c>
      <c r="O157" s="62"/>
      <c r="P157" s="62"/>
      <c r="Q157" s="62" t="s">
        <v>248</v>
      </c>
      <c r="R157" s="62"/>
      <c r="S157" s="710"/>
      <c r="T157" s="62" t="s">
        <v>249</v>
      </c>
      <c r="U157" s="62"/>
      <c r="V157" s="710"/>
      <c r="W157" s="62" t="s">
        <v>250</v>
      </c>
      <c r="X157" s="62"/>
      <c r="Y157" s="710"/>
      <c r="Z157" s="62" t="s">
        <v>251</v>
      </c>
      <c r="AA157" s="62"/>
      <c r="AB157" s="710"/>
      <c r="AC157" s="62" t="s">
        <v>252</v>
      </c>
      <c r="AD157" s="71"/>
    </row>
    <row r="158" spans="1:30" ht="15" customHeight="1" x14ac:dyDescent="0.35">
      <c r="A158" s="548"/>
      <c r="B158" s="242">
        <f t="shared" ref="B158:B166" si="12">B157+1</f>
        <v>132</v>
      </c>
      <c r="C158" s="773"/>
      <c r="D158" s="25"/>
      <c r="E158" s="769"/>
      <c r="F158" s="25"/>
      <c r="G158" s="535"/>
      <c r="H158" s="25"/>
      <c r="I158" s="769"/>
      <c r="J158" s="25"/>
      <c r="K158" s="769"/>
      <c r="M158" s="64" t="b">
        <v>0</v>
      </c>
      <c r="N158" t="s">
        <v>253</v>
      </c>
      <c r="Q158" s="495" t="s">
        <v>107</v>
      </c>
      <c r="S158" s="711"/>
      <c r="T158" s="495" t="s">
        <v>107</v>
      </c>
      <c r="V158" s="711"/>
      <c r="W158" s="495" t="s">
        <v>107</v>
      </c>
      <c r="Y158" s="711"/>
      <c r="Z158" s="495" t="s">
        <v>107</v>
      </c>
      <c r="AB158" s="711"/>
      <c r="AC158" s="495" t="s">
        <v>107</v>
      </c>
      <c r="AD158" s="66"/>
    </row>
    <row r="159" spans="1:30" ht="15" customHeight="1" x14ac:dyDescent="0.35">
      <c r="A159" s="548"/>
      <c r="B159" s="242">
        <f t="shared" si="12"/>
        <v>133</v>
      </c>
      <c r="C159" s="773"/>
      <c r="D159" s="25"/>
      <c r="E159" s="769"/>
      <c r="F159" s="25"/>
      <c r="G159" s="535"/>
      <c r="H159" s="25"/>
      <c r="I159" s="769"/>
      <c r="J159" s="25"/>
      <c r="K159" s="769"/>
      <c r="M159" s="64" t="b">
        <v>0</v>
      </c>
      <c r="N159" t="s">
        <v>254</v>
      </c>
      <c r="Q159" s="5"/>
      <c r="T159" s="10"/>
      <c r="W159" s="10"/>
      <c r="Z159" s="10"/>
      <c r="AC159" s="10"/>
      <c r="AD159" s="66"/>
    </row>
    <row r="160" spans="1:30" ht="4" customHeight="1" x14ac:dyDescent="0.35">
      <c r="A160" s="548"/>
      <c r="B160" s="242">
        <f t="shared" si="12"/>
        <v>134</v>
      </c>
      <c r="C160" s="773"/>
      <c r="D160" s="25"/>
      <c r="E160" s="769"/>
      <c r="F160" s="25"/>
      <c r="G160" s="535"/>
      <c r="H160" s="25"/>
      <c r="I160" s="769"/>
      <c r="J160" s="25"/>
      <c r="K160" s="769"/>
      <c r="Q160" s="3"/>
      <c r="AD160" s="66"/>
    </row>
    <row r="161" spans="1:30" ht="15" customHeight="1" x14ac:dyDescent="0.35">
      <c r="A161" s="548"/>
      <c r="B161" s="242">
        <f t="shared" si="12"/>
        <v>135</v>
      </c>
      <c r="C161" s="773"/>
      <c r="D161" s="25"/>
      <c r="E161" s="769"/>
      <c r="F161" s="25"/>
      <c r="G161" s="535"/>
      <c r="H161" s="25"/>
      <c r="I161" s="769"/>
      <c r="J161" s="25"/>
      <c r="K161" s="769"/>
      <c r="M161" s="64" t="b">
        <v>0</v>
      </c>
      <c r="N161" t="s">
        <v>256</v>
      </c>
      <c r="Q161" s="9"/>
      <c r="S161" s="45" t="b">
        <v>0</v>
      </c>
      <c r="T161" s="44" t="s">
        <v>257</v>
      </c>
      <c r="V161" s="121" t="b">
        <v>0</v>
      </c>
      <c r="W161" t="s">
        <v>255</v>
      </c>
      <c r="Y161" s="776" t="b">
        <v>0</v>
      </c>
      <c r="Z161" t="s">
        <v>371</v>
      </c>
      <c r="AD161" s="66"/>
    </row>
    <row r="162" spans="1:30" ht="4" customHeight="1" x14ac:dyDescent="0.35">
      <c r="A162" s="548"/>
      <c r="B162" s="242">
        <f t="shared" si="12"/>
        <v>136</v>
      </c>
      <c r="C162" s="773"/>
      <c r="D162" s="25"/>
      <c r="E162" s="769"/>
      <c r="F162" s="25"/>
      <c r="G162" s="535"/>
      <c r="H162" s="25"/>
      <c r="I162" s="769"/>
      <c r="J162" s="25"/>
      <c r="K162" s="769"/>
      <c r="Q162" s="9"/>
      <c r="S162" s="44"/>
      <c r="T162" s="44"/>
      <c r="Y162" s="776"/>
      <c r="AD162" s="66"/>
    </row>
    <row r="163" spans="1:30" ht="15" customHeight="1" x14ac:dyDescent="0.35">
      <c r="A163" s="548"/>
      <c r="B163" s="242">
        <f t="shared" si="12"/>
        <v>137</v>
      </c>
      <c r="C163" s="773"/>
      <c r="D163" s="25"/>
      <c r="E163" s="769"/>
      <c r="F163" s="25"/>
      <c r="G163" s="535"/>
      <c r="H163" s="25"/>
      <c r="I163" s="769"/>
      <c r="J163" s="25"/>
      <c r="K163" s="769"/>
      <c r="N163" s="73" t="s">
        <v>107</v>
      </c>
      <c r="S163" s="777" t="s">
        <v>258</v>
      </c>
      <c r="T163" s="777"/>
      <c r="V163" s="777" t="s">
        <v>259</v>
      </c>
      <c r="W163" s="777"/>
      <c r="Y163" s="776"/>
      <c r="AD163" s="66"/>
    </row>
    <row r="164" spans="1:30" ht="15" customHeight="1" x14ac:dyDescent="0.35">
      <c r="A164" s="548"/>
      <c r="B164" s="242">
        <f t="shared" si="12"/>
        <v>138</v>
      </c>
      <c r="C164" s="773"/>
      <c r="D164" s="25"/>
      <c r="E164" s="769"/>
      <c r="F164" s="25"/>
      <c r="G164" s="535"/>
      <c r="H164" s="25"/>
      <c r="I164" s="769"/>
      <c r="J164" s="25"/>
      <c r="K164" s="769"/>
      <c r="N164" s="649"/>
      <c r="S164" s="64" t="b">
        <v>0</v>
      </c>
      <c r="T164" t="s">
        <v>260</v>
      </c>
      <c r="W164" t="s">
        <v>261</v>
      </c>
      <c r="AD164" s="66"/>
    </row>
    <row r="165" spans="1:30" ht="15" customHeight="1" x14ac:dyDescent="0.35">
      <c r="A165" s="548"/>
      <c r="B165" s="242">
        <f t="shared" si="12"/>
        <v>139</v>
      </c>
      <c r="C165" s="773"/>
      <c r="D165" s="25"/>
      <c r="E165" s="769"/>
      <c r="F165" s="25"/>
      <c r="G165" s="535"/>
      <c r="H165" s="25"/>
      <c r="I165" s="769"/>
      <c r="J165" s="25"/>
      <c r="K165" s="769"/>
      <c r="N165" s="649"/>
      <c r="T165" s="73" t="s">
        <v>109</v>
      </c>
      <c r="W165" s="498" t="s">
        <v>109</v>
      </c>
      <c r="X165" s="73"/>
      <c r="Y165" s="73"/>
      <c r="Z165" s="73"/>
      <c r="AD165" s="66"/>
    </row>
    <row r="166" spans="1:30" ht="15" customHeight="1" x14ac:dyDescent="0.35">
      <c r="A166" s="548"/>
      <c r="B166" s="242">
        <f t="shared" si="12"/>
        <v>140</v>
      </c>
      <c r="C166" s="774"/>
      <c r="D166" s="25"/>
      <c r="E166" s="770"/>
      <c r="F166" s="25"/>
      <c r="G166" s="535"/>
      <c r="H166" s="25"/>
      <c r="I166" s="770"/>
      <c r="J166" s="25"/>
      <c r="K166" s="770"/>
      <c r="N166" s="492"/>
      <c r="T166" s="44"/>
      <c r="W166" s="10"/>
      <c r="X166" s="73"/>
      <c r="Y166" s="73"/>
      <c r="Z166" s="73"/>
      <c r="AD166" s="66"/>
    </row>
    <row r="167" spans="1:30" ht="8" customHeight="1" thickBot="1" x14ac:dyDescent="0.4">
      <c r="A167" s="549"/>
      <c r="B167" s="242"/>
      <c r="C167" s="775"/>
      <c r="D167" s="127"/>
      <c r="E167" s="771"/>
      <c r="F167" s="127"/>
      <c r="G167" s="536"/>
      <c r="H167" s="127"/>
      <c r="I167" s="771"/>
      <c r="J167" s="127"/>
      <c r="K167" s="771"/>
      <c r="L167" s="67"/>
      <c r="M167" s="67"/>
      <c r="N167" s="67"/>
      <c r="O167" s="67"/>
      <c r="P167" s="67"/>
      <c r="Q167" s="67"/>
      <c r="R167" s="67"/>
      <c r="S167" s="67"/>
      <c r="T167" s="67"/>
      <c r="U167" s="67"/>
      <c r="V167" s="103"/>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9"/>
      <c r="W168" s="30"/>
      <c r="X168" s="30"/>
      <c r="Y168" s="30"/>
      <c r="Z168" s="30"/>
      <c r="AA168" s="30"/>
      <c r="AB168" s="30"/>
      <c r="AC168" s="30"/>
      <c r="AD168" s="30"/>
    </row>
    <row r="169" spans="1:30" ht="15" customHeight="1" x14ac:dyDescent="0.35">
      <c r="A169" s="547">
        <f>A157+1</f>
        <v>14</v>
      </c>
      <c r="B169" s="13">
        <f>(A169*10)+1</f>
        <v>141</v>
      </c>
      <c r="C169" s="772"/>
      <c r="D169" s="78"/>
      <c r="E169" s="768"/>
      <c r="F169" s="78"/>
      <c r="G169" s="534"/>
      <c r="H169" s="78"/>
      <c r="I169" s="768"/>
      <c r="J169" s="78"/>
      <c r="K169" s="768"/>
      <c r="L169" s="62"/>
      <c r="M169" s="60" t="b">
        <v>0</v>
      </c>
      <c r="N169" s="62" t="s">
        <v>247</v>
      </c>
      <c r="O169" s="62"/>
      <c r="P169" s="62"/>
      <c r="Q169" s="62" t="s">
        <v>248</v>
      </c>
      <c r="R169" s="62"/>
      <c r="S169" s="710"/>
      <c r="T169" s="62" t="s">
        <v>249</v>
      </c>
      <c r="U169" s="62"/>
      <c r="V169" s="710"/>
      <c r="W169" s="62" t="s">
        <v>250</v>
      </c>
      <c r="X169" s="62"/>
      <c r="Y169" s="710"/>
      <c r="Z169" s="62" t="s">
        <v>251</v>
      </c>
      <c r="AA169" s="62"/>
      <c r="AB169" s="710"/>
      <c r="AC169" s="62" t="s">
        <v>252</v>
      </c>
      <c r="AD169" s="71"/>
    </row>
    <row r="170" spans="1:30" ht="15" customHeight="1" x14ac:dyDescent="0.35">
      <c r="A170" s="548"/>
      <c r="B170" s="242">
        <f t="shared" ref="B170:B178" si="13">B169+1</f>
        <v>142</v>
      </c>
      <c r="C170" s="773"/>
      <c r="D170" s="25"/>
      <c r="E170" s="769"/>
      <c r="F170" s="25"/>
      <c r="G170" s="535"/>
      <c r="H170" s="25"/>
      <c r="I170" s="769"/>
      <c r="J170" s="25"/>
      <c r="K170" s="769"/>
      <c r="M170" s="64" t="b">
        <v>0</v>
      </c>
      <c r="N170" t="s">
        <v>253</v>
      </c>
      <c r="Q170" s="495" t="s">
        <v>107</v>
      </c>
      <c r="S170" s="711"/>
      <c r="T170" s="495" t="s">
        <v>107</v>
      </c>
      <c r="V170" s="711"/>
      <c r="W170" s="495" t="s">
        <v>107</v>
      </c>
      <c r="Y170" s="711"/>
      <c r="Z170" s="495" t="s">
        <v>107</v>
      </c>
      <c r="AB170" s="711"/>
      <c r="AC170" s="495" t="s">
        <v>107</v>
      </c>
      <c r="AD170" s="66"/>
    </row>
    <row r="171" spans="1:30" ht="15" customHeight="1" x14ac:dyDescent="0.35">
      <c r="A171" s="548"/>
      <c r="B171" s="242">
        <f t="shared" si="13"/>
        <v>143</v>
      </c>
      <c r="C171" s="773"/>
      <c r="D171" s="25"/>
      <c r="E171" s="769"/>
      <c r="F171" s="25"/>
      <c r="G171" s="535"/>
      <c r="H171" s="25"/>
      <c r="I171" s="769"/>
      <c r="J171" s="25"/>
      <c r="K171" s="769"/>
      <c r="M171" s="64" t="b">
        <v>0</v>
      </c>
      <c r="N171" t="s">
        <v>254</v>
      </c>
      <c r="Q171" s="5"/>
      <c r="T171" s="10"/>
      <c r="W171" s="10"/>
      <c r="Z171" s="10"/>
      <c r="AC171" s="10"/>
      <c r="AD171" s="66"/>
    </row>
    <row r="172" spans="1:30" ht="4" customHeight="1" x14ac:dyDescent="0.35">
      <c r="A172" s="548"/>
      <c r="B172" s="242">
        <f t="shared" si="13"/>
        <v>144</v>
      </c>
      <c r="C172" s="773"/>
      <c r="D172" s="25"/>
      <c r="E172" s="769"/>
      <c r="F172" s="25"/>
      <c r="G172" s="535"/>
      <c r="H172" s="25"/>
      <c r="I172" s="769"/>
      <c r="J172" s="25"/>
      <c r="K172" s="769"/>
      <c r="Q172" s="3"/>
      <c r="AD172" s="66"/>
    </row>
    <row r="173" spans="1:30" ht="15" customHeight="1" x14ac:dyDescent="0.35">
      <c r="A173" s="548"/>
      <c r="B173" s="242">
        <f t="shared" si="13"/>
        <v>145</v>
      </c>
      <c r="C173" s="773"/>
      <c r="D173" s="25"/>
      <c r="E173" s="769"/>
      <c r="F173" s="25"/>
      <c r="G173" s="535"/>
      <c r="H173" s="25"/>
      <c r="I173" s="769"/>
      <c r="J173" s="25"/>
      <c r="K173" s="769"/>
      <c r="M173" s="64" t="b">
        <v>0</v>
      </c>
      <c r="N173" t="s">
        <v>256</v>
      </c>
      <c r="Q173" s="9"/>
      <c r="S173" s="45" t="b">
        <v>0</v>
      </c>
      <c r="T173" s="44" t="s">
        <v>257</v>
      </c>
      <c r="V173" s="121" t="b">
        <v>0</v>
      </c>
      <c r="W173" t="s">
        <v>255</v>
      </c>
      <c r="Y173" s="776" t="b">
        <v>0</v>
      </c>
      <c r="Z173" t="s">
        <v>371</v>
      </c>
      <c r="AD173" s="66"/>
    </row>
    <row r="174" spans="1:30" ht="4" customHeight="1" x14ac:dyDescent="0.35">
      <c r="A174" s="548"/>
      <c r="B174" s="242">
        <f t="shared" si="13"/>
        <v>146</v>
      </c>
      <c r="C174" s="773"/>
      <c r="D174" s="25"/>
      <c r="E174" s="769"/>
      <c r="F174" s="25"/>
      <c r="G174" s="535"/>
      <c r="H174" s="25"/>
      <c r="I174" s="769"/>
      <c r="J174" s="25"/>
      <c r="K174" s="769"/>
      <c r="Q174" s="9"/>
      <c r="S174" s="44"/>
      <c r="T174" s="44"/>
      <c r="Y174" s="776"/>
      <c r="AD174" s="66"/>
    </row>
    <row r="175" spans="1:30" ht="15" customHeight="1" x14ac:dyDescent="0.35">
      <c r="A175" s="548"/>
      <c r="B175" s="242">
        <f t="shared" si="13"/>
        <v>147</v>
      </c>
      <c r="C175" s="773"/>
      <c r="D175" s="25"/>
      <c r="E175" s="769"/>
      <c r="F175" s="25"/>
      <c r="G175" s="535"/>
      <c r="H175" s="25"/>
      <c r="I175" s="769"/>
      <c r="J175" s="25"/>
      <c r="K175" s="769"/>
      <c r="N175" s="73" t="s">
        <v>107</v>
      </c>
      <c r="S175" s="777" t="s">
        <v>258</v>
      </c>
      <c r="T175" s="777"/>
      <c r="V175" s="777" t="s">
        <v>259</v>
      </c>
      <c r="W175" s="777"/>
      <c r="Y175" s="776"/>
      <c r="AD175" s="66"/>
    </row>
    <row r="176" spans="1:30" ht="15" customHeight="1" x14ac:dyDescent="0.35">
      <c r="A176" s="548"/>
      <c r="B176" s="242">
        <f t="shared" si="13"/>
        <v>148</v>
      </c>
      <c r="C176" s="773"/>
      <c r="D176" s="25"/>
      <c r="E176" s="769"/>
      <c r="F176" s="25"/>
      <c r="G176" s="535"/>
      <c r="H176" s="25"/>
      <c r="I176" s="769"/>
      <c r="J176" s="25"/>
      <c r="K176" s="769"/>
      <c r="N176" s="649"/>
      <c r="S176" s="64" t="b">
        <v>0</v>
      </c>
      <c r="T176" t="s">
        <v>260</v>
      </c>
      <c r="W176" t="s">
        <v>261</v>
      </c>
      <c r="AD176" s="66"/>
    </row>
    <row r="177" spans="1:30" ht="15" customHeight="1" x14ac:dyDescent="0.35">
      <c r="A177" s="548"/>
      <c r="B177" s="242">
        <f t="shared" si="13"/>
        <v>149</v>
      </c>
      <c r="C177" s="773"/>
      <c r="D177" s="25"/>
      <c r="E177" s="769"/>
      <c r="F177" s="25"/>
      <c r="G177" s="535"/>
      <c r="H177" s="25"/>
      <c r="I177" s="769"/>
      <c r="J177" s="25"/>
      <c r="K177" s="769"/>
      <c r="N177" s="649"/>
      <c r="T177" s="73" t="s">
        <v>109</v>
      </c>
      <c r="W177" s="498" t="s">
        <v>109</v>
      </c>
      <c r="X177" s="73"/>
      <c r="Y177" s="73"/>
      <c r="Z177" s="73"/>
      <c r="AD177" s="66"/>
    </row>
    <row r="178" spans="1:30" ht="15" customHeight="1" x14ac:dyDescent="0.35">
      <c r="A178" s="548"/>
      <c r="B178" s="242">
        <f t="shared" si="13"/>
        <v>150</v>
      </c>
      <c r="C178" s="774"/>
      <c r="D178" s="25"/>
      <c r="E178" s="770"/>
      <c r="F178" s="25"/>
      <c r="G178" s="535"/>
      <c r="H178" s="25"/>
      <c r="I178" s="770"/>
      <c r="J178" s="25"/>
      <c r="K178" s="770"/>
      <c r="N178" s="492"/>
      <c r="T178" s="44"/>
      <c r="W178" s="10"/>
      <c r="X178" s="73"/>
      <c r="Y178" s="73"/>
      <c r="Z178" s="73"/>
      <c r="AD178" s="66"/>
    </row>
    <row r="179" spans="1:30" ht="8" customHeight="1" thickBot="1" x14ac:dyDescent="0.4">
      <c r="A179" s="549"/>
      <c r="B179" s="242"/>
      <c r="C179" s="775"/>
      <c r="D179" s="127"/>
      <c r="E179" s="771"/>
      <c r="F179" s="127"/>
      <c r="G179" s="536"/>
      <c r="H179" s="127"/>
      <c r="I179" s="771"/>
      <c r="J179" s="127"/>
      <c r="K179" s="771"/>
      <c r="L179" s="67"/>
      <c r="M179" s="67"/>
      <c r="N179" s="67"/>
      <c r="O179" s="67"/>
      <c r="P179" s="67"/>
      <c r="Q179" s="67"/>
      <c r="R179" s="67"/>
      <c r="S179" s="67"/>
      <c r="T179" s="67"/>
      <c r="U179" s="67"/>
      <c r="V179" s="103"/>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9"/>
      <c r="W180" s="30"/>
      <c r="X180" s="30"/>
      <c r="Y180" s="30"/>
      <c r="Z180" s="30"/>
      <c r="AA180" s="30"/>
      <c r="AB180" s="30"/>
      <c r="AC180" s="30"/>
      <c r="AD180" s="30"/>
    </row>
    <row r="181" spans="1:30" ht="15" customHeight="1" x14ac:dyDescent="0.35">
      <c r="A181" s="547">
        <f>A169+1</f>
        <v>15</v>
      </c>
      <c r="B181" s="13">
        <f>(A181*10)+1</f>
        <v>151</v>
      </c>
      <c r="C181" s="772"/>
      <c r="D181" s="78"/>
      <c r="E181" s="768"/>
      <c r="F181" s="78"/>
      <c r="G181" s="534"/>
      <c r="H181" s="78"/>
      <c r="I181" s="768"/>
      <c r="J181" s="78"/>
      <c r="K181" s="768"/>
      <c r="L181" s="62"/>
      <c r="M181" s="60" t="b">
        <v>0</v>
      </c>
      <c r="N181" s="62" t="s">
        <v>247</v>
      </c>
      <c r="O181" s="62"/>
      <c r="P181" s="62"/>
      <c r="Q181" s="62" t="s">
        <v>248</v>
      </c>
      <c r="R181" s="62"/>
      <c r="S181" s="710"/>
      <c r="T181" s="62" t="s">
        <v>249</v>
      </c>
      <c r="U181" s="62"/>
      <c r="V181" s="710"/>
      <c r="W181" s="62" t="s">
        <v>250</v>
      </c>
      <c r="X181" s="62"/>
      <c r="Y181" s="710"/>
      <c r="Z181" s="62" t="s">
        <v>251</v>
      </c>
      <c r="AA181" s="62"/>
      <c r="AB181" s="710"/>
      <c r="AC181" s="62" t="s">
        <v>252</v>
      </c>
      <c r="AD181" s="71"/>
    </row>
    <row r="182" spans="1:30" ht="15" customHeight="1" x14ac:dyDescent="0.35">
      <c r="A182" s="548"/>
      <c r="B182" s="242">
        <f t="shared" ref="B182:B190" si="14">B181+1</f>
        <v>152</v>
      </c>
      <c r="C182" s="773"/>
      <c r="D182" s="25"/>
      <c r="E182" s="769"/>
      <c r="F182" s="25"/>
      <c r="G182" s="535"/>
      <c r="H182" s="25"/>
      <c r="I182" s="769"/>
      <c r="J182" s="25"/>
      <c r="K182" s="769"/>
      <c r="M182" s="64" t="b">
        <v>0</v>
      </c>
      <c r="N182" t="s">
        <v>253</v>
      </c>
      <c r="Q182" s="495" t="s">
        <v>107</v>
      </c>
      <c r="S182" s="711"/>
      <c r="T182" s="495" t="s">
        <v>107</v>
      </c>
      <c r="V182" s="711"/>
      <c r="W182" s="495" t="s">
        <v>107</v>
      </c>
      <c r="Y182" s="711"/>
      <c r="Z182" s="495" t="s">
        <v>107</v>
      </c>
      <c r="AB182" s="711"/>
      <c r="AC182" s="495" t="s">
        <v>107</v>
      </c>
      <c r="AD182" s="66"/>
    </row>
    <row r="183" spans="1:30" ht="15" customHeight="1" x14ac:dyDescent="0.35">
      <c r="A183" s="548"/>
      <c r="B183" s="242">
        <f t="shared" si="14"/>
        <v>153</v>
      </c>
      <c r="C183" s="773"/>
      <c r="D183" s="25"/>
      <c r="E183" s="769"/>
      <c r="F183" s="25"/>
      <c r="G183" s="535"/>
      <c r="H183" s="25"/>
      <c r="I183" s="769"/>
      <c r="J183" s="25"/>
      <c r="K183" s="769"/>
      <c r="M183" s="64" t="b">
        <v>0</v>
      </c>
      <c r="N183" t="s">
        <v>254</v>
      </c>
      <c r="Q183" s="5"/>
      <c r="T183" s="10"/>
      <c r="W183" s="10"/>
      <c r="Z183" s="10"/>
      <c r="AC183" s="10"/>
      <c r="AD183" s="66"/>
    </row>
    <row r="184" spans="1:30" ht="15" customHeight="1" x14ac:dyDescent="0.35">
      <c r="A184" s="548"/>
      <c r="B184" s="242">
        <f t="shared" si="14"/>
        <v>154</v>
      </c>
      <c r="C184" s="773"/>
      <c r="D184" s="25"/>
      <c r="E184" s="769"/>
      <c r="F184" s="25"/>
      <c r="G184" s="535"/>
      <c r="H184" s="25"/>
      <c r="I184" s="769"/>
      <c r="J184" s="25"/>
      <c r="K184" s="769"/>
      <c r="Q184" s="3"/>
      <c r="AD184" s="66"/>
    </row>
    <row r="185" spans="1:30" ht="15" customHeight="1" x14ac:dyDescent="0.35">
      <c r="A185" s="548"/>
      <c r="B185" s="242">
        <f t="shared" si="14"/>
        <v>155</v>
      </c>
      <c r="C185" s="773"/>
      <c r="D185" s="25"/>
      <c r="E185" s="769"/>
      <c r="F185" s="25"/>
      <c r="G185" s="535"/>
      <c r="H185" s="25"/>
      <c r="I185" s="769"/>
      <c r="J185" s="25"/>
      <c r="K185" s="769"/>
      <c r="M185" s="64" t="b">
        <v>0</v>
      </c>
      <c r="N185" t="s">
        <v>256</v>
      </c>
      <c r="Q185" s="9"/>
      <c r="S185" s="45" t="b">
        <v>0</v>
      </c>
      <c r="T185" s="44" t="s">
        <v>257</v>
      </c>
      <c r="V185" s="121" t="b">
        <v>0</v>
      </c>
      <c r="W185" t="s">
        <v>255</v>
      </c>
      <c r="Y185" s="776" t="b">
        <v>0</v>
      </c>
      <c r="Z185" t="s">
        <v>371</v>
      </c>
      <c r="AD185" s="66"/>
    </row>
    <row r="186" spans="1:30" ht="15" customHeight="1" x14ac:dyDescent="0.35">
      <c r="A186" s="548"/>
      <c r="B186" s="242">
        <f t="shared" si="14"/>
        <v>156</v>
      </c>
      <c r="C186" s="773"/>
      <c r="D186" s="25"/>
      <c r="E186" s="769"/>
      <c r="F186" s="25"/>
      <c r="G186" s="535"/>
      <c r="H186" s="25"/>
      <c r="I186" s="769"/>
      <c r="J186" s="25"/>
      <c r="K186" s="769"/>
      <c r="Q186" s="9"/>
      <c r="S186" s="44"/>
      <c r="T186" s="44"/>
      <c r="Y186" s="776"/>
      <c r="AD186" s="66"/>
    </row>
    <row r="187" spans="1:30" ht="15" customHeight="1" x14ac:dyDescent="0.35">
      <c r="A187" s="548"/>
      <c r="B187" s="242">
        <f t="shared" si="14"/>
        <v>157</v>
      </c>
      <c r="C187" s="773"/>
      <c r="D187" s="25"/>
      <c r="E187" s="769"/>
      <c r="F187" s="25"/>
      <c r="G187" s="535"/>
      <c r="H187" s="25"/>
      <c r="I187" s="769"/>
      <c r="J187" s="25"/>
      <c r="K187" s="769"/>
      <c r="N187" s="73" t="s">
        <v>107</v>
      </c>
      <c r="S187" s="777" t="s">
        <v>258</v>
      </c>
      <c r="T187" s="777"/>
      <c r="V187" s="777" t="s">
        <v>259</v>
      </c>
      <c r="W187" s="777"/>
      <c r="Y187" s="776"/>
      <c r="AD187" s="66"/>
    </row>
    <row r="188" spans="1:30" ht="15" customHeight="1" x14ac:dyDescent="0.35">
      <c r="A188" s="548"/>
      <c r="B188" s="242">
        <f t="shared" si="14"/>
        <v>158</v>
      </c>
      <c r="C188" s="773"/>
      <c r="D188" s="25"/>
      <c r="E188" s="769"/>
      <c r="F188" s="25"/>
      <c r="G188" s="535"/>
      <c r="H188" s="25"/>
      <c r="I188" s="769"/>
      <c r="J188" s="25"/>
      <c r="K188" s="769"/>
      <c r="N188" s="649"/>
      <c r="S188" s="64" t="b">
        <v>0</v>
      </c>
      <c r="T188" t="s">
        <v>260</v>
      </c>
      <c r="W188" t="s">
        <v>261</v>
      </c>
      <c r="AD188" s="66"/>
    </row>
    <row r="189" spans="1:30" ht="15" customHeight="1" x14ac:dyDescent="0.35">
      <c r="A189" s="548"/>
      <c r="B189" s="242">
        <f t="shared" si="14"/>
        <v>159</v>
      </c>
      <c r="C189" s="773"/>
      <c r="D189" s="25"/>
      <c r="E189" s="769"/>
      <c r="F189" s="25"/>
      <c r="G189" s="535"/>
      <c r="H189" s="25"/>
      <c r="I189" s="769"/>
      <c r="J189" s="25"/>
      <c r="K189" s="769"/>
      <c r="N189" s="649"/>
      <c r="T189" s="73" t="s">
        <v>109</v>
      </c>
      <c r="W189" s="498" t="s">
        <v>109</v>
      </c>
      <c r="X189" s="73"/>
      <c r="Y189" s="73"/>
      <c r="Z189" s="73"/>
      <c r="AD189" s="66"/>
    </row>
    <row r="190" spans="1:30" ht="15" customHeight="1" x14ac:dyDescent="0.35">
      <c r="A190" s="548"/>
      <c r="B190" s="242">
        <f t="shared" si="14"/>
        <v>160</v>
      </c>
      <c r="C190" s="774"/>
      <c r="D190" s="25"/>
      <c r="E190" s="770"/>
      <c r="F190" s="25"/>
      <c r="G190" s="535"/>
      <c r="H190" s="25"/>
      <c r="I190" s="770"/>
      <c r="J190" s="25"/>
      <c r="K190" s="770"/>
      <c r="N190" s="492"/>
      <c r="T190" s="44"/>
      <c r="W190" s="10"/>
      <c r="X190" s="73"/>
      <c r="Y190" s="73"/>
      <c r="Z190" s="73"/>
      <c r="AD190" s="66"/>
    </row>
    <row r="191" spans="1:30" ht="15" customHeight="1" thickBot="1" x14ac:dyDescent="0.4">
      <c r="A191" s="549"/>
      <c r="B191" s="242"/>
      <c r="C191" s="775"/>
      <c r="D191" s="127"/>
      <c r="E191" s="771"/>
      <c r="F191" s="127"/>
      <c r="G191" s="536"/>
      <c r="H191" s="127"/>
      <c r="I191" s="771"/>
      <c r="J191" s="127"/>
      <c r="K191" s="771"/>
      <c r="L191" s="67"/>
      <c r="M191" s="67"/>
      <c r="N191" s="67"/>
      <c r="O191" s="67"/>
      <c r="P191" s="67"/>
      <c r="Q191" s="67"/>
      <c r="R191" s="67"/>
      <c r="S191" s="67"/>
      <c r="T191" s="67"/>
      <c r="U191" s="67"/>
      <c r="V191" s="103"/>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9"/>
      <c r="W192" s="30"/>
      <c r="X192" s="30"/>
      <c r="Y192" s="30"/>
      <c r="Z192" s="30"/>
      <c r="AA192" s="30"/>
      <c r="AB192" s="30"/>
      <c r="AC192" s="30"/>
      <c r="AD192" s="30"/>
    </row>
    <row r="193" spans="1:30" ht="15" customHeight="1" x14ac:dyDescent="0.35">
      <c r="A193" s="547">
        <f>A181+1</f>
        <v>16</v>
      </c>
      <c r="B193" s="13">
        <f>(A193*10)+1</f>
        <v>161</v>
      </c>
      <c r="C193" s="772"/>
      <c r="D193" s="78"/>
      <c r="E193" s="768"/>
      <c r="F193" s="78"/>
      <c r="G193" s="534"/>
      <c r="H193" s="78"/>
      <c r="I193" s="768"/>
      <c r="J193" s="78"/>
      <c r="K193" s="768"/>
      <c r="L193" s="62"/>
      <c r="M193" s="60" t="b">
        <v>0</v>
      </c>
      <c r="N193" s="62" t="s">
        <v>247</v>
      </c>
      <c r="O193" s="62"/>
      <c r="P193" s="62"/>
      <c r="Q193" s="62" t="s">
        <v>248</v>
      </c>
      <c r="R193" s="62"/>
      <c r="S193" s="710"/>
      <c r="T193" s="62" t="s">
        <v>249</v>
      </c>
      <c r="U193" s="62"/>
      <c r="V193" s="710"/>
      <c r="W193" s="62" t="s">
        <v>250</v>
      </c>
      <c r="X193" s="62"/>
      <c r="Y193" s="710"/>
      <c r="Z193" s="62" t="s">
        <v>251</v>
      </c>
      <c r="AA193" s="62"/>
      <c r="AB193" s="710"/>
      <c r="AC193" s="62" t="s">
        <v>252</v>
      </c>
      <c r="AD193" s="71"/>
    </row>
    <row r="194" spans="1:30" ht="15" customHeight="1" x14ac:dyDescent="0.35">
      <c r="A194" s="548"/>
      <c r="B194" s="242">
        <f t="shared" ref="B194:B202" si="15">B193+1</f>
        <v>162</v>
      </c>
      <c r="C194" s="773"/>
      <c r="D194" s="25"/>
      <c r="E194" s="769"/>
      <c r="F194" s="25"/>
      <c r="G194" s="535"/>
      <c r="H194" s="25"/>
      <c r="I194" s="769"/>
      <c r="J194" s="25"/>
      <c r="K194" s="769"/>
      <c r="M194" s="64" t="b">
        <v>0</v>
      </c>
      <c r="N194" t="s">
        <v>253</v>
      </c>
      <c r="Q194" s="495" t="s">
        <v>107</v>
      </c>
      <c r="S194" s="711"/>
      <c r="T194" s="495" t="s">
        <v>107</v>
      </c>
      <c r="V194" s="711"/>
      <c r="W194" s="495" t="s">
        <v>107</v>
      </c>
      <c r="Y194" s="711"/>
      <c r="Z194" s="495" t="s">
        <v>107</v>
      </c>
      <c r="AB194" s="711"/>
      <c r="AC194" s="495" t="s">
        <v>107</v>
      </c>
      <c r="AD194" s="66"/>
    </row>
    <row r="195" spans="1:30" ht="15" customHeight="1" x14ac:dyDescent="0.35">
      <c r="A195" s="548"/>
      <c r="B195" s="242">
        <f t="shared" si="15"/>
        <v>163</v>
      </c>
      <c r="C195" s="773"/>
      <c r="D195" s="25"/>
      <c r="E195" s="769"/>
      <c r="F195" s="25"/>
      <c r="G195" s="535"/>
      <c r="H195" s="25"/>
      <c r="I195" s="769"/>
      <c r="J195" s="25"/>
      <c r="K195" s="769"/>
      <c r="M195" s="64" t="b">
        <v>0</v>
      </c>
      <c r="N195" t="s">
        <v>254</v>
      </c>
      <c r="Q195" s="5"/>
      <c r="T195" s="10"/>
      <c r="W195" s="10"/>
      <c r="Z195" s="10"/>
      <c r="AC195" s="10"/>
      <c r="AD195" s="66"/>
    </row>
    <row r="196" spans="1:30" ht="15" customHeight="1" x14ac:dyDescent="0.35">
      <c r="A196" s="548"/>
      <c r="B196" s="242">
        <f t="shared" si="15"/>
        <v>164</v>
      </c>
      <c r="C196" s="773"/>
      <c r="D196" s="25"/>
      <c r="E196" s="769"/>
      <c r="F196" s="25"/>
      <c r="G196" s="535"/>
      <c r="H196" s="25"/>
      <c r="I196" s="769"/>
      <c r="J196" s="25"/>
      <c r="K196" s="769"/>
      <c r="Q196" s="3"/>
      <c r="AD196" s="66"/>
    </row>
    <row r="197" spans="1:30" ht="15" customHeight="1" x14ac:dyDescent="0.35">
      <c r="A197" s="548"/>
      <c r="B197" s="242">
        <f t="shared" si="15"/>
        <v>165</v>
      </c>
      <c r="C197" s="773"/>
      <c r="D197" s="25"/>
      <c r="E197" s="769"/>
      <c r="F197" s="25"/>
      <c r="G197" s="535"/>
      <c r="H197" s="25"/>
      <c r="I197" s="769"/>
      <c r="J197" s="25"/>
      <c r="K197" s="769"/>
      <c r="M197" s="64" t="b">
        <v>0</v>
      </c>
      <c r="N197" t="s">
        <v>256</v>
      </c>
      <c r="Q197" s="9"/>
      <c r="S197" s="45" t="b">
        <v>0</v>
      </c>
      <c r="T197" s="44" t="s">
        <v>257</v>
      </c>
      <c r="V197" s="121" t="b">
        <v>0</v>
      </c>
      <c r="W197" t="s">
        <v>255</v>
      </c>
      <c r="Y197" s="776" t="b">
        <v>0</v>
      </c>
      <c r="Z197" t="s">
        <v>371</v>
      </c>
      <c r="AD197" s="66"/>
    </row>
    <row r="198" spans="1:30" ht="15" customHeight="1" x14ac:dyDescent="0.35">
      <c r="A198" s="548"/>
      <c r="B198" s="242">
        <f t="shared" si="15"/>
        <v>166</v>
      </c>
      <c r="C198" s="773"/>
      <c r="D198" s="25"/>
      <c r="E198" s="769"/>
      <c r="F198" s="25"/>
      <c r="G198" s="535"/>
      <c r="H198" s="25"/>
      <c r="I198" s="769"/>
      <c r="J198" s="25"/>
      <c r="K198" s="769"/>
      <c r="Q198" s="9"/>
      <c r="S198" s="44"/>
      <c r="T198" s="44"/>
      <c r="Y198" s="776"/>
      <c r="AD198" s="66"/>
    </row>
    <row r="199" spans="1:30" ht="15" customHeight="1" x14ac:dyDescent="0.35">
      <c r="A199" s="548"/>
      <c r="B199" s="242">
        <f t="shared" si="15"/>
        <v>167</v>
      </c>
      <c r="C199" s="773"/>
      <c r="D199" s="25"/>
      <c r="E199" s="769"/>
      <c r="F199" s="25"/>
      <c r="G199" s="535"/>
      <c r="H199" s="25"/>
      <c r="I199" s="769"/>
      <c r="J199" s="25"/>
      <c r="K199" s="769"/>
      <c r="N199" s="73" t="s">
        <v>107</v>
      </c>
      <c r="S199" s="777" t="s">
        <v>258</v>
      </c>
      <c r="T199" s="777"/>
      <c r="V199" s="777" t="s">
        <v>259</v>
      </c>
      <c r="W199" s="777"/>
      <c r="Y199" s="776"/>
      <c r="AD199" s="66"/>
    </row>
    <row r="200" spans="1:30" ht="15" customHeight="1" x14ac:dyDescent="0.35">
      <c r="A200" s="548"/>
      <c r="B200" s="242">
        <f t="shared" si="15"/>
        <v>168</v>
      </c>
      <c r="C200" s="773"/>
      <c r="D200" s="25"/>
      <c r="E200" s="769"/>
      <c r="F200" s="25"/>
      <c r="G200" s="535"/>
      <c r="H200" s="25"/>
      <c r="I200" s="769"/>
      <c r="J200" s="25"/>
      <c r="K200" s="769"/>
      <c r="N200" s="649"/>
      <c r="S200" s="64" t="b">
        <v>0</v>
      </c>
      <c r="T200" t="s">
        <v>260</v>
      </c>
      <c r="W200" t="s">
        <v>261</v>
      </c>
      <c r="AD200" s="66"/>
    </row>
    <row r="201" spans="1:30" ht="15" customHeight="1" x14ac:dyDescent="0.35">
      <c r="A201" s="548"/>
      <c r="B201" s="242">
        <f t="shared" si="15"/>
        <v>169</v>
      </c>
      <c r="C201" s="773"/>
      <c r="D201" s="25"/>
      <c r="E201" s="769"/>
      <c r="F201" s="25"/>
      <c r="G201" s="535"/>
      <c r="H201" s="25"/>
      <c r="I201" s="769"/>
      <c r="J201" s="25"/>
      <c r="K201" s="769"/>
      <c r="N201" s="649"/>
      <c r="T201" s="73" t="s">
        <v>109</v>
      </c>
      <c r="W201" s="498" t="s">
        <v>109</v>
      </c>
      <c r="X201" s="73"/>
      <c r="Y201" s="73"/>
      <c r="Z201" s="73"/>
      <c r="AD201" s="66"/>
    </row>
    <row r="202" spans="1:30" ht="15" customHeight="1" x14ac:dyDescent="0.35">
      <c r="A202" s="548"/>
      <c r="B202" s="242">
        <f t="shared" si="15"/>
        <v>170</v>
      </c>
      <c r="C202" s="774"/>
      <c r="D202" s="25"/>
      <c r="E202" s="770"/>
      <c r="F202" s="25"/>
      <c r="G202" s="535"/>
      <c r="H202" s="25"/>
      <c r="I202" s="770"/>
      <c r="J202" s="25"/>
      <c r="K202" s="770"/>
      <c r="N202" s="492"/>
      <c r="T202" s="44"/>
      <c r="W202" s="10"/>
      <c r="X202" s="73"/>
      <c r="Y202" s="73"/>
      <c r="Z202" s="73"/>
      <c r="AD202" s="66"/>
    </row>
    <row r="203" spans="1:30" ht="8" customHeight="1" thickBot="1" x14ac:dyDescent="0.4">
      <c r="A203" s="549"/>
      <c r="B203" s="242"/>
      <c r="C203" s="775"/>
      <c r="D203" s="127"/>
      <c r="E203" s="771"/>
      <c r="F203" s="127"/>
      <c r="G203" s="536"/>
      <c r="H203" s="127"/>
      <c r="I203" s="771"/>
      <c r="J203" s="127"/>
      <c r="K203" s="771"/>
      <c r="L203" s="67"/>
      <c r="M203" s="67"/>
      <c r="N203" s="67"/>
      <c r="O203" s="67"/>
      <c r="P203" s="67"/>
      <c r="Q203" s="67"/>
      <c r="R203" s="67"/>
      <c r="S203" s="67"/>
      <c r="T203" s="67"/>
      <c r="U203" s="67"/>
      <c r="V203" s="103"/>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9"/>
      <c r="W204" s="30"/>
      <c r="X204" s="30"/>
      <c r="Y204" s="30"/>
      <c r="Z204" s="30"/>
      <c r="AA204" s="30"/>
      <c r="AB204" s="30"/>
      <c r="AC204" s="30"/>
      <c r="AD204" s="30"/>
    </row>
    <row r="205" spans="1:30" ht="15" customHeight="1" x14ac:dyDescent="0.35">
      <c r="A205" s="547">
        <f>A193+1</f>
        <v>17</v>
      </c>
      <c r="B205" s="13">
        <f>(A205*10)+1</f>
        <v>171</v>
      </c>
      <c r="C205" s="772"/>
      <c r="D205" s="78"/>
      <c r="E205" s="768"/>
      <c r="F205" s="78"/>
      <c r="G205" s="534"/>
      <c r="H205" s="78"/>
      <c r="I205" s="768"/>
      <c r="J205" s="78"/>
      <c r="K205" s="768"/>
      <c r="L205" s="62"/>
      <c r="M205" s="60" t="b">
        <v>0</v>
      </c>
      <c r="N205" s="62" t="s">
        <v>247</v>
      </c>
      <c r="O205" s="62"/>
      <c r="P205" s="62"/>
      <c r="Q205" s="62" t="s">
        <v>248</v>
      </c>
      <c r="R205" s="62"/>
      <c r="S205" s="710"/>
      <c r="T205" s="62" t="s">
        <v>249</v>
      </c>
      <c r="U205" s="62"/>
      <c r="V205" s="710"/>
      <c r="W205" s="62" t="s">
        <v>250</v>
      </c>
      <c r="X205" s="62"/>
      <c r="Y205" s="710"/>
      <c r="Z205" s="62" t="s">
        <v>251</v>
      </c>
      <c r="AA205" s="62"/>
      <c r="AB205" s="710"/>
      <c r="AC205" s="62" t="s">
        <v>252</v>
      </c>
      <c r="AD205" s="71"/>
    </row>
    <row r="206" spans="1:30" ht="15" customHeight="1" x14ac:dyDescent="0.35">
      <c r="A206" s="548"/>
      <c r="B206" s="242">
        <f t="shared" ref="B206:B214" si="16">B205+1</f>
        <v>172</v>
      </c>
      <c r="C206" s="773"/>
      <c r="D206" s="25"/>
      <c r="E206" s="769"/>
      <c r="F206" s="25"/>
      <c r="G206" s="535"/>
      <c r="H206" s="25"/>
      <c r="I206" s="769"/>
      <c r="J206" s="25"/>
      <c r="K206" s="769"/>
      <c r="M206" s="64" t="b">
        <v>0</v>
      </c>
      <c r="N206" t="s">
        <v>253</v>
      </c>
      <c r="Q206" s="495" t="s">
        <v>107</v>
      </c>
      <c r="S206" s="711"/>
      <c r="T206" s="495" t="s">
        <v>107</v>
      </c>
      <c r="V206" s="711"/>
      <c r="W206" s="495" t="s">
        <v>107</v>
      </c>
      <c r="Y206" s="711"/>
      <c r="Z206" s="495" t="s">
        <v>107</v>
      </c>
      <c r="AB206" s="711"/>
      <c r="AC206" s="495" t="s">
        <v>107</v>
      </c>
      <c r="AD206" s="66"/>
    </row>
    <row r="207" spans="1:30" ht="15" customHeight="1" x14ac:dyDescent="0.35">
      <c r="A207" s="548"/>
      <c r="B207" s="242">
        <f t="shared" si="16"/>
        <v>173</v>
      </c>
      <c r="C207" s="773"/>
      <c r="D207" s="25"/>
      <c r="E207" s="769"/>
      <c r="F207" s="25"/>
      <c r="G207" s="535"/>
      <c r="H207" s="25"/>
      <c r="I207" s="769"/>
      <c r="J207" s="25"/>
      <c r="K207" s="769"/>
      <c r="M207" s="64" t="b">
        <v>0</v>
      </c>
      <c r="N207" t="s">
        <v>254</v>
      </c>
      <c r="Q207" s="5"/>
      <c r="T207" s="10"/>
      <c r="W207" s="10"/>
      <c r="Z207" s="10"/>
      <c r="AC207" s="10"/>
      <c r="AD207" s="66"/>
    </row>
    <row r="208" spans="1:30" ht="15" customHeight="1" x14ac:dyDescent="0.35">
      <c r="A208" s="548"/>
      <c r="B208" s="242">
        <f t="shared" si="16"/>
        <v>174</v>
      </c>
      <c r="C208" s="773"/>
      <c r="D208" s="25"/>
      <c r="E208" s="769"/>
      <c r="F208" s="25"/>
      <c r="G208" s="535"/>
      <c r="H208" s="25"/>
      <c r="I208" s="769"/>
      <c r="J208" s="25"/>
      <c r="K208" s="769"/>
      <c r="Q208" s="3"/>
      <c r="AD208" s="66"/>
    </row>
    <row r="209" spans="1:30" ht="15" customHeight="1" x14ac:dyDescent="0.35">
      <c r="A209" s="548"/>
      <c r="B209" s="242">
        <f t="shared" si="16"/>
        <v>175</v>
      </c>
      <c r="C209" s="773"/>
      <c r="D209" s="25"/>
      <c r="E209" s="769"/>
      <c r="F209" s="25"/>
      <c r="G209" s="535"/>
      <c r="H209" s="25"/>
      <c r="I209" s="769"/>
      <c r="J209" s="25"/>
      <c r="K209" s="769"/>
      <c r="M209" s="64" t="b">
        <v>0</v>
      </c>
      <c r="N209" t="s">
        <v>256</v>
      </c>
      <c r="Q209" s="9"/>
      <c r="S209" s="45" t="b">
        <v>0</v>
      </c>
      <c r="T209" s="44" t="s">
        <v>257</v>
      </c>
      <c r="V209" s="121" t="b">
        <v>0</v>
      </c>
      <c r="W209" t="s">
        <v>255</v>
      </c>
      <c r="Y209" s="776" t="b">
        <v>0</v>
      </c>
      <c r="Z209" t="s">
        <v>371</v>
      </c>
      <c r="AD209" s="66"/>
    </row>
    <row r="210" spans="1:30" ht="15" customHeight="1" x14ac:dyDescent="0.35">
      <c r="A210" s="548"/>
      <c r="B210" s="242">
        <f t="shared" si="16"/>
        <v>176</v>
      </c>
      <c r="C210" s="773"/>
      <c r="D210" s="25"/>
      <c r="E210" s="769"/>
      <c r="F210" s="25"/>
      <c r="G210" s="535"/>
      <c r="H210" s="25"/>
      <c r="I210" s="769"/>
      <c r="J210" s="25"/>
      <c r="K210" s="769"/>
      <c r="Q210" s="9"/>
      <c r="S210" s="44"/>
      <c r="T210" s="44"/>
      <c r="Y210" s="776"/>
      <c r="AD210" s="66"/>
    </row>
    <row r="211" spans="1:30" ht="15" customHeight="1" x14ac:dyDescent="0.35">
      <c r="A211" s="548"/>
      <c r="B211" s="242">
        <f t="shared" si="16"/>
        <v>177</v>
      </c>
      <c r="C211" s="773"/>
      <c r="D211" s="25"/>
      <c r="E211" s="769"/>
      <c r="F211" s="25"/>
      <c r="G211" s="535"/>
      <c r="H211" s="25"/>
      <c r="I211" s="769"/>
      <c r="J211" s="25"/>
      <c r="K211" s="769"/>
      <c r="N211" s="73" t="s">
        <v>107</v>
      </c>
      <c r="S211" s="777" t="s">
        <v>258</v>
      </c>
      <c r="T211" s="777"/>
      <c r="V211" s="777" t="s">
        <v>259</v>
      </c>
      <c r="W211" s="777"/>
      <c r="Y211" s="776"/>
      <c r="AD211" s="66"/>
    </row>
    <row r="212" spans="1:30" x14ac:dyDescent="0.35">
      <c r="A212" s="548"/>
      <c r="B212" s="242">
        <f t="shared" si="16"/>
        <v>178</v>
      </c>
      <c r="C212" s="773"/>
      <c r="D212" s="25"/>
      <c r="E212" s="769"/>
      <c r="F212" s="25"/>
      <c r="G212" s="535"/>
      <c r="H212" s="25"/>
      <c r="I212" s="769"/>
      <c r="J212" s="25"/>
      <c r="K212" s="769"/>
      <c r="N212" s="649"/>
      <c r="S212" s="64" t="b">
        <v>0</v>
      </c>
      <c r="T212" t="s">
        <v>260</v>
      </c>
      <c r="W212" t="s">
        <v>261</v>
      </c>
      <c r="AD212" s="66"/>
    </row>
    <row r="213" spans="1:30" x14ac:dyDescent="0.35">
      <c r="A213" s="548"/>
      <c r="B213" s="242">
        <f t="shared" si="16"/>
        <v>179</v>
      </c>
      <c r="C213" s="773"/>
      <c r="D213" s="25"/>
      <c r="E213" s="769"/>
      <c r="F213" s="25"/>
      <c r="G213" s="535"/>
      <c r="H213" s="25"/>
      <c r="I213" s="769"/>
      <c r="J213" s="25"/>
      <c r="K213" s="769"/>
      <c r="N213" s="649"/>
      <c r="T213" s="73" t="s">
        <v>109</v>
      </c>
      <c r="W213" s="498" t="s">
        <v>109</v>
      </c>
      <c r="X213" s="73"/>
      <c r="Y213" s="73"/>
      <c r="Z213" s="73"/>
      <c r="AD213" s="66"/>
    </row>
    <row r="214" spans="1:30" x14ac:dyDescent="0.35">
      <c r="A214" s="548"/>
      <c r="B214" s="242">
        <f t="shared" si="16"/>
        <v>180</v>
      </c>
      <c r="C214" s="774"/>
      <c r="D214" s="25"/>
      <c r="E214" s="770"/>
      <c r="F214" s="25"/>
      <c r="G214" s="535"/>
      <c r="H214" s="25"/>
      <c r="I214" s="770"/>
      <c r="J214" s="25"/>
      <c r="K214" s="770"/>
      <c r="N214" s="492"/>
      <c r="T214" s="44"/>
      <c r="W214" s="10"/>
      <c r="X214" s="73"/>
      <c r="Y214" s="73"/>
      <c r="Z214" s="73"/>
      <c r="AD214" s="66"/>
    </row>
    <row r="215" spans="1:30" ht="8" customHeight="1" thickBot="1" x14ac:dyDescent="0.4">
      <c r="A215" s="549"/>
      <c r="B215" s="242"/>
      <c r="C215" s="775"/>
      <c r="D215" s="127"/>
      <c r="E215" s="771"/>
      <c r="F215" s="127"/>
      <c r="G215" s="536"/>
      <c r="H215" s="127"/>
      <c r="I215" s="771"/>
      <c r="J215" s="127"/>
      <c r="K215" s="771"/>
      <c r="L215" s="67"/>
      <c r="M215" s="67"/>
      <c r="N215" s="67"/>
      <c r="O215" s="67"/>
      <c r="P215" s="67"/>
      <c r="Q215" s="67"/>
      <c r="R215" s="67"/>
      <c r="S215" s="67"/>
      <c r="T215" s="67"/>
      <c r="U215" s="67"/>
      <c r="V215" s="103"/>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9"/>
      <c r="W216" s="30"/>
      <c r="X216" s="30"/>
      <c r="Y216" s="30"/>
      <c r="Z216" s="30"/>
      <c r="AA216" s="30"/>
      <c r="AB216" s="30"/>
      <c r="AC216" s="30"/>
      <c r="AD216" s="30"/>
    </row>
    <row r="217" spans="1:30" x14ac:dyDescent="0.35">
      <c r="A217" s="547">
        <f>A205+1</f>
        <v>18</v>
      </c>
      <c r="B217" s="13">
        <f>(A217*10)+1</f>
        <v>181</v>
      </c>
      <c r="C217" s="772"/>
      <c r="D217" s="78"/>
      <c r="E217" s="768"/>
      <c r="F217" s="78"/>
      <c r="G217" s="534"/>
      <c r="H217" s="78"/>
      <c r="I217" s="768"/>
      <c r="J217" s="78"/>
      <c r="K217" s="768"/>
      <c r="L217" s="62"/>
      <c r="M217" s="60" t="b">
        <v>0</v>
      </c>
      <c r="N217" s="62" t="s">
        <v>247</v>
      </c>
      <c r="O217" s="62"/>
      <c r="P217" s="62"/>
      <c r="Q217" s="62" t="s">
        <v>248</v>
      </c>
      <c r="R217" s="62"/>
      <c r="S217" s="710"/>
      <c r="T217" s="62" t="s">
        <v>249</v>
      </c>
      <c r="U217" s="62"/>
      <c r="V217" s="710"/>
      <c r="W217" s="62" t="s">
        <v>250</v>
      </c>
      <c r="X217" s="62"/>
      <c r="Y217" s="710"/>
      <c r="Z217" s="62" t="s">
        <v>251</v>
      </c>
      <c r="AA217" s="62"/>
      <c r="AB217" s="710"/>
      <c r="AC217" s="62" t="s">
        <v>252</v>
      </c>
      <c r="AD217" s="71"/>
    </row>
    <row r="218" spans="1:30" x14ac:dyDescent="0.35">
      <c r="A218" s="548"/>
      <c r="B218" s="242">
        <f t="shared" ref="B218:B226" si="17">B217+1</f>
        <v>182</v>
      </c>
      <c r="C218" s="773"/>
      <c r="D218" s="25"/>
      <c r="E218" s="769"/>
      <c r="F218" s="25"/>
      <c r="G218" s="535"/>
      <c r="H218" s="25"/>
      <c r="I218" s="769"/>
      <c r="J218" s="25"/>
      <c r="K218" s="769"/>
      <c r="M218" s="64" t="b">
        <v>0</v>
      </c>
      <c r="N218" t="s">
        <v>253</v>
      </c>
      <c r="Q218" s="495" t="s">
        <v>107</v>
      </c>
      <c r="S218" s="711"/>
      <c r="T218" s="495" t="s">
        <v>107</v>
      </c>
      <c r="V218" s="711"/>
      <c r="W218" s="495" t="s">
        <v>107</v>
      </c>
      <c r="Y218" s="711"/>
      <c r="Z218" s="495" t="s">
        <v>107</v>
      </c>
      <c r="AB218" s="711"/>
      <c r="AC218" s="495" t="s">
        <v>107</v>
      </c>
      <c r="AD218" s="66"/>
    </row>
    <row r="219" spans="1:30" x14ac:dyDescent="0.35">
      <c r="A219" s="548"/>
      <c r="B219" s="242">
        <f t="shared" si="17"/>
        <v>183</v>
      </c>
      <c r="C219" s="773"/>
      <c r="D219" s="25"/>
      <c r="E219" s="769"/>
      <c r="F219" s="25"/>
      <c r="G219" s="535"/>
      <c r="H219" s="25"/>
      <c r="I219" s="769"/>
      <c r="J219" s="25"/>
      <c r="K219" s="769"/>
      <c r="M219" s="64" t="b">
        <v>0</v>
      </c>
      <c r="N219" t="s">
        <v>254</v>
      </c>
      <c r="Q219" s="5"/>
      <c r="T219" s="10"/>
      <c r="W219" s="10"/>
      <c r="Z219" s="10"/>
      <c r="AC219" s="10"/>
      <c r="AD219" s="66"/>
    </row>
    <row r="220" spans="1:30" x14ac:dyDescent="0.35">
      <c r="A220" s="548"/>
      <c r="B220" s="242">
        <f t="shared" si="17"/>
        <v>184</v>
      </c>
      <c r="C220" s="773"/>
      <c r="D220" s="25"/>
      <c r="E220" s="769"/>
      <c r="F220" s="25"/>
      <c r="G220" s="535"/>
      <c r="H220" s="25"/>
      <c r="I220" s="769"/>
      <c r="J220" s="25"/>
      <c r="K220" s="769"/>
      <c r="Q220" s="3"/>
      <c r="AD220" s="66"/>
    </row>
    <row r="221" spans="1:30" x14ac:dyDescent="0.35">
      <c r="A221" s="548"/>
      <c r="B221" s="242">
        <f t="shared" si="17"/>
        <v>185</v>
      </c>
      <c r="C221" s="773"/>
      <c r="D221" s="25"/>
      <c r="E221" s="769"/>
      <c r="F221" s="25"/>
      <c r="G221" s="535"/>
      <c r="H221" s="25"/>
      <c r="I221" s="769"/>
      <c r="J221" s="25"/>
      <c r="K221" s="769"/>
      <c r="M221" s="64" t="b">
        <v>0</v>
      </c>
      <c r="N221" t="s">
        <v>256</v>
      </c>
      <c r="Q221" s="9"/>
      <c r="S221" s="45" t="b">
        <v>0</v>
      </c>
      <c r="T221" s="44" t="s">
        <v>257</v>
      </c>
      <c r="V221" s="121" t="b">
        <v>0</v>
      </c>
      <c r="W221" t="s">
        <v>255</v>
      </c>
      <c r="Y221" s="776" t="b">
        <v>0</v>
      </c>
      <c r="Z221" t="s">
        <v>371</v>
      </c>
      <c r="AD221" s="66"/>
    </row>
    <row r="222" spans="1:30" x14ac:dyDescent="0.35">
      <c r="A222" s="548"/>
      <c r="B222" s="242">
        <f t="shared" si="17"/>
        <v>186</v>
      </c>
      <c r="C222" s="773"/>
      <c r="D222" s="25"/>
      <c r="E222" s="769"/>
      <c r="F222" s="25"/>
      <c r="G222" s="535"/>
      <c r="H222" s="25"/>
      <c r="I222" s="769"/>
      <c r="J222" s="25"/>
      <c r="K222" s="769"/>
      <c r="Q222" s="9"/>
      <c r="S222" s="44"/>
      <c r="T222" s="44"/>
      <c r="Y222" s="776"/>
      <c r="AD222" s="66"/>
    </row>
    <row r="223" spans="1:30" x14ac:dyDescent="0.35">
      <c r="A223" s="548"/>
      <c r="B223" s="242">
        <f t="shared" si="17"/>
        <v>187</v>
      </c>
      <c r="C223" s="773"/>
      <c r="D223" s="25"/>
      <c r="E223" s="769"/>
      <c r="F223" s="25"/>
      <c r="G223" s="535"/>
      <c r="H223" s="25"/>
      <c r="I223" s="769"/>
      <c r="J223" s="25"/>
      <c r="K223" s="769"/>
      <c r="N223" s="73" t="s">
        <v>107</v>
      </c>
      <c r="S223" s="777" t="s">
        <v>258</v>
      </c>
      <c r="T223" s="777"/>
      <c r="V223" s="777" t="s">
        <v>259</v>
      </c>
      <c r="W223" s="777"/>
      <c r="Y223" s="776"/>
      <c r="AD223" s="66"/>
    </row>
    <row r="224" spans="1:30" x14ac:dyDescent="0.35">
      <c r="A224" s="548"/>
      <c r="B224" s="242">
        <f t="shared" si="17"/>
        <v>188</v>
      </c>
      <c r="C224" s="773"/>
      <c r="D224" s="25"/>
      <c r="E224" s="769"/>
      <c r="F224" s="25"/>
      <c r="G224" s="535"/>
      <c r="H224" s="25"/>
      <c r="I224" s="769"/>
      <c r="J224" s="25"/>
      <c r="K224" s="769"/>
      <c r="N224" s="649"/>
      <c r="S224" s="64" t="b">
        <v>0</v>
      </c>
      <c r="T224" t="s">
        <v>260</v>
      </c>
      <c r="W224" t="s">
        <v>261</v>
      </c>
      <c r="AD224" s="66"/>
    </row>
    <row r="225" spans="1:30" x14ac:dyDescent="0.35">
      <c r="A225" s="548"/>
      <c r="B225" s="242">
        <f t="shared" si="17"/>
        <v>189</v>
      </c>
      <c r="C225" s="773"/>
      <c r="D225" s="25"/>
      <c r="E225" s="769"/>
      <c r="F225" s="25"/>
      <c r="G225" s="535"/>
      <c r="H225" s="25"/>
      <c r="I225" s="769"/>
      <c r="J225" s="25"/>
      <c r="K225" s="769"/>
      <c r="N225" s="649"/>
      <c r="T225" s="73" t="s">
        <v>109</v>
      </c>
      <c r="W225" s="498" t="s">
        <v>109</v>
      </c>
      <c r="X225" s="73"/>
      <c r="Y225" s="73"/>
      <c r="Z225" s="73"/>
      <c r="AD225" s="66"/>
    </row>
    <row r="226" spans="1:30" x14ac:dyDescent="0.35">
      <c r="A226" s="548"/>
      <c r="B226" s="242">
        <f t="shared" si="17"/>
        <v>190</v>
      </c>
      <c r="C226" s="774"/>
      <c r="D226" s="25"/>
      <c r="E226" s="770"/>
      <c r="F226" s="25"/>
      <c r="G226" s="535"/>
      <c r="H226" s="25"/>
      <c r="I226" s="770"/>
      <c r="J226" s="25"/>
      <c r="K226" s="770"/>
      <c r="N226" s="492"/>
      <c r="T226" s="44"/>
      <c r="W226" s="10"/>
      <c r="X226" s="73"/>
      <c r="Y226" s="73"/>
      <c r="Z226" s="73"/>
      <c r="AD226" s="66"/>
    </row>
    <row r="227" spans="1:30" ht="8" customHeight="1" thickBot="1" x14ac:dyDescent="0.4">
      <c r="A227" s="549"/>
      <c r="B227" s="242"/>
      <c r="C227" s="775"/>
      <c r="D227" s="127"/>
      <c r="E227" s="771"/>
      <c r="F227" s="127"/>
      <c r="G227" s="536"/>
      <c r="H227" s="127"/>
      <c r="I227" s="771"/>
      <c r="J227" s="127"/>
      <c r="K227" s="771"/>
      <c r="L227" s="67"/>
      <c r="M227" s="67"/>
      <c r="N227" s="67"/>
      <c r="O227" s="67"/>
      <c r="P227" s="67"/>
      <c r="Q227" s="67"/>
      <c r="R227" s="67"/>
      <c r="S227" s="67"/>
      <c r="T227" s="67"/>
      <c r="U227" s="67"/>
      <c r="V227" s="103"/>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9"/>
      <c r="W228" s="30"/>
      <c r="X228" s="30"/>
      <c r="Y228" s="30"/>
      <c r="Z228" s="30"/>
      <c r="AA228" s="30"/>
      <c r="AB228" s="30"/>
      <c r="AC228" s="30"/>
      <c r="AD228" s="30"/>
    </row>
    <row r="229" spans="1:30" x14ac:dyDescent="0.35">
      <c r="A229" s="547">
        <f>A217+1</f>
        <v>19</v>
      </c>
      <c r="B229" s="13">
        <f>(A229*10)+1</f>
        <v>191</v>
      </c>
      <c r="C229" s="772"/>
      <c r="D229" s="78"/>
      <c r="E229" s="768"/>
      <c r="F229" s="78"/>
      <c r="G229" s="534"/>
      <c r="H229" s="78"/>
      <c r="I229" s="768"/>
      <c r="J229" s="78"/>
      <c r="K229" s="768"/>
      <c r="L229" s="62"/>
      <c r="M229" s="60" t="b">
        <v>0</v>
      </c>
      <c r="N229" s="62" t="s">
        <v>247</v>
      </c>
      <c r="O229" s="62"/>
      <c r="P229" s="62"/>
      <c r="Q229" s="62" t="s">
        <v>248</v>
      </c>
      <c r="R229" s="62"/>
      <c r="S229" s="710"/>
      <c r="T229" s="62" t="s">
        <v>249</v>
      </c>
      <c r="U229" s="62"/>
      <c r="V229" s="710"/>
      <c r="W229" s="62" t="s">
        <v>250</v>
      </c>
      <c r="X229" s="62"/>
      <c r="Y229" s="710"/>
      <c r="Z229" s="62" t="s">
        <v>251</v>
      </c>
      <c r="AA229" s="62"/>
      <c r="AB229" s="710"/>
      <c r="AC229" s="62" t="s">
        <v>252</v>
      </c>
      <c r="AD229" s="71"/>
    </row>
    <row r="230" spans="1:30" x14ac:dyDescent="0.35">
      <c r="A230" s="548"/>
      <c r="B230" s="242">
        <f t="shared" ref="B230:B238" si="18">B229+1</f>
        <v>192</v>
      </c>
      <c r="C230" s="773"/>
      <c r="D230" s="25"/>
      <c r="E230" s="769"/>
      <c r="F230" s="25"/>
      <c r="G230" s="535"/>
      <c r="H230" s="25"/>
      <c r="I230" s="769"/>
      <c r="J230" s="25"/>
      <c r="K230" s="769"/>
      <c r="M230" s="64" t="b">
        <v>0</v>
      </c>
      <c r="N230" t="s">
        <v>253</v>
      </c>
      <c r="Q230" s="495" t="s">
        <v>107</v>
      </c>
      <c r="S230" s="711"/>
      <c r="T230" s="495" t="s">
        <v>107</v>
      </c>
      <c r="V230" s="711"/>
      <c r="W230" s="495" t="s">
        <v>107</v>
      </c>
      <c r="Y230" s="711"/>
      <c r="Z230" s="495" t="s">
        <v>107</v>
      </c>
      <c r="AB230" s="711"/>
      <c r="AC230" s="495" t="s">
        <v>107</v>
      </c>
      <c r="AD230" s="66"/>
    </row>
    <row r="231" spans="1:30" x14ac:dyDescent="0.35">
      <c r="A231" s="548"/>
      <c r="B231" s="242">
        <f t="shared" si="18"/>
        <v>193</v>
      </c>
      <c r="C231" s="773"/>
      <c r="D231" s="25"/>
      <c r="E231" s="769"/>
      <c r="F231" s="25"/>
      <c r="G231" s="535"/>
      <c r="H231" s="25"/>
      <c r="I231" s="769"/>
      <c r="J231" s="25"/>
      <c r="K231" s="769"/>
      <c r="M231" s="64" t="b">
        <v>0</v>
      </c>
      <c r="N231" t="s">
        <v>254</v>
      </c>
      <c r="Q231" s="5"/>
      <c r="T231" s="10"/>
      <c r="W231" s="10"/>
      <c r="Z231" s="10"/>
      <c r="AC231" s="10"/>
      <c r="AD231" s="66"/>
    </row>
    <row r="232" spans="1:30" x14ac:dyDescent="0.35">
      <c r="A232" s="548"/>
      <c r="B232" s="242">
        <f t="shared" si="18"/>
        <v>194</v>
      </c>
      <c r="C232" s="773"/>
      <c r="D232" s="25"/>
      <c r="E232" s="769"/>
      <c r="F232" s="25"/>
      <c r="G232" s="535"/>
      <c r="H232" s="25"/>
      <c r="I232" s="769"/>
      <c r="J232" s="25"/>
      <c r="K232" s="769"/>
      <c r="Q232" s="3"/>
      <c r="AD232" s="66"/>
    </row>
    <row r="233" spans="1:30" x14ac:dyDescent="0.35">
      <c r="A233" s="548"/>
      <c r="B233" s="242">
        <f t="shared" si="18"/>
        <v>195</v>
      </c>
      <c r="C233" s="773"/>
      <c r="D233" s="25"/>
      <c r="E233" s="769"/>
      <c r="F233" s="25"/>
      <c r="G233" s="535"/>
      <c r="H233" s="25"/>
      <c r="I233" s="769"/>
      <c r="J233" s="25"/>
      <c r="K233" s="769"/>
      <c r="M233" s="64" t="b">
        <v>0</v>
      </c>
      <c r="N233" t="s">
        <v>256</v>
      </c>
      <c r="Q233" s="9"/>
      <c r="S233" s="45" t="b">
        <v>0</v>
      </c>
      <c r="T233" s="44" t="s">
        <v>257</v>
      </c>
      <c r="V233" s="121" t="b">
        <v>0</v>
      </c>
      <c r="W233" t="s">
        <v>255</v>
      </c>
      <c r="Y233" s="776" t="b">
        <v>0</v>
      </c>
      <c r="Z233" t="s">
        <v>371</v>
      </c>
      <c r="AD233" s="66"/>
    </row>
    <row r="234" spans="1:30" x14ac:dyDescent="0.35">
      <c r="A234" s="548"/>
      <c r="B234" s="242">
        <f t="shared" si="18"/>
        <v>196</v>
      </c>
      <c r="C234" s="773"/>
      <c r="D234" s="25"/>
      <c r="E234" s="769"/>
      <c r="F234" s="25"/>
      <c r="G234" s="535"/>
      <c r="H234" s="25"/>
      <c r="I234" s="769"/>
      <c r="J234" s="25"/>
      <c r="K234" s="769"/>
      <c r="Q234" s="9"/>
      <c r="S234" s="44"/>
      <c r="T234" s="44"/>
      <c r="Y234" s="776"/>
      <c r="AD234" s="66"/>
    </row>
    <row r="235" spans="1:30" x14ac:dyDescent="0.35">
      <c r="A235" s="548"/>
      <c r="B235" s="242">
        <f t="shared" si="18"/>
        <v>197</v>
      </c>
      <c r="C235" s="773"/>
      <c r="D235" s="25"/>
      <c r="E235" s="769"/>
      <c r="F235" s="25"/>
      <c r="G235" s="535"/>
      <c r="H235" s="25"/>
      <c r="I235" s="769"/>
      <c r="J235" s="25"/>
      <c r="K235" s="769"/>
      <c r="N235" s="73" t="s">
        <v>107</v>
      </c>
      <c r="S235" s="777" t="s">
        <v>258</v>
      </c>
      <c r="T235" s="777"/>
      <c r="V235" s="777" t="s">
        <v>259</v>
      </c>
      <c r="W235" s="777"/>
      <c r="Y235" s="776"/>
      <c r="AD235" s="66"/>
    </row>
    <row r="236" spans="1:30" x14ac:dyDescent="0.35">
      <c r="A236" s="548"/>
      <c r="B236" s="242">
        <f t="shared" si="18"/>
        <v>198</v>
      </c>
      <c r="C236" s="773"/>
      <c r="D236" s="25"/>
      <c r="E236" s="769"/>
      <c r="F236" s="25"/>
      <c r="G236" s="535"/>
      <c r="H236" s="25"/>
      <c r="I236" s="769"/>
      <c r="J236" s="25"/>
      <c r="K236" s="769"/>
      <c r="N236" s="649"/>
      <c r="S236" s="64" t="b">
        <v>0</v>
      </c>
      <c r="T236" t="s">
        <v>260</v>
      </c>
      <c r="W236" t="s">
        <v>261</v>
      </c>
      <c r="AD236" s="66"/>
    </row>
    <row r="237" spans="1:30" x14ac:dyDescent="0.35">
      <c r="A237" s="548"/>
      <c r="B237" s="242">
        <f t="shared" si="18"/>
        <v>199</v>
      </c>
      <c r="C237" s="773"/>
      <c r="D237" s="25"/>
      <c r="E237" s="769"/>
      <c r="F237" s="25"/>
      <c r="G237" s="535"/>
      <c r="H237" s="25"/>
      <c r="I237" s="769"/>
      <c r="J237" s="25"/>
      <c r="K237" s="769"/>
      <c r="N237" s="649"/>
      <c r="T237" s="73" t="s">
        <v>109</v>
      </c>
      <c r="W237" s="498" t="s">
        <v>109</v>
      </c>
      <c r="X237" s="73"/>
      <c r="Y237" s="73"/>
      <c r="Z237" s="73"/>
      <c r="AD237" s="66"/>
    </row>
    <row r="238" spans="1:30" x14ac:dyDescent="0.35">
      <c r="A238" s="548"/>
      <c r="B238" s="242">
        <f t="shared" si="18"/>
        <v>200</v>
      </c>
      <c r="C238" s="774"/>
      <c r="D238" s="25"/>
      <c r="E238" s="770"/>
      <c r="F238" s="25"/>
      <c r="G238" s="535"/>
      <c r="H238" s="25"/>
      <c r="I238" s="770"/>
      <c r="J238" s="25"/>
      <c r="K238" s="770"/>
      <c r="N238" s="492"/>
      <c r="T238" s="44"/>
      <c r="W238" s="10"/>
      <c r="X238" s="73"/>
      <c r="Y238" s="73"/>
      <c r="Z238" s="73"/>
      <c r="AD238" s="66"/>
    </row>
    <row r="239" spans="1:30" ht="8" customHeight="1" thickBot="1" x14ac:dyDescent="0.4">
      <c r="A239" s="549"/>
      <c r="B239" s="242"/>
      <c r="C239" s="775"/>
      <c r="D239" s="127"/>
      <c r="E239" s="771"/>
      <c r="F239" s="127"/>
      <c r="G239" s="536"/>
      <c r="H239" s="127"/>
      <c r="I239" s="771"/>
      <c r="J239" s="127"/>
      <c r="K239" s="771"/>
      <c r="L239" s="67"/>
      <c r="M239" s="67"/>
      <c r="N239" s="67"/>
      <c r="O239" s="67"/>
      <c r="P239" s="67"/>
      <c r="Q239" s="67"/>
      <c r="R239" s="67"/>
      <c r="S239" s="67"/>
      <c r="T239" s="67"/>
      <c r="U239" s="67"/>
      <c r="V239" s="103"/>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9"/>
      <c r="W240" s="30"/>
      <c r="X240" s="30"/>
      <c r="Y240" s="30"/>
      <c r="Z240" s="30"/>
      <c r="AA240" s="30"/>
      <c r="AB240" s="30"/>
      <c r="AC240" s="30"/>
      <c r="AD240" s="30"/>
    </row>
    <row r="241" spans="1:30" x14ac:dyDescent="0.35">
      <c r="A241" s="547">
        <f>A229+1</f>
        <v>20</v>
      </c>
      <c r="B241" s="13">
        <f>(A241*10)+1</f>
        <v>201</v>
      </c>
      <c r="C241" s="772"/>
      <c r="D241" s="78"/>
      <c r="E241" s="768"/>
      <c r="F241" s="78"/>
      <c r="G241" s="534"/>
      <c r="H241" s="78"/>
      <c r="I241" s="768"/>
      <c r="J241" s="78"/>
      <c r="K241" s="768"/>
      <c r="L241" s="62"/>
      <c r="M241" s="60" t="b">
        <v>0</v>
      </c>
      <c r="N241" s="62" t="s">
        <v>247</v>
      </c>
      <c r="O241" s="62"/>
      <c r="P241" s="62"/>
      <c r="Q241" s="62" t="s">
        <v>248</v>
      </c>
      <c r="R241" s="62"/>
      <c r="S241" s="710"/>
      <c r="T241" s="62" t="s">
        <v>249</v>
      </c>
      <c r="U241" s="62"/>
      <c r="V241" s="710"/>
      <c r="W241" s="62" t="s">
        <v>250</v>
      </c>
      <c r="X241" s="62"/>
      <c r="Y241" s="710"/>
      <c r="Z241" s="62" t="s">
        <v>251</v>
      </c>
      <c r="AA241" s="62"/>
      <c r="AB241" s="710"/>
      <c r="AC241" s="62" t="s">
        <v>252</v>
      </c>
      <c r="AD241" s="71"/>
    </row>
    <row r="242" spans="1:30" x14ac:dyDescent="0.35">
      <c r="A242" s="548"/>
      <c r="B242" s="242">
        <f t="shared" ref="B242:B250" si="19">B241+1</f>
        <v>202</v>
      </c>
      <c r="C242" s="773"/>
      <c r="D242" s="25"/>
      <c r="E242" s="769"/>
      <c r="F242" s="25"/>
      <c r="G242" s="535"/>
      <c r="H242" s="25"/>
      <c r="I242" s="769"/>
      <c r="J242" s="25"/>
      <c r="K242" s="769"/>
      <c r="M242" s="64" t="b">
        <v>0</v>
      </c>
      <c r="N242" t="s">
        <v>253</v>
      </c>
      <c r="Q242" s="495" t="s">
        <v>107</v>
      </c>
      <c r="S242" s="711"/>
      <c r="T242" s="495" t="s">
        <v>107</v>
      </c>
      <c r="V242" s="711"/>
      <c r="W242" s="495" t="s">
        <v>107</v>
      </c>
      <c r="Y242" s="711"/>
      <c r="Z242" s="495" t="s">
        <v>107</v>
      </c>
      <c r="AB242" s="711"/>
      <c r="AC242" s="495" t="s">
        <v>107</v>
      </c>
      <c r="AD242" s="66"/>
    </row>
    <row r="243" spans="1:30" x14ac:dyDescent="0.35">
      <c r="A243" s="548"/>
      <c r="B243" s="242">
        <f t="shared" si="19"/>
        <v>203</v>
      </c>
      <c r="C243" s="773"/>
      <c r="D243" s="25"/>
      <c r="E243" s="769"/>
      <c r="F243" s="25"/>
      <c r="G243" s="535"/>
      <c r="H243" s="25"/>
      <c r="I243" s="769"/>
      <c r="J243" s="25"/>
      <c r="K243" s="769"/>
      <c r="M243" s="64" t="b">
        <v>0</v>
      </c>
      <c r="N243" t="s">
        <v>254</v>
      </c>
      <c r="Q243" s="5"/>
      <c r="T243" s="10"/>
      <c r="W243" s="10"/>
      <c r="Z243" s="10"/>
      <c r="AC243" s="10"/>
      <c r="AD243" s="66"/>
    </row>
    <row r="244" spans="1:30" x14ac:dyDescent="0.35">
      <c r="A244" s="548"/>
      <c r="B244" s="242">
        <f t="shared" si="19"/>
        <v>204</v>
      </c>
      <c r="C244" s="773"/>
      <c r="D244" s="25"/>
      <c r="E244" s="769"/>
      <c r="F244" s="25"/>
      <c r="G244" s="535"/>
      <c r="H244" s="25"/>
      <c r="I244" s="769"/>
      <c r="J244" s="25"/>
      <c r="K244" s="769"/>
      <c r="Q244" s="3"/>
      <c r="AD244" s="66"/>
    </row>
    <row r="245" spans="1:30" x14ac:dyDescent="0.35">
      <c r="A245" s="548"/>
      <c r="B245" s="242">
        <f t="shared" si="19"/>
        <v>205</v>
      </c>
      <c r="C245" s="773"/>
      <c r="D245" s="25"/>
      <c r="E245" s="769"/>
      <c r="F245" s="25"/>
      <c r="G245" s="535"/>
      <c r="H245" s="25"/>
      <c r="I245" s="769"/>
      <c r="J245" s="25"/>
      <c r="K245" s="769"/>
      <c r="M245" s="64" t="b">
        <v>0</v>
      </c>
      <c r="N245" t="s">
        <v>256</v>
      </c>
      <c r="Q245" s="9"/>
      <c r="S245" s="45" t="b">
        <v>0</v>
      </c>
      <c r="T245" s="44" t="s">
        <v>257</v>
      </c>
      <c r="V245" s="121" t="b">
        <v>0</v>
      </c>
      <c r="W245" t="s">
        <v>255</v>
      </c>
      <c r="Y245" s="776" t="b">
        <v>0</v>
      </c>
      <c r="Z245" t="s">
        <v>371</v>
      </c>
      <c r="AD245" s="66"/>
    </row>
    <row r="246" spans="1:30" x14ac:dyDescent="0.35">
      <c r="A246" s="548"/>
      <c r="B246" s="242">
        <f t="shared" si="19"/>
        <v>206</v>
      </c>
      <c r="C246" s="773"/>
      <c r="D246" s="25"/>
      <c r="E246" s="769"/>
      <c r="F246" s="25"/>
      <c r="G246" s="535"/>
      <c r="H246" s="25"/>
      <c r="I246" s="769"/>
      <c r="J246" s="25"/>
      <c r="K246" s="769"/>
      <c r="Q246" s="9"/>
      <c r="S246" s="44"/>
      <c r="T246" s="44"/>
      <c r="Y246" s="776"/>
      <c r="AD246" s="66"/>
    </row>
    <row r="247" spans="1:30" x14ac:dyDescent="0.35">
      <c r="A247" s="548"/>
      <c r="B247" s="242">
        <f t="shared" si="19"/>
        <v>207</v>
      </c>
      <c r="C247" s="773"/>
      <c r="D247" s="25"/>
      <c r="E247" s="769"/>
      <c r="F247" s="25"/>
      <c r="G247" s="535"/>
      <c r="H247" s="25"/>
      <c r="I247" s="769"/>
      <c r="J247" s="25"/>
      <c r="K247" s="769"/>
      <c r="N247" s="73" t="s">
        <v>107</v>
      </c>
      <c r="S247" s="777" t="s">
        <v>258</v>
      </c>
      <c r="T247" s="777"/>
      <c r="V247" s="777" t="s">
        <v>259</v>
      </c>
      <c r="W247" s="777"/>
      <c r="Y247" s="776"/>
      <c r="AD247" s="66"/>
    </row>
    <row r="248" spans="1:30" x14ac:dyDescent="0.35">
      <c r="A248" s="548"/>
      <c r="B248" s="242">
        <f t="shared" si="19"/>
        <v>208</v>
      </c>
      <c r="C248" s="773"/>
      <c r="D248" s="25"/>
      <c r="E248" s="769"/>
      <c r="F248" s="25"/>
      <c r="G248" s="535"/>
      <c r="H248" s="25"/>
      <c r="I248" s="769"/>
      <c r="J248" s="25"/>
      <c r="K248" s="769"/>
      <c r="N248" s="649"/>
      <c r="S248" s="64" t="b">
        <v>0</v>
      </c>
      <c r="T248" t="s">
        <v>260</v>
      </c>
      <c r="W248" t="s">
        <v>261</v>
      </c>
      <c r="AD248" s="66"/>
    </row>
    <row r="249" spans="1:30" x14ac:dyDescent="0.35">
      <c r="A249" s="548"/>
      <c r="B249" s="242">
        <f t="shared" si="19"/>
        <v>209</v>
      </c>
      <c r="C249" s="773"/>
      <c r="D249" s="25"/>
      <c r="E249" s="769"/>
      <c r="F249" s="25"/>
      <c r="G249" s="535"/>
      <c r="H249" s="25"/>
      <c r="I249" s="769"/>
      <c r="J249" s="25"/>
      <c r="K249" s="769"/>
      <c r="N249" s="649"/>
      <c r="T249" s="73" t="s">
        <v>109</v>
      </c>
      <c r="W249" s="498" t="s">
        <v>109</v>
      </c>
      <c r="X249" s="73"/>
      <c r="Y249" s="73"/>
      <c r="Z249" s="73"/>
      <c r="AD249" s="66"/>
    </row>
    <row r="250" spans="1:30" x14ac:dyDescent="0.35">
      <c r="A250" s="548"/>
      <c r="B250" s="242">
        <f t="shared" si="19"/>
        <v>210</v>
      </c>
      <c r="C250" s="774"/>
      <c r="D250" s="25"/>
      <c r="E250" s="770"/>
      <c r="F250" s="25"/>
      <c r="G250" s="535"/>
      <c r="H250" s="25"/>
      <c r="I250" s="770"/>
      <c r="J250" s="25"/>
      <c r="K250" s="770"/>
      <c r="N250" s="492"/>
      <c r="T250" s="44"/>
      <c r="W250" s="10"/>
      <c r="X250" s="73"/>
      <c r="Y250" s="73"/>
      <c r="Z250" s="73"/>
      <c r="AD250" s="66"/>
    </row>
    <row r="251" spans="1:30" ht="8" customHeight="1" thickBot="1" x14ac:dyDescent="0.4">
      <c r="A251" s="549"/>
      <c r="B251" s="242"/>
      <c r="C251" s="775"/>
      <c r="D251" s="127"/>
      <c r="E251" s="771"/>
      <c r="F251" s="127"/>
      <c r="G251" s="536"/>
      <c r="H251" s="127"/>
      <c r="I251" s="771"/>
      <c r="J251" s="127"/>
      <c r="K251" s="771"/>
      <c r="L251" s="67"/>
      <c r="M251" s="67"/>
      <c r="N251" s="67"/>
      <c r="O251" s="67"/>
      <c r="P251" s="67"/>
      <c r="Q251" s="67"/>
      <c r="R251" s="67"/>
      <c r="S251" s="67"/>
      <c r="T251" s="67"/>
      <c r="U251" s="67"/>
      <c r="V251" s="103"/>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9"/>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818" priority="6979">
      <formula>M17=TRUE</formula>
    </cfRule>
  </conditionalFormatting>
  <conditionalFormatting sqref="N20:N21">
    <cfRule type="expression" dxfId="817" priority="79">
      <formula>$M17=TRUE</formula>
    </cfRule>
  </conditionalFormatting>
  <conditionalFormatting sqref="N31">
    <cfRule type="expression" dxfId="816" priority="40">
      <formula>M29=TRUE</formula>
    </cfRule>
  </conditionalFormatting>
  <conditionalFormatting sqref="N32:N33">
    <cfRule type="expression" dxfId="815" priority="39">
      <formula>$M29=TRUE</formula>
    </cfRule>
  </conditionalFormatting>
  <conditionalFormatting sqref="N43">
    <cfRule type="expression" dxfId="814" priority="36">
      <formula>M41=TRUE</formula>
    </cfRule>
  </conditionalFormatting>
  <conditionalFormatting sqref="N44:N45">
    <cfRule type="expression" dxfId="813" priority="35">
      <formula>$M41=TRUE</formula>
    </cfRule>
  </conditionalFormatting>
  <conditionalFormatting sqref="N55">
    <cfRule type="expression" dxfId="812" priority="34">
      <formula>M53=TRUE</formula>
    </cfRule>
  </conditionalFormatting>
  <conditionalFormatting sqref="N56:N57">
    <cfRule type="expression" dxfId="811" priority="33">
      <formula>$M53=TRUE</formula>
    </cfRule>
  </conditionalFormatting>
  <conditionalFormatting sqref="N67">
    <cfRule type="expression" dxfId="810" priority="32">
      <formula>M65=TRUE</formula>
    </cfRule>
  </conditionalFormatting>
  <conditionalFormatting sqref="N68:N69">
    <cfRule type="expression" dxfId="809" priority="31">
      <formula>$M65=TRUE</formula>
    </cfRule>
  </conditionalFormatting>
  <conditionalFormatting sqref="N79">
    <cfRule type="expression" dxfId="808" priority="30">
      <formula>M77=TRUE</formula>
    </cfRule>
  </conditionalFormatting>
  <conditionalFormatting sqref="N80:N81">
    <cfRule type="expression" dxfId="807" priority="29">
      <formula>$M77=TRUE</formula>
    </cfRule>
  </conditionalFormatting>
  <conditionalFormatting sqref="N91">
    <cfRule type="expression" dxfId="806" priority="28">
      <formula>M89=TRUE</formula>
    </cfRule>
  </conditionalFormatting>
  <conditionalFormatting sqref="N92:N93">
    <cfRule type="expression" dxfId="805" priority="27">
      <formula>$M89=TRUE</formula>
    </cfRule>
  </conditionalFormatting>
  <conditionalFormatting sqref="N103">
    <cfRule type="expression" dxfId="804" priority="26">
      <formula>M101=TRUE</formula>
    </cfRule>
  </conditionalFormatting>
  <conditionalFormatting sqref="N104:N105">
    <cfRule type="expression" dxfId="803" priority="25">
      <formula>$M101=TRUE</formula>
    </cfRule>
  </conditionalFormatting>
  <conditionalFormatting sqref="N115">
    <cfRule type="expression" dxfId="802" priority="24">
      <formula>M113=TRUE</formula>
    </cfRule>
  </conditionalFormatting>
  <conditionalFormatting sqref="N116:N117">
    <cfRule type="expression" dxfId="801" priority="23">
      <formula>$M113=TRUE</formula>
    </cfRule>
  </conditionalFormatting>
  <conditionalFormatting sqref="N127">
    <cfRule type="expression" dxfId="800" priority="22">
      <formula>M125=TRUE</formula>
    </cfRule>
  </conditionalFormatting>
  <conditionalFormatting sqref="N128:N129">
    <cfRule type="expression" dxfId="799" priority="21">
      <formula>$M125=TRUE</formula>
    </cfRule>
  </conditionalFormatting>
  <conditionalFormatting sqref="N139">
    <cfRule type="expression" dxfId="798" priority="20">
      <formula>M137=TRUE</formula>
    </cfRule>
  </conditionalFormatting>
  <conditionalFormatting sqref="N140:N141">
    <cfRule type="expression" dxfId="797" priority="19">
      <formula>$M137=TRUE</formula>
    </cfRule>
  </conditionalFormatting>
  <conditionalFormatting sqref="N151">
    <cfRule type="expression" dxfId="796" priority="18">
      <formula>M149=TRUE</formula>
    </cfRule>
  </conditionalFormatting>
  <conditionalFormatting sqref="N152:N153">
    <cfRule type="expression" dxfId="795" priority="17">
      <formula>$M149=TRUE</formula>
    </cfRule>
  </conditionalFormatting>
  <conditionalFormatting sqref="N163">
    <cfRule type="expression" dxfId="794" priority="16">
      <formula>M161=TRUE</formula>
    </cfRule>
  </conditionalFormatting>
  <conditionalFormatting sqref="N164:N165">
    <cfRule type="expression" dxfId="793" priority="15">
      <formula>$M161=TRUE</formula>
    </cfRule>
  </conditionalFormatting>
  <conditionalFormatting sqref="N175">
    <cfRule type="expression" dxfId="792" priority="14">
      <formula>M173=TRUE</formula>
    </cfRule>
  </conditionalFormatting>
  <conditionalFormatting sqref="N176:N177">
    <cfRule type="expression" dxfId="791" priority="13">
      <formula>$M173=TRUE</formula>
    </cfRule>
  </conditionalFormatting>
  <conditionalFormatting sqref="N187">
    <cfRule type="expression" dxfId="790" priority="12">
      <formula>M185=TRUE</formula>
    </cfRule>
  </conditionalFormatting>
  <conditionalFormatting sqref="N188:N189">
    <cfRule type="expression" dxfId="789" priority="11">
      <formula>$M185=TRUE</formula>
    </cfRule>
  </conditionalFormatting>
  <conditionalFormatting sqref="N199">
    <cfRule type="expression" dxfId="788" priority="10">
      <formula>M197=TRUE</formula>
    </cfRule>
  </conditionalFormatting>
  <conditionalFormatting sqref="N200:N201">
    <cfRule type="expression" dxfId="787" priority="9">
      <formula>$M197=TRUE</formula>
    </cfRule>
  </conditionalFormatting>
  <conditionalFormatting sqref="N211">
    <cfRule type="expression" dxfId="786" priority="8">
      <formula>M209=TRUE</formula>
    </cfRule>
  </conditionalFormatting>
  <conditionalFormatting sqref="N212:N213">
    <cfRule type="expression" dxfId="785" priority="7">
      <formula>$M209=TRUE</formula>
    </cfRule>
  </conditionalFormatting>
  <conditionalFormatting sqref="N223">
    <cfRule type="expression" dxfId="784" priority="6">
      <formula>M221=TRUE</formula>
    </cfRule>
  </conditionalFormatting>
  <conditionalFormatting sqref="N224:N225">
    <cfRule type="expression" dxfId="783" priority="5">
      <formula>$M221=TRUE</formula>
    </cfRule>
  </conditionalFormatting>
  <conditionalFormatting sqref="N235">
    <cfRule type="expression" dxfId="782" priority="4">
      <formula>M233=TRUE</formula>
    </cfRule>
  </conditionalFormatting>
  <conditionalFormatting sqref="N236:N237">
    <cfRule type="expression" dxfId="781" priority="3">
      <formula>$M233=TRUE</formula>
    </cfRule>
  </conditionalFormatting>
  <conditionalFormatting sqref="N247">
    <cfRule type="expression" dxfId="780" priority="2">
      <formula>M245=TRUE</formula>
    </cfRule>
  </conditionalFormatting>
  <conditionalFormatting sqref="N248:N249">
    <cfRule type="expression" dxfId="779" priority="1">
      <formula>$M245=TRUE</formula>
    </cfRule>
  </conditionalFormatting>
  <conditionalFormatting sqref="S17:S18">
    <cfRule type="expression" dxfId="778" priority="690">
      <formula>M14=TRUE</formula>
    </cfRule>
  </conditionalFormatting>
  <conditionalFormatting sqref="S20">
    <cfRule type="expression" dxfId="777" priority="547">
      <formula>M17=TRUE</formula>
    </cfRule>
  </conditionalFormatting>
  <conditionalFormatting sqref="S29">
    <cfRule type="expression" dxfId="776" priority="116">
      <formula>M26=TRUE</formula>
    </cfRule>
  </conditionalFormatting>
  <conditionalFormatting sqref="S32">
    <cfRule type="expression" dxfId="775" priority="318">
      <formula>M29=TRUE</formula>
    </cfRule>
  </conditionalFormatting>
  <conditionalFormatting sqref="S41:S42">
    <cfRule type="expression" dxfId="774" priority="114">
      <formula>M38=TRUE</formula>
    </cfRule>
  </conditionalFormatting>
  <conditionalFormatting sqref="S44">
    <cfRule type="expression" dxfId="773" priority="307">
      <formula>M41=TRUE</formula>
    </cfRule>
  </conditionalFormatting>
  <conditionalFormatting sqref="S53:S54">
    <cfRule type="expression" dxfId="772" priority="112">
      <formula>M50=TRUE</formula>
    </cfRule>
  </conditionalFormatting>
  <conditionalFormatting sqref="S56">
    <cfRule type="expression" dxfId="771" priority="296">
      <formula>M53=TRUE</formula>
    </cfRule>
  </conditionalFormatting>
  <conditionalFormatting sqref="S65:S66">
    <cfRule type="expression" dxfId="770" priority="110">
      <formula>M62=TRUE</formula>
    </cfRule>
  </conditionalFormatting>
  <conditionalFormatting sqref="S68">
    <cfRule type="expression" dxfId="769" priority="285">
      <formula>M65=TRUE</formula>
    </cfRule>
  </conditionalFormatting>
  <conditionalFormatting sqref="S77:S78">
    <cfRule type="expression" dxfId="768" priority="108">
      <formula>M74=TRUE</formula>
    </cfRule>
  </conditionalFormatting>
  <conditionalFormatting sqref="S80">
    <cfRule type="expression" dxfId="767" priority="274">
      <formula>M77=TRUE</formula>
    </cfRule>
  </conditionalFormatting>
  <conditionalFormatting sqref="S89:S90">
    <cfRule type="expression" dxfId="766" priority="106">
      <formula>M86=TRUE</formula>
    </cfRule>
  </conditionalFormatting>
  <conditionalFormatting sqref="S92">
    <cfRule type="expression" dxfId="765" priority="263">
      <formula>M89=TRUE</formula>
    </cfRule>
  </conditionalFormatting>
  <conditionalFormatting sqref="S101:S102">
    <cfRule type="expression" dxfId="764" priority="104">
      <formula>M98=TRUE</formula>
    </cfRule>
  </conditionalFormatting>
  <conditionalFormatting sqref="S104">
    <cfRule type="expression" dxfId="763" priority="252">
      <formula>M101=TRUE</formula>
    </cfRule>
  </conditionalFormatting>
  <conditionalFormatting sqref="S113:S114">
    <cfRule type="expression" dxfId="762" priority="102">
      <formula>M110=TRUE</formula>
    </cfRule>
  </conditionalFormatting>
  <conditionalFormatting sqref="S116">
    <cfRule type="expression" dxfId="761" priority="241">
      <formula>M113=TRUE</formula>
    </cfRule>
  </conditionalFormatting>
  <conditionalFormatting sqref="S125:S126">
    <cfRule type="expression" dxfId="760" priority="100">
      <formula>M122=TRUE</formula>
    </cfRule>
  </conditionalFormatting>
  <conditionalFormatting sqref="S128">
    <cfRule type="expression" dxfId="759" priority="230">
      <formula>M125=TRUE</formula>
    </cfRule>
  </conditionalFormatting>
  <conditionalFormatting sqref="S137:S138">
    <cfRule type="expression" dxfId="758" priority="98">
      <formula>M134=TRUE</formula>
    </cfRule>
  </conditionalFormatting>
  <conditionalFormatting sqref="S140">
    <cfRule type="expression" dxfId="757" priority="219">
      <formula>M137=TRUE</formula>
    </cfRule>
  </conditionalFormatting>
  <conditionalFormatting sqref="S149:S150">
    <cfRule type="expression" dxfId="756" priority="96">
      <formula>M146=TRUE</formula>
    </cfRule>
  </conditionalFormatting>
  <conditionalFormatting sqref="S152">
    <cfRule type="expression" dxfId="755" priority="208">
      <formula>M149=TRUE</formula>
    </cfRule>
  </conditionalFormatting>
  <conditionalFormatting sqref="S161:S162">
    <cfRule type="expression" dxfId="754" priority="94">
      <formula>M158=TRUE</formula>
    </cfRule>
  </conditionalFormatting>
  <conditionalFormatting sqref="S164">
    <cfRule type="expression" dxfId="753" priority="197">
      <formula>M161=TRUE</formula>
    </cfRule>
  </conditionalFormatting>
  <conditionalFormatting sqref="S173:S174">
    <cfRule type="expression" dxfId="752" priority="92">
      <formula>M170=TRUE</formula>
    </cfRule>
  </conditionalFormatting>
  <conditionalFormatting sqref="S176">
    <cfRule type="expression" dxfId="751" priority="186">
      <formula>M173=TRUE</formula>
    </cfRule>
  </conditionalFormatting>
  <conditionalFormatting sqref="S185:S186">
    <cfRule type="expression" dxfId="750" priority="90">
      <formula>M182=TRUE</formula>
    </cfRule>
  </conditionalFormatting>
  <conditionalFormatting sqref="S188">
    <cfRule type="expression" dxfId="749" priority="175">
      <formula>M185=TRUE</formula>
    </cfRule>
  </conditionalFormatting>
  <conditionalFormatting sqref="S197:S198">
    <cfRule type="expression" dxfId="748" priority="88">
      <formula>M194=TRUE</formula>
    </cfRule>
  </conditionalFormatting>
  <conditionalFormatting sqref="S200">
    <cfRule type="expression" dxfId="747" priority="164">
      <formula>M197=TRUE</formula>
    </cfRule>
  </conditionalFormatting>
  <conditionalFormatting sqref="S209:S210">
    <cfRule type="expression" dxfId="746" priority="86">
      <formula>M206=TRUE</formula>
    </cfRule>
  </conditionalFormatting>
  <conditionalFormatting sqref="S212">
    <cfRule type="expression" dxfId="745" priority="153">
      <formula>M209=TRUE</formula>
    </cfRule>
  </conditionalFormatting>
  <conditionalFormatting sqref="S221:S222">
    <cfRule type="expression" dxfId="744" priority="84">
      <formula>M218=TRUE</formula>
    </cfRule>
  </conditionalFormatting>
  <conditionalFormatting sqref="S224">
    <cfRule type="expression" dxfId="743" priority="142">
      <formula>M221=TRUE</formula>
    </cfRule>
  </conditionalFormatting>
  <conditionalFormatting sqref="S233:S234">
    <cfRule type="expression" dxfId="742" priority="82">
      <formula>M230=TRUE</formula>
    </cfRule>
  </conditionalFormatting>
  <conditionalFormatting sqref="S236">
    <cfRule type="expression" dxfId="741" priority="131">
      <formula>M233=TRUE</formula>
    </cfRule>
  </conditionalFormatting>
  <conditionalFormatting sqref="S245:S246">
    <cfRule type="expression" dxfId="740" priority="80">
      <formula>M242=TRUE</formula>
    </cfRule>
  </conditionalFormatting>
  <conditionalFormatting sqref="S248">
    <cfRule type="expression" dxfId="739" priority="120">
      <formula>M245=TRUE</formula>
    </cfRule>
  </conditionalFormatting>
  <conditionalFormatting sqref="T17:T18">
    <cfRule type="expression" dxfId="738" priority="691">
      <formula>M14=TRUE</formula>
    </cfRule>
  </conditionalFormatting>
  <conditionalFormatting sqref="T21:T22">
    <cfRule type="expression" dxfId="737" priority="544">
      <formula>S20=TRUE</formula>
    </cfRule>
    <cfRule type="expression" dxfId="736" priority="2088">
      <formula>#REF!=TRUE</formula>
    </cfRule>
  </conditionalFormatting>
  <conditionalFormatting sqref="T22">
    <cfRule type="expression" dxfId="735" priority="822">
      <formula>S20=TRUE</formula>
    </cfRule>
  </conditionalFormatting>
  <conditionalFormatting sqref="T29:T30">
    <cfRule type="expression" dxfId="734" priority="117">
      <formula>M26=TRUE</formula>
    </cfRule>
  </conditionalFormatting>
  <conditionalFormatting sqref="T33:T34">
    <cfRule type="expression" dxfId="733" priority="317">
      <formula>S32=TRUE</formula>
    </cfRule>
    <cfRule type="expression" dxfId="732" priority="323">
      <formula>#REF!=TRUE</formula>
    </cfRule>
  </conditionalFormatting>
  <conditionalFormatting sqref="T34">
    <cfRule type="expression" dxfId="731" priority="321">
      <formula>S32=TRUE</formula>
    </cfRule>
  </conditionalFormatting>
  <conditionalFormatting sqref="T41:T42">
    <cfRule type="expression" dxfId="730" priority="115">
      <formula>M38=TRUE</formula>
    </cfRule>
  </conditionalFormatting>
  <conditionalFormatting sqref="T45:T46">
    <cfRule type="expression" dxfId="729" priority="306">
      <formula>S44=TRUE</formula>
    </cfRule>
    <cfRule type="expression" dxfId="728" priority="312">
      <formula>#REF!=TRUE</formula>
    </cfRule>
  </conditionalFormatting>
  <conditionalFormatting sqref="T46">
    <cfRule type="expression" dxfId="727" priority="310">
      <formula>S44=TRUE</formula>
    </cfRule>
  </conditionalFormatting>
  <conditionalFormatting sqref="T53:T54">
    <cfRule type="expression" dxfId="726" priority="113">
      <formula>M50=TRUE</formula>
    </cfRule>
  </conditionalFormatting>
  <conditionalFormatting sqref="T57:T58">
    <cfRule type="expression" dxfId="725" priority="295">
      <formula>S56=TRUE</formula>
    </cfRule>
    <cfRule type="expression" dxfId="724" priority="301">
      <formula>#REF!=TRUE</formula>
    </cfRule>
  </conditionalFormatting>
  <conditionalFormatting sqref="T58">
    <cfRule type="expression" dxfId="723" priority="299">
      <formula>S56=TRUE</formula>
    </cfRule>
  </conditionalFormatting>
  <conditionalFormatting sqref="T65:T66">
    <cfRule type="expression" dxfId="722" priority="111">
      <formula>M62=TRUE</formula>
    </cfRule>
  </conditionalFormatting>
  <conditionalFormatting sqref="T69:T70">
    <cfRule type="expression" dxfId="721" priority="284">
      <formula>S68=TRUE</formula>
    </cfRule>
    <cfRule type="expression" dxfId="720" priority="290">
      <formula>#REF!=TRUE</formula>
    </cfRule>
  </conditionalFormatting>
  <conditionalFormatting sqref="T70">
    <cfRule type="expression" dxfId="719" priority="288">
      <formula>S68=TRUE</formula>
    </cfRule>
  </conditionalFormatting>
  <conditionalFormatting sqref="T77:T78">
    <cfRule type="expression" dxfId="718" priority="109">
      <formula>M74=TRUE</formula>
    </cfRule>
  </conditionalFormatting>
  <conditionalFormatting sqref="T81:T82">
    <cfRule type="expression" dxfId="717" priority="279">
      <formula>#REF!=TRUE</formula>
    </cfRule>
    <cfRule type="expression" dxfId="716" priority="273">
      <formula>S80=TRUE</formula>
    </cfRule>
  </conditionalFormatting>
  <conditionalFormatting sqref="T82">
    <cfRule type="expression" dxfId="715" priority="277">
      <formula>S80=TRUE</formula>
    </cfRule>
  </conditionalFormatting>
  <conditionalFormatting sqref="T89:T90">
    <cfRule type="expression" dxfId="714" priority="107">
      <formula>M86=TRUE</formula>
    </cfRule>
  </conditionalFormatting>
  <conditionalFormatting sqref="T93:T94">
    <cfRule type="expression" dxfId="713" priority="268">
      <formula>#REF!=TRUE</formula>
    </cfRule>
    <cfRule type="expression" dxfId="712" priority="262">
      <formula>S92=TRUE</formula>
    </cfRule>
  </conditionalFormatting>
  <conditionalFormatting sqref="T94">
    <cfRule type="expression" dxfId="711" priority="266">
      <formula>S92=TRUE</formula>
    </cfRule>
  </conditionalFormatting>
  <conditionalFormatting sqref="T101:T102">
    <cfRule type="expression" dxfId="710" priority="105">
      <formula>M98=TRUE</formula>
    </cfRule>
  </conditionalFormatting>
  <conditionalFormatting sqref="T105:T106">
    <cfRule type="expression" dxfId="709" priority="251">
      <formula>S104=TRUE</formula>
    </cfRule>
    <cfRule type="expression" dxfId="708" priority="257">
      <formula>#REF!=TRUE</formula>
    </cfRule>
  </conditionalFormatting>
  <conditionalFormatting sqref="T106">
    <cfRule type="expression" dxfId="707" priority="255">
      <formula>S104=TRUE</formula>
    </cfRule>
  </conditionalFormatting>
  <conditionalFormatting sqref="T113:T114">
    <cfRule type="expression" dxfId="706" priority="103">
      <formula>M110=TRUE</formula>
    </cfRule>
  </conditionalFormatting>
  <conditionalFormatting sqref="T117:T118">
    <cfRule type="expression" dxfId="705" priority="240">
      <formula>S116=TRUE</formula>
    </cfRule>
    <cfRule type="expression" dxfId="704" priority="246">
      <formula>#REF!=TRUE</formula>
    </cfRule>
  </conditionalFormatting>
  <conditionalFormatting sqref="T118">
    <cfRule type="expression" dxfId="703" priority="244">
      <formula>S116=TRUE</formula>
    </cfRule>
  </conditionalFormatting>
  <conditionalFormatting sqref="T125:T126">
    <cfRule type="expression" dxfId="702" priority="101">
      <formula>M122=TRUE</formula>
    </cfRule>
  </conditionalFormatting>
  <conditionalFormatting sqref="T129:T130">
    <cfRule type="expression" dxfId="701" priority="229">
      <formula>S128=TRUE</formula>
    </cfRule>
    <cfRule type="expression" dxfId="700" priority="235">
      <formula>#REF!=TRUE</formula>
    </cfRule>
  </conditionalFormatting>
  <conditionalFormatting sqref="T130">
    <cfRule type="expression" dxfId="699" priority="233">
      <formula>S128=TRUE</formula>
    </cfRule>
  </conditionalFormatting>
  <conditionalFormatting sqref="T137:T138">
    <cfRule type="expression" dxfId="698" priority="99">
      <formula>M134=TRUE</formula>
    </cfRule>
  </conditionalFormatting>
  <conditionalFormatting sqref="T141:T142">
    <cfRule type="expression" dxfId="697" priority="218">
      <formula>S140=TRUE</formula>
    </cfRule>
    <cfRule type="expression" dxfId="696" priority="224">
      <formula>#REF!=TRUE</formula>
    </cfRule>
  </conditionalFormatting>
  <conditionalFormatting sqref="T142">
    <cfRule type="expression" dxfId="695" priority="222">
      <formula>S140=TRUE</formula>
    </cfRule>
  </conditionalFormatting>
  <conditionalFormatting sqref="T149:T150">
    <cfRule type="expression" dxfId="694" priority="97">
      <formula>M146=TRUE</formula>
    </cfRule>
  </conditionalFormatting>
  <conditionalFormatting sqref="T153:T154">
    <cfRule type="expression" dxfId="693" priority="213">
      <formula>#REF!=TRUE</formula>
    </cfRule>
    <cfRule type="expression" dxfId="692" priority="207">
      <formula>S152=TRUE</formula>
    </cfRule>
  </conditionalFormatting>
  <conditionalFormatting sqref="T154">
    <cfRule type="expression" dxfId="691" priority="211">
      <formula>S152=TRUE</formula>
    </cfRule>
  </conditionalFormatting>
  <conditionalFormatting sqref="T161:T162">
    <cfRule type="expression" dxfId="690" priority="95">
      <formula>M158=TRUE</formula>
    </cfRule>
  </conditionalFormatting>
  <conditionalFormatting sqref="T165:T166">
    <cfRule type="expression" dxfId="689" priority="202">
      <formula>#REF!=TRUE</formula>
    </cfRule>
    <cfRule type="expression" dxfId="688" priority="196">
      <formula>S164=TRUE</formula>
    </cfRule>
  </conditionalFormatting>
  <conditionalFormatting sqref="T166">
    <cfRule type="expression" dxfId="687" priority="200">
      <formula>S164=TRUE</formula>
    </cfRule>
  </conditionalFormatting>
  <conditionalFormatting sqref="T173:T174">
    <cfRule type="expression" dxfId="686" priority="93">
      <formula>M170=TRUE</formula>
    </cfRule>
  </conditionalFormatting>
  <conditionalFormatting sqref="T177:T178">
    <cfRule type="expression" dxfId="685" priority="185">
      <formula>S176=TRUE</formula>
    </cfRule>
    <cfRule type="expression" dxfId="684" priority="191">
      <formula>#REF!=TRUE</formula>
    </cfRule>
  </conditionalFormatting>
  <conditionalFormatting sqref="T178">
    <cfRule type="expression" dxfId="683" priority="189">
      <formula>S176=TRUE</formula>
    </cfRule>
  </conditionalFormatting>
  <conditionalFormatting sqref="T185:T186">
    <cfRule type="expression" dxfId="682" priority="91">
      <formula>M182=TRUE</formula>
    </cfRule>
  </conditionalFormatting>
  <conditionalFormatting sqref="T189:T190">
    <cfRule type="expression" dxfId="681" priority="180">
      <formula>#REF!=TRUE</formula>
    </cfRule>
    <cfRule type="expression" dxfId="680" priority="174">
      <formula>S188=TRUE</formula>
    </cfRule>
  </conditionalFormatting>
  <conditionalFormatting sqref="T190">
    <cfRule type="expression" dxfId="679" priority="178">
      <formula>S188=TRUE</formula>
    </cfRule>
  </conditionalFormatting>
  <conditionalFormatting sqref="T197:T198">
    <cfRule type="expression" dxfId="678" priority="89">
      <formula>M194=TRUE</formula>
    </cfRule>
  </conditionalFormatting>
  <conditionalFormatting sqref="T201:T202">
    <cfRule type="expression" dxfId="677" priority="169">
      <formula>#REF!=TRUE</formula>
    </cfRule>
    <cfRule type="expression" dxfId="676" priority="163">
      <formula>S200=TRUE</formula>
    </cfRule>
  </conditionalFormatting>
  <conditionalFormatting sqref="T202">
    <cfRule type="expression" dxfId="675" priority="167">
      <formula>S200=TRUE</formula>
    </cfRule>
  </conditionalFormatting>
  <conditionalFormatting sqref="T209:T210">
    <cfRule type="expression" dxfId="674" priority="87">
      <formula>M206=TRUE</formula>
    </cfRule>
  </conditionalFormatting>
  <conditionalFormatting sqref="T213:T214">
    <cfRule type="expression" dxfId="673" priority="158">
      <formula>#REF!=TRUE</formula>
    </cfRule>
    <cfRule type="expression" dxfId="672" priority="152">
      <formula>S212=TRUE</formula>
    </cfRule>
  </conditionalFormatting>
  <conditionalFormatting sqref="T214">
    <cfRule type="expression" dxfId="671" priority="156">
      <formula>S212=TRUE</formula>
    </cfRule>
  </conditionalFormatting>
  <conditionalFormatting sqref="T221:T222">
    <cfRule type="expression" dxfId="670" priority="85">
      <formula>M218=TRUE</formula>
    </cfRule>
  </conditionalFormatting>
  <conditionalFormatting sqref="T225:T226">
    <cfRule type="expression" dxfId="669" priority="147">
      <formula>#REF!=TRUE</formula>
    </cfRule>
    <cfRule type="expression" dxfId="668" priority="141">
      <formula>S224=TRUE</formula>
    </cfRule>
  </conditionalFormatting>
  <conditionalFormatting sqref="T226">
    <cfRule type="expression" dxfId="667" priority="145">
      <formula>S224=TRUE</formula>
    </cfRule>
  </conditionalFormatting>
  <conditionalFormatting sqref="T233:T234">
    <cfRule type="expression" dxfId="666" priority="83">
      <formula>M230=TRUE</formula>
    </cfRule>
  </conditionalFormatting>
  <conditionalFormatting sqref="T237:T238">
    <cfRule type="expression" dxfId="665" priority="130">
      <formula>S236=TRUE</formula>
    </cfRule>
    <cfRule type="expression" dxfId="664" priority="136">
      <formula>#REF!=TRUE</formula>
    </cfRule>
  </conditionalFormatting>
  <conditionalFormatting sqref="T238">
    <cfRule type="expression" dxfId="663" priority="134">
      <formula>S236=TRUE</formula>
    </cfRule>
  </conditionalFormatting>
  <conditionalFormatting sqref="T245:T246">
    <cfRule type="expression" dxfId="662" priority="81">
      <formula>M242=TRUE</formula>
    </cfRule>
  </conditionalFormatting>
  <conditionalFormatting sqref="T249:T250">
    <cfRule type="expression" dxfId="661" priority="125">
      <formula>#REF!=TRUE</formula>
    </cfRule>
    <cfRule type="expression" dxfId="660" priority="119">
      <formula>S248=TRUE</formula>
    </cfRule>
  </conditionalFormatting>
  <conditionalFormatting sqref="T250">
    <cfRule type="expression" dxfId="659" priority="123">
      <formula>S248=TRUE</formula>
    </cfRule>
  </conditionalFormatting>
  <conditionalFormatting sqref="X21:X22">
    <cfRule type="expression" dxfId="658" priority="827">
      <formula>W20=TRUE</formula>
    </cfRule>
  </conditionalFormatting>
  <conditionalFormatting sqref="X23">
    <cfRule type="expression" dxfId="657" priority="6976">
      <formula>W20=TRUE</formula>
    </cfRule>
  </conditionalFormatting>
  <conditionalFormatting sqref="X33:X34">
    <cfRule type="expression" dxfId="656" priority="322">
      <formula>W32=TRUE</formula>
    </cfRule>
  </conditionalFormatting>
  <conditionalFormatting sqref="X35">
    <cfRule type="expression" dxfId="655" priority="325">
      <formula>W32=TRUE</formula>
    </cfRule>
  </conditionalFormatting>
  <conditionalFormatting sqref="X45:X46">
    <cfRule type="expression" dxfId="654" priority="311">
      <formula>W44=TRUE</formula>
    </cfRule>
  </conditionalFormatting>
  <conditionalFormatting sqref="X47">
    <cfRule type="expression" dxfId="653" priority="314">
      <formula>W44=TRUE</formula>
    </cfRule>
  </conditionalFormatting>
  <conditionalFormatting sqref="X57:X58">
    <cfRule type="expression" dxfId="652" priority="300">
      <formula>W56=TRUE</formula>
    </cfRule>
  </conditionalFormatting>
  <conditionalFormatting sqref="X59">
    <cfRule type="expression" dxfId="651" priority="303">
      <formula>W56=TRUE</formula>
    </cfRule>
  </conditionalFormatting>
  <conditionalFormatting sqref="X69:X70">
    <cfRule type="expression" dxfId="650" priority="289">
      <formula>W68=TRUE</formula>
    </cfRule>
  </conditionalFormatting>
  <conditionalFormatting sqref="X71">
    <cfRule type="expression" dxfId="649" priority="292">
      <formula>W68=TRUE</formula>
    </cfRule>
  </conditionalFormatting>
  <conditionalFormatting sqref="X81:X82">
    <cfRule type="expression" dxfId="648" priority="278">
      <formula>W80=TRUE</formula>
    </cfRule>
  </conditionalFormatting>
  <conditionalFormatting sqref="X83">
    <cfRule type="expression" dxfId="647" priority="281">
      <formula>W80=TRUE</formula>
    </cfRule>
  </conditionalFormatting>
  <conditionalFormatting sqref="X93:X94">
    <cfRule type="expression" dxfId="646" priority="267">
      <formula>W92=TRUE</formula>
    </cfRule>
  </conditionalFormatting>
  <conditionalFormatting sqref="X95">
    <cfRule type="expression" dxfId="645" priority="270">
      <formula>W92=TRUE</formula>
    </cfRule>
  </conditionalFormatting>
  <conditionalFormatting sqref="X105:X106">
    <cfRule type="expression" dxfId="644" priority="256">
      <formula>W104=TRUE</formula>
    </cfRule>
  </conditionalFormatting>
  <conditionalFormatting sqref="X107">
    <cfRule type="expression" dxfId="643" priority="259">
      <formula>W104=TRUE</formula>
    </cfRule>
  </conditionalFormatting>
  <conditionalFormatting sqref="X117:X118">
    <cfRule type="expression" dxfId="642" priority="245">
      <formula>W116=TRUE</formula>
    </cfRule>
  </conditionalFormatting>
  <conditionalFormatting sqref="X119">
    <cfRule type="expression" dxfId="641" priority="248">
      <formula>W116=TRUE</formula>
    </cfRule>
  </conditionalFormatting>
  <conditionalFormatting sqref="X129:X130">
    <cfRule type="expression" dxfId="640" priority="234">
      <formula>W128=TRUE</formula>
    </cfRule>
  </conditionalFormatting>
  <conditionalFormatting sqref="X131">
    <cfRule type="expression" dxfId="639" priority="237">
      <formula>W128=TRUE</formula>
    </cfRule>
  </conditionalFormatting>
  <conditionalFormatting sqref="X141:X142">
    <cfRule type="expression" dxfId="638" priority="223">
      <formula>W140=TRUE</formula>
    </cfRule>
  </conditionalFormatting>
  <conditionalFormatting sqref="X143">
    <cfRule type="expression" dxfId="637" priority="226">
      <formula>W140=TRUE</formula>
    </cfRule>
  </conditionalFormatting>
  <conditionalFormatting sqref="X153:X154">
    <cfRule type="expression" dxfId="636" priority="212">
      <formula>W152=TRUE</formula>
    </cfRule>
  </conditionalFormatting>
  <conditionalFormatting sqref="X155">
    <cfRule type="expression" dxfId="635" priority="215">
      <formula>W152=TRUE</formula>
    </cfRule>
  </conditionalFormatting>
  <conditionalFormatting sqref="X165:X166">
    <cfRule type="expression" dxfId="634" priority="201">
      <formula>W164=TRUE</formula>
    </cfRule>
  </conditionalFormatting>
  <conditionalFormatting sqref="X167">
    <cfRule type="expression" dxfId="633" priority="204">
      <formula>W164=TRUE</formula>
    </cfRule>
  </conditionalFormatting>
  <conditionalFormatting sqref="X177:X178">
    <cfRule type="expression" dxfId="632" priority="190">
      <formula>W176=TRUE</formula>
    </cfRule>
  </conditionalFormatting>
  <conditionalFormatting sqref="X179">
    <cfRule type="expression" dxfId="631" priority="193">
      <formula>W176=TRUE</formula>
    </cfRule>
  </conditionalFormatting>
  <conditionalFormatting sqref="X189:X190">
    <cfRule type="expression" dxfId="630" priority="179">
      <formula>W188=TRUE</formula>
    </cfRule>
  </conditionalFormatting>
  <conditionalFormatting sqref="X191">
    <cfRule type="expression" dxfId="629" priority="182">
      <formula>W188=TRUE</formula>
    </cfRule>
  </conditionalFormatting>
  <conditionalFormatting sqref="X201:X202">
    <cfRule type="expression" dxfId="628" priority="168">
      <formula>W200=TRUE</formula>
    </cfRule>
  </conditionalFormatting>
  <conditionalFormatting sqref="X203">
    <cfRule type="expression" dxfId="627" priority="171">
      <formula>W200=TRUE</formula>
    </cfRule>
  </conditionalFormatting>
  <conditionalFormatting sqref="X213:X214">
    <cfRule type="expression" dxfId="626" priority="157">
      <formula>W212=TRUE</formula>
    </cfRule>
  </conditionalFormatting>
  <conditionalFormatting sqref="X215">
    <cfRule type="expression" dxfId="625" priority="160">
      <formula>W212=TRUE</formula>
    </cfRule>
  </conditionalFormatting>
  <conditionalFormatting sqref="X225:X226">
    <cfRule type="expression" dxfId="624" priority="146">
      <formula>W224=TRUE</formula>
    </cfRule>
  </conditionalFormatting>
  <conditionalFormatting sqref="X227">
    <cfRule type="expression" dxfId="623" priority="149">
      <formula>W224=TRUE</formula>
    </cfRule>
  </conditionalFormatting>
  <conditionalFormatting sqref="X237:X238">
    <cfRule type="expression" dxfId="622" priority="135">
      <formula>W236=TRUE</formula>
    </cfRule>
  </conditionalFormatting>
  <conditionalFormatting sqref="X239">
    <cfRule type="expression" dxfId="621" priority="138">
      <formula>W236=TRUE</formula>
    </cfRule>
  </conditionalFormatting>
  <conditionalFormatting sqref="X249:X250">
    <cfRule type="expression" dxfId="620" priority="124">
      <formula>W248=TRUE</formula>
    </cfRule>
  </conditionalFormatting>
  <conditionalFormatting sqref="X251">
    <cfRule type="expression" dxfId="619" priority="127">
      <formula>W248=TRUE</formula>
    </cfRule>
  </conditionalFormatting>
  <conditionalFormatting sqref="Y21:Z22">
    <cfRule type="expression" dxfId="618" priority="2092">
      <formula>W20=TRUE</formula>
    </cfRule>
  </conditionalFormatting>
  <conditionalFormatting sqref="Y23:Z23">
    <cfRule type="expression" dxfId="617" priority="6978">
      <formula>W20=TRUE</formula>
    </cfRule>
  </conditionalFormatting>
  <conditionalFormatting sqref="Y33:Z34">
    <cfRule type="expression" dxfId="616" priority="324">
      <formula>W32=TRUE</formula>
    </cfRule>
  </conditionalFormatting>
  <conditionalFormatting sqref="Y35:Z35">
    <cfRule type="expression" dxfId="615" priority="326">
      <formula>W32=TRUE</formula>
    </cfRule>
  </conditionalFormatting>
  <conditionalFormatting sqref="Y45:Z46">
    <cfRule type="expression" dxfId="614" priority="313">
      <formula>W44=TRUE</formula>
    </cfRule>
  </conditionalFormatting>
  <conditionalFormatting sqref="Y47:Z47">
    <cfRule type="expression" dxfId="613" priority="315">
      <formula>W44=TRUE</formula>
    </cfRule>
  </conditionalFormatting>
  <conditionalFormatting sqref="Y57:Z58">
    <cfRule type="expression" dxfId="612" priority="302">
      <formula>W56=TRUE</formula>
    </cfRule>
  </conditionalFormatting>
  <conditionalFormatting sqref="Y59:Z59">
    <cfRule type="expression" dxfId="611" priority="304">
      <formula>W56=TRUE</formula>
    </cfRule>
  </conditionalFormatting>
  <conditionalFormatting sqref="Y69:Z70">
    <cfRule type="expression" dxfId="610" priority="291">
      <formula>W68=TRUE</formula>
    </cfRule>
  </conditionalFormatting>
  <conditionalFormatting sqref="Y71:Z71">
    <cfRule type="expression" dxfId="609" priority="293">
      <formula>W68=TRUE</formula>
    </cfRule>
  </conditionalFormatting>
  <conditionalFormatting sqref="Y81:Z82">
    <cfRule type="expression" dxfId="608" priority="280">
      <formula>W80=TRUE</formula>
    </cfRule>
  </conditionalFormatting>
  <conditionalFormatting sqref="Y83:Z83">
    <cfRule type="expression" dxfId="607" priority="282">
      <formula>W80=TRUE</formula>
    </cfRule>
  </conditionalFormatting>
  <conditionalFormatting sqref="Y93:Z94">
    <cfRule type="expression" dxfId="606" priority="269">
      <formula>W92=TRUE</formula>
    </cfRule>
  </conditionalFormatting>
  <conditionalFormatting sqref="Y95:Z95">
    <cfRule type="expression" dxfId="605" priority="271">
      <formula>W92=TRUE</formula>
    </cfRule>
  </conditionalFormatting>
  <conditionalFormatting sqref="Y105:Z106">
    <cfRule type="expression" dxfId="604" priority="258">
      <formula>W104=TRUE</formula>
    </cfRule>
  </conditionalFormatting>
  <conditionalFormatting sqref="Y107:Z107">
    <cfRule type="expression" dxfId="603" priority="260">
      <formula>W104=TRUE</formula>
    </cfRule>
  </conditionalFormatting>
  <conditionalFormatting sqref="Y117:Z118">
    <cfRule type="expression" dxfId="602" priority="247">
      <formula>W116=TRUE</formula>
    </cfRule>
  </conditionalFormatting>
  <conditionalFormatting sqref="Y119:Z119">
    <cfRule type="expression" dxfId="601" priority="249">
      <formula>W116=TRUE</formula>
    </cfRule>
  </conditionalFormatting>
  <conditionalFormatting sqref="Y129:Z130">
    <cfRule type="expression" dxfId="600" priority="236">
      <formula>W128=TRUE</formula>
    </cfRule>
  </conditionalFormatting>
  <conditionalFormatting sqref="Y131:Z131">
    <cfRule type="expression" dxfId="599" priority="238">
      <formula>W128=TRUE</formula>
    </cfRule>
  </conditionalFormatting>
  <conditionalFormatting sqref="Y141:Z142">
    <cfRule type="expression" dxfId="598" priority="225">
      <formula>W140=TRUE</formula>
    </cfRule>
  </conditionalFormatting>
  <conditionalFormatting sqref="Y143:Z143">
    <cfRule type="expression" dxfId="597" priority="227">
      <formula>W140=TRUE</formula>
    </cfRule>
  </conditionalFormatting>
  <conditionalFormatting sqref="Y153:Z154">
    <cfRule type="expression" dxfId="596" priority="214">
      <formula>W152=TRUE</formula>
    </cfRule>
  </conditionalFormatting>
  <conditionalFormatting sqref="Y155:Z155">
    <cfRule type="expression" dxfId="595" priority="216">
      <formula>W152=TRUE</formula>
    </cfRule>
  </conditionalFormatting>
  <conditionalFormatting sqref="Y165:Z166">
    <cfRule type="expression" dxfId="594" priority="203">
      <formula>W164=TRUE</formula>
    </cfRule>
  </conditionalFormatting>
  <conditionalFormatting sqref="Y167:Z167">
    <cfRule type="expression" dxfId="593" priority="205">
      <formula>W164=TRUE</formula>
    </cfRule>
  </conditionalFormatting>
  <conditionalFormatting sqref="Y177:Z178">
    <cfRule type="expression" dxfId="592" priority="192">
      <formula>W176=TRUE</formula>
    </cfRule>
  </conditionalFormatting>
  <conditionalFormatting sqref="Y179:Z179">
    <cfRule type="expression" dxfId="591" priority="194">
      <formula>W176=TRUE</formula>
    </cfRule>
  </conditionalFormatting>
  <conditionalFormatting sqref="Y189:Z190">
    <cfRule type="expression" dxfId="590" priority="181">
      <formula>W188=TRUE</formula>
    </cfRule>
  </conditionalFormatting>
  <conditionalFormatting sqref="Y191:Z191">
    <cfRule type="expression" dxfId="589" priority="183">
      <formula>W188=TRUE</formula>
    </cfRule>
  </conditionalFormatting>
  <conditionalFormatting sqref="Y201:Z202">
    <cfRule type="expression" dxfId="588" priority="170">
      <formula>W200=TRUE</formula>
    </cfRule>
  </conditionalFormatting>
  <conditionalFormatting sqref="Y203:Z203">
    <cfRule type="expression" dxfId="587" priority="172">
      <formula>W200=TRUE</formula>
    </cfRule>
  </conditionalFormatting>
  <conditionalFormatting sqref="Y213:Z214">
    <cfRule type="expression" dxfId="586" priority="159">
      <formula>W212=TRUE</formula>
    </cfRule>
  </conditionalFormatting>
  <conditionalFormatting sqref="Y215:Z215">
    <cfRule type="expression" dxfId="585" priority="161">
      <formula>W212=TRUE</formula>
    </cfRule>
  </conditionalFormatting>
  <conditionalFormatting sqref="Y225:Z226">
    <cfRule type="expression" dxfId="584" priority="148">
      <formula>W224=TRUE</formula>
    </cfRule>
  </conditionalFormatting>
  <conditionalFormatting sqref="Y227:Z227">
    <cfRule type="expression" dxfId="583" priority="150">
      <formula>W224=TRUE</formula>
    </cfRule>
  </conditionalFormatting>
  <conditionalFormatting sqref="Y237:Z238">
    <cfRule type="expression" dxfId="582" priority="137">
      <formula>W236=TRUE</formula>
    </cfRule>
  </conditionalFormatting>
  <conditionalFormatting sqref="Y239:Z239">
    <cfRule type="expression" dxfId="581" priority="139">
      <formula>W236=TRUE</formula>
    </cfRule>
  </conditionalFormatting>
  <conditionalFormatting sqref="Y249:Z250">
    <cfRule type="expression" dxfId="580" priority="126">
      <formula>W248=TRUE</formula>
    </cfRule>
  </conditionalFormatting>
  <conditionalFormatting sqref="Y251:Z251">
    <cfRule type="expression" dxfId="579"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4.5" outlineLevelRow="1" x14ac:dyDescent="0.35"/>
  <cols>
    <col min="1" max="1" width="9.90625" style="91" customWidth="1"/>
    <col min="2" max="2" width="7" style="246"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262</v>
      </c>
      <c r="D1" s="42"/>
      <c r="E1" s="42"/>
      <c r="T1" s="116">
        <f>COUNTIF(R12:R109,INputs!AX3)</f>
        <v>0</v>
      </c>
    </row>
    <row r="2" spans="1:31" ht="19" thickBot="1" x14ac:dyDescent="0.5">
      <c r="C2" s="96" t="s">
        <v>263</v>
      </c>
      <c r="D2" s="12"/>
      <c r="E2" s="96" t="s">
        <v>264</v>
      </c>
      <c r="F2" s="12"/>
      <c r="G2" s="96" t="s">
        <v>265</v>
      </c>
      <c r="H2" s="12"/>
      <c r="I2" s="96" t="s">
        <v>266</v>
      </c>
      <c r="J2" s="12"/>
      <c r="K2" s="96" t="s">
        <v>218</v>
      </c>
      <c r="L2" s="12"/>
      <c r="M2" s="588" t="s">
        <v>330</v>
      </c>
      <c r="N2" s="589"/>
      <c r="O2" s="12"/>
      <c r="P2" s="97" t="s">
        <v>89</v>
      </c>
      <c r="Q2" s="12"/>
      <c r="R2" s="96" t="s">
        <v>267</v>
      </c>
      <c r="S2" s="12"/>
      <c r="T2" s="98" t="s">
        <v>268</v>
      </c>
      <c r="U2" s="12"/>
      <c r="V2" s="98" t="s">
        <v>269</v>
      </c>
      <c r="W2" s="153"/>
      <c r="X2" s="98" t="s">
        <v>270</v>
      </c>
      <c r="Y2" s="153"/>
      <c r="Z2" s="98" t="s">
        <v>271</v>
      </c>
      <c r="AA2" s="12"/>
      <c r="AB2" s="647" t="s">
        <v>272</v>
      </c>
      <c r="AC2" s="784"/>
      <c r="AD2" s="784"/>
      <c r="AE2" s="648"/>
    </row>
    <row r="3" spans="1:31" s="3" customFormat="1" ht="342" hidden="1" customHeight="1" outlineLevel="1" x14ac:dyDescent="0.35">
      <c r="A3" s="372" t="s">
        <v>322</v>
      </c>
      <c r="B3" s="247"/>
      <c r="C3" s="178" t="s">
        <v>273</v>
      </c>
      <c r="D3" s="180"/>
      <c r="E3" s="159" t="s">
        <v>274</v>
      </c>
      <c r="F3" s="161"/>
      <c r="G3" s="164"/>
      <c r="H3" s="161"/>
      <c r="I3" s="159" t="s">
        <v>275</v>
      </c>
      <c r="J3" s="161"/>
      <c r="K3" s="159" t="s">
        <v>276</v>
      </c>
      <c r="L3" s="161"/>
      <c r="M3" s="595" t="s">
        <v>277</v>
      </c>
      <c r="N3" s="595"/>
      <c r="O3" s="161"/>
      <c r="P3" s="159" t="s">
        <v>278</v>
      </c>
      <c r="Q3" s="161"/>
      <c r="R3" s="164" t="s">
        <v>323</v>
      </c>
      <c r="S3" s="161"/>
      <c r="T3" s="160" t="s">
        <v>279</v>
      </c>
      <c r="U3" s="177"/>
      <c r="V3" s="158" t="s">
        <v>280</v>
      </c>
      <c r="W3" s="161"/>
      <c r="X3" s="159" t="s">
        <v>281</v>
      </c>
      <c r="Y3" s="161"/>
      <c r="Z3" s="160" t="s">
        <v>282</v>
      </c>
      <c r="AA3" s="177"/>
      <c r="AB3" s="594" t="s">
        <v>283</v>
      </c>
      <c r="AC3" s="595"/>
      <c r="AD3" s="595"/>
      <c r="AE3" s="596"/>
    </row>
    <row r="4" spans="1:31" s="3" customFormat="1" ht="43.5" hidden="1" customHeight="1" outlineLevel="1" x14ac:dyDescent="0.35">
      <c r="A4" s="633" t="s">
        <v>99</v>
      </c>
      <c r="B4" s="248"/>
      <c r="C4" s="167" t="s">
        <v>142</v>
      </c>
      <c r="D4" s="131"/>
      <c r="E4" s="167" t="s">
        <v>284</v>
      </c>
      <c r="F4" s="131"/>
      <c r="G4" s="170"/>
      <c r="H4" s="131"/>
      <c r="I4" s="167" t="s">
        <v>285</v>
      </c>
      <c r="J4" s="131"/>
      <c r="K4" s="167" t="s">
        <v>238</v>
      </c>
      <c r="L4" s="131"/>
      <c r="M4" s="563" t="s">
        <v>239</v>
      </c>
      <c r="N4" s="563"/>
      <c r="O4" s="131"/>
      <c r="P4" s="170"/>
      <c r="Q4" s="131"/>
      <c r="R4" s="170"/>
      <c r="S4" s="131"/>
      <c r="T4" s="170"/>
      <c r="U4" s="131"/>
      <c r="V4" s="170"/>
      <c r="W4" s="131"/>
      <c r="X4" s="170"/>
      <c r="Y4" s="131"/>
      <c r="Z4" s="170"/>
      <c r="AA4" s="131"/>
      <c r="AB4" s="563" t="s">
        <v>105</v>
      </c>
      <c r="AC4" s="563"/>
      <c r="AD4" s="563"/>
      <c r="AE4" s="563"/>
    </row>
    <row r="5" spans="1:31" s="3" customFormat="1" ht="14.5" hidden="1" customHeight="1" outlineLevel="1" x14ac:dyDescent="0.35">
      <c r="A5" s="633"/>
      <c r="B5" s="248"/>
      <c r="C5" s="170"/>
      <c r="D5" s="131"/>
      <c r="E5" s="170"/>
      <c r="F5" s="131"/>
      <c r="G5" s="170"/>
      <c r="H5" s="131"/>
      <c r="I5" s="170"/>
      <c r="J5" s="131"/>
      <c r="K5" s="170"/>
      <c r="L5" s="131"/>
      <c r="M5" s="563" t="s">
        <v>286</v>
      </c>
      <c r="N5" s="563"/>
      <c r="O5" s="131"/>
      <c r="P5" s="170"/>
      <c r="Q5" s="131"/>
      <c r="R5" s="170"/>
      <c r="S5" s="131"/>
      <c r="T5" s="170"/>
      <c r="U5" s="131"/>
      <c r="V5" s="170"/>
      <c r="W5" s="131"/>
      <c r="X5" s="170"/>
      <c r="Y5" s="131"/>
      <c r="Z5" s="170"/>
      <c r="AA5" s="131"/>
      <c r="AB5" s="563" t="s">
        <v>287</v>
      </c>
      <c r="AC5" s="563"/>
      <c r="AD5" s="563"/>
      <c r="AE5" s="563"/>
    </row>
    <row r="6" spans="1:31" s="3" customFormat="1" ht="14.5" hidden="1" customHeight="1" outlineLevel="1" x14ac:dyDescent="0.35">
      <c r="A6" s="633"/>
      <c r="B6" s="248"/>
      <c r="C6" s="170"/>
      <c r="D6" s="131"/>
      <c r="E6" s="170"/>
      <c r="F6" s="131"/>
      <c r="G6" s="170"/>
      <c r="H6" s="131"/>
      <c r="I6" s="170"/>
      <c r="J6" s="131"/>
      <c r="K6" s="170"/>
      <c r="L6" s="131"/>
      <c r="M6" s="565"/>
      <c r="N6" s="565"/>
      <c r="O6" s="131"/>
      <c r="P6" s="170"/>
      <c r="Q6" s="131"/>
      <c r="R6" s="170"/>
      <c r="S6" s="131"/>
      <c r="T6" s="170"/>
      <c r="U6" s="131"/>
      <c r="V6" s="170"/>
      <c r="W6" s="131"/>
      <c r="X6" s="170"/>
      <c r="Y6" s="131"/>
      <c r="Z6" s="170"/>
      <c r="AA6" s="131"/>
      <c r="AB6" s="565"/>
      <c r="AC6" s="565"/>
      <c r="AD6" s="565"/>
      <c r="AE6" s="565"/>
    </row>
    <row r="7" spans="1:31" s="3" customFormat="1" ht="14.5" hidden="1" customHeight="1" outlineLevel="1" x14ac:dyDescent="0.35">
      <c r="A7" s="633"/>
      <c r="B7" s="248"/>
      <c r="C7" s="170"/>
      <c r="D7" s="131"/>
      <c r="E7" s="170"/>
      <c r="F7" s="131"/>
      <c r="G7" s="170"/>
      <c r="H7" s="131"/>
      <c r="I7" s="170"/>
      <c r="J7" s="131"/>
      <c r="K7" s="170"/>
      <c r="L7" s="131"/>
      <c r="M7" s="565"/>
      <c r="N7" s="565"/>
      <c r="O7" s="131"/>
      <c r="P7" s="170"/>
      <c r="Q7" s="131"/>
      <c r="R7" s="170"/>
      <c r="S7" s="131"/>
      <c r="T7" s="170"/>
      <c r="U7" s="131"/>
      <c r="V7" s="170"/>
      <c r="W7" s="131"/>
      <c r="X7" s="170"/>
      <c r="Y7" s="131"/>
      <c r="Z7" s="170"/>
      <c r="AA7" s="131"/>
      <c r="AB7" s="565"/>
      <c r="AC7" s="565"/>
      <c r="AD7" s="565"/>
      <c r="AE7" s="565"/>
    </row>
    <row r="8" spans="1:31" s="3" customFormat="1" ht="14.5" hidden="1" customHeight="1" outlineLevel="1" x14ac:dyDescent="0.35">
      <c r="A8" s="633"/>
      <c r="B8" s="247"/>
      <c r="C8" s="171"/>
      <c r="D8" s="131"/>
      <c r="E8" s="170"/>
      <c r="F8" s="131"/>
      <c r="G8" s="170"/>
      <c r="H8" s="131"/>
      <c r="I8" s="170"/>
      <c r="J8" s="131"/>
      <c r="K8" s="170"/>
      <c r="L8" s="131"/>
      <c r="M8" s="565"/>
      <c r="N8" s="565"/>
      <c r="O8" s="131"/>
      <c r="P8" s="170"/>
      <c r="Q8" s="131"/>
      <c r="R8" s="170"/>
      <c r="S8" s="131"/>
      <c r="T8" s="170"/>
      <c r="U8" s="131"/>
      <c r="V8" s="170"/>
      <c r="W8" s="131"/>
      <c r="X8" s="170"/>
      <c r="Y8" s="131"/>
      <c r="Z8" s="170"/>
      <c r="AA8" s="131"/>
      <c r="AB8" s="565"/>
      <c r="AC8" s="565"/>
      <c r="AD8" s="565"/>
      <c r="AE8" s="565"/>
    </row>
    <row r="9" spans="1:31" collapsed="1" x14ac:dyDescent="0.35">
      <c r="C9" s="7" t="s">
        <v>107</v>
      </c>
      <c r="D9" s="7"/>
      <c r="E9" s="8" t="s">
        <v>109</v>
      </c>
      <c r="F9" s="7"/>
      <c r="G9" s="7" t="s">
        <v>107</v>
      </c>
      <c r="H9" s="7"/>
      <c r="I9" s="8" t="s">
        <v>109</v>
      </c>
      <c r="J9" s="7"/>
      <c r="K9" s="7" t="s">
        <v>107</v>
      </c>
      <c r="L9" s="7"/>
      <c r="M9" s="631" t="s">
        <v>108</v>
      </c>
      <c r="N9" s="631"/>
      <c r="O9" s="7"/>
      <c r="P9" s="7" t="s">
        <v>107</v>
      </c>
      <c r="Q9" s="7"/>
      <c r="R9" s="8" t="s">
        <v>109</v>
      </c>
      <c r="S9" s="7"/>
      <c r="T9" s="23" t="s">
        <v>107</v>
      </c>
      <c r="U9" s="7"/>
      <c r="V9" s="23" t="s">
        <v>107</v>
      </c>
      <c r="W9" s="7"/>
      <c r="X9" s="23" t="s">
        <v>107</v>
      </c>
      <c r="Y9" s="7"/>
      <c r="Z9" s="23" t="s">
        <v>107</v>
      </c>
      <c r="AA9" s="7"/>
      <c r="AB9" s="7"/>
      <c r="AC9" s="24" t="s">
        <v>108</v>
      </c>
      <c r="AD9" s="24"/>
    </row>
    <row r="10" spans="1:31" ht="4" customHeight="1" thickBot="1" x14ac:dyDescent="0.4">
      <c r="A10" s="87"/>
      <c r="C10" s="113"/>
      <c r="D10" s="112"/>
      <c r="E10" s="112"/>
      <c r="F10" s="112"/>
      <c r="G10" s="112"/>
      <c r="H10" s="112"/>
      <c r="I10" s="112"/>
      <c r="J10" s="112"/>
      <c r="K10" s="112"/>
      <c r="L10" s="112"/>
      <c r="M10" s="112"/>
      <c r="N10" s="112"/>
      <c r="O10" s="112"/>
      <c r="P10" s="112"/>
      <c r="Q10" s="112"/>
      <c r="R10" s="275"/>
      <c r="S10" s="112"/>
      <c r="T10" s="112"/>
      <c r="U10" s="112"/>
      <c r="V10" s="112"/>
      <c r="W10" s="112"/>
      <c r="X10" s="112"/>
      <c r="Y10" s="112"/>
      <c r="Z10" s="112"/>
      <c r="AA10" s="112"/>
      <c r="AB10" s="112"/>
      <c r="AC10" s="112"/>
      <c r="AD10" s="112"/>
      <c r="AE10" s="114"/>
    </row>
    <row r="11" spans="1:31" ht="4.5" customHeight="1" x14ac:dyDescent="0.35">
      <c r="A11" s="528">
        <v>1</v>
      </c>
      <c r="B11" s="249">
        <f>A12+10</f>
        <v>10</v>
      </c>
      <c r="C11" s="129"/>
      <c r="D11" s="62"/>
      <c r="E11" s="62"/>
      <c r="F11" s="62"/>
      <c r="G11" s="62"/>
      <c r="H11" s="62"/>
      <c r="I11" s="62"/>
      <c r="J11" s="62"/>
      <c r="K11" s="129"/>
      <c r="L11" s="62"/>
      <c r="M11" s="62"/>
      <c r="N11" s="62"/>
      <c r="O11" s="62"/>
      <c r="P11" s="62"/>
      <c r="Q11" s="62"/>
      <c r="R11" s="244"/>
      <c r="S11" s="62"/>
      <c r="T11" s="62"/>
      <c r="U11" s="62"/>
      <c r="V11" s="62"/>
      <c r="W11" s="62"/>
      <c r="X11" s="62"/>
      <c r="Y11" s="62"/>
      <c r="Z11" s="62"/>
      <c r="AA11" s="62"/>
      <c r="AB11" s="62"/>
      <c r="AC11" s="62"/>
      <c r="AD11" s="129"/>
      <c r="AE11" s="71"/>
    </row>
    <row r="12" spans="1:31" ht="29" x14ac:dyDescent="0.35">
      <c r="A12" s="529"/>
      <c r="B12" s="13">
        <f>B11+1</f>
        <v>11</v>
      </c>
      <c r="C12" s="770"/>
      <c r="D12" s="3"/>
      <c r="E12" s="10"/>
      <c r="F12" s="3"/>
      <c r="G12" s="770"/>
      <c r="H12" s="3"/>
      <c r="I12" s="781"/>
      <c r="J12" s="3"/>
      <c r="K12" s="770"/>
      <c r="L12" s="3"/>
      <c r="M12" s="64" t="b">
        <v>0</v>
      </c>
      <c r="N12" t="s">
        <v>288</v>
      </c>
      <c r="O12" s="3"/>
      <c r="P12" s="3" t="s">
        <v>289</v>
      </c>
      <c r="Q12" s="3"/>
      <c r="R12" s="235"/>
      <c r="S12" s="3"/>
      <c r="T12" s="468"/>
      <c r="U12" s="131"/>
      <c r="V12" s="460"/>
      <c r="W12" s="131"/>
      <c r="X12" s="138"/>
      <c r="Y12" s="131"/>
      <c r="Z12" s="459"/>
      <c r="AA12" s="3"/>
      <c r="AB12" s="45" t="b">
        <v>0</v>
      </c>
      <c r="AC12" s="9" t="s">
        <v>290</v>
      </c>
      <c r="AD12" s="137" t="s">
        <v>107</v>
      </c>
      <c r="AE12" s="66"/>
    </row>
    <row r="13" spans="1:31" ht="29" x14ac:dyDescent="0.35">
      <c r="A13" s="529"/>
      <c r="B13" s="250">
        <f>B12+1</f>
        <v>12</v>
      </c>
      <c r="C13" s="538"/>
      <c r="G13" s="538"/>
      <c r="I13" s="782"/>
      <c r="K13" s="538"/>
      <c r="M13" s="284" t="b">
        <v>0</v>
      </c>
      <c r="N13" s="25" t="s">
        <v>291</v>
      </c>
      <c r="P13" s="25" t="s">
        <v>292</v>
      </c>
      <c r="T13" s="126"/>
      <c r="U13" s="132"/>
      <c r="V13" s="27"/>
      <c r="W13" s="132"/>
      <c r="X13" s="131"/>
      <c r="Y13" s="132"/>
      <c r="Z13" s="131"/>
      <c r="AB13" s="45" t="b">
        <v>0</v>
      </c>
      <c r="AC13" s="9" t="s">
        <v>293</v>
      </c>
      <c r="AD13" s="138"/>
      <c r="AE13" s="105"/>
    </row>
    <row r="14" spans="1:31" ht="15" thickBot="1" x14ac:dyDescent="0.4">
      <c r="A14" s="530"/>
      <c r="B14" s="250">
        <f>B13+1</f>
        <v>13</v>
      </c>
      <c r="C14" s="539"/>
      <c r="D14" s="67"/>
      <c r="E14" s="67"/>
      <c r="F14" s="67"/>
      <c r="G14" s="539"/>
      <c r="H14" s="67"/>
      <c r="I14" s="67"/>
      <c r="J14" s="67"/>
      <c r="K14" s="539"/>
      <c r="L14" s="67"/>
      <c r="M14" s="69" t="b">
        <v>0</v>
      </c>
      <c r="N14" s="67" t="s">
        <v>294</v>
      </c>
      <c r="O14" s="67"/>
      <c r="P14" s="67" t="s">
        <v>295</v>
      </c>
      <c r="Q14" s="67"/>
      <c r="R14" s="253"/>
      <c r="S14" s="67"/>
      <c r="T14" s="133"/>
      <c r="U14" s="134"/>
      <c r="V14" s="135"/>
      <c r="W14" s="134"/>
      <c r="X14" s="136"/>
      <c r="Y14" s="134"/>
      <c r="Z14" s="136"/>
      <c r="AA14" s="67"/>
      <c r="AB14" s="67"/>
      <c r="AC14" s="67"/>
      <c r="AD14" s="134"/>
      <c r="AE14" s="70"/>
    </row>
    <row r="15" spans="1:31" ht="5.15" customHeight="1" thickBot="1" x14ac:dyDescent="0.4">
      <c r="A15" s="115"/>
      <c r="B15" s="115"/>
      <c r="C15" s="128"/>
      <c r="D15" s="115"/>
      <c r="E15" s="115"/>
      <c r="F15" s="115"/>
      <c r="G15" s="128"/>
      <c r="H15" s="115"/>
      <c r="I15" s="115"/>
      <c r="J15" s="115"/>
      <c r="K15" s="128"/>
      <c r="L15" s="115"/>
      <c r="M15" s="115"/>
      <c r="N15" s="115"/>
      <c r="O15" s="115"/>
      <c r="P15" s="115"/>
      <c r="Q15" s="115"/>
      <c r="R15" s="276"/>
      <c r="S15" s="115"/>
      <c r="T15" s="128"/>
      <c r="U15" s="128"/>
      <c r="V15" s="128"/>
      <c r="W15" s="128"/>
      <c r="X15" s="128"/>
      <c r="Y15" s="128"/>
      <c r="Z15" s="128"/>
      <c r="AA15" s="115"/>
      <c r="AB15" s="115"/>
      <c r="AC15" s="115"/>
      <c r="AD15" s="128"/>
      <c r="AE15" s="115"/>
    </row>
    <row r="16" spans="1:31" ht="4.5" customHeight="1" x14ac:dyDescent="0.35">
      <c r="A16" s="528">
        <f>A11+1</f>
        <v>2</v>
      </c>
      <c r="B16" s="249">
        <f>B11+10</f>
        <v>20</v>
      </c>
      <c r="C16" s="129"/>
      <c r="D16" s="62"/>
      <c r="E16" s="62"/>
      <c r="F16" s="62"/>
      <c r="G16" s="129"/>
      <c r="H16" s="62"/>
      <c r="I16" s="62"/>
      <c r="J16" s="62"/>
      <c r="K16" s="129"/>
      <c r="L16" s="62"/>
      <c r="M16" s="62"/>
      <c r="N16" s="62"/>
      <c r="O16" s="62"/>
      <c r="P16" s="62"/>
      <c r="Q16" s="62"/>
      <c r="R16" s="244"/>
      <c r="S16" s="62"/>
      <c r="T16" s="129"/>
      <c r="U16" s="129"/>
      <c r="V16" s="280"/>
      <c r="W16" s="280"/>
      <c r="X16" s="280"/>
      <c r="Y16" s="280"/>
      <c r="Z16" s="280"/>
      <c r="AA16" s="62"/>
      <c r="AB16" s="62"/>
      <c r="AC16" s="62"/>
      <c r="AD16" s="129"/>
      <c r="AE16" s="71"/>
    </row>
    <row r="17" spans="1:31" ht="29" x14ac:dyDescent="0.35">
      <c r="A17" s="529"/>
      <c r="B17" s="250">
        <f>B12+10</f>
        <v>21</v>
      </c>
      <c r="C17" s="770"/>
      <c r="D17" s="3"/>
      <c r="E17" s="10"/>
      <c r="F17" s="3"/>
      <c r="G17" s="770"/>
      <c r="H17" s="3"/>
      <c r="I17" s="781"/>
      <c r="J17" s="3"/>
      <c r="K17" s="770"/>
      <c r="L17" s="3"/>
      <c r="M17" s="64" t="b">
        <v>0</v>
      </c>
      <c r="N17" t="s">
        <v>288</v>
      </c>
      <c r="O17" s="3"/>
      <c r="P17" s="3" t="s">
        <v>289</v>
      </c>
      <c r="Q17" s="3"/>
      <c r="R17" s="235"/>
      <c r="S17" s="3"/>
      <c r="T17" s="468" t="s">
        <v>369</v>
      </c>
      <c r="U17" s="131"/>
      <c r="V17" s="137"/>
      <c r="W17" s="138"/>
      <c r="X17" s="138"/>
      <c r="Y17" s="138"/>
      <c r="Z17" s="138"/>
      <c r="AA17" s="3"/>
      <c r="AB17" s="45" t="b">
        <v>0</v>
      </c>
      <c r="AC17" s="9" t="s">
        <v>290</v>
      </c>
      <c r="AD17" s="137" t="s">
        <v>107</v>
      </c>
      <c r="AE17" s="66"/>
    </row>
    <row r="18" spans="1:31" ht="29" x14ac:dyDescent="0.35">
      <c r="A18" s="529"/>
      <c r="B18" s="250">
        <f>B17+1</f>
        <v>22</v>
      </c>
      <c r="C18" s="538"/>
      <c r="G18" s="538"/>
      <c r="I18" s="782"/>
      <c r="K18" s="538"/>
      <c r="M18" s="284" t="b">
        <v>0</v>
      </c>
      <c r="N18" s="25" t="s">
        <v>291</v>
      </c>
      <c r="O18" s="25"/>
      <c r="P18" s="25" t="s">
        <v>292</v>
      </c>
      <c r="T18" s="468"/>
      <c r="U18" s="132"/>
      <c r="V18" s="137"/>
      <c r="W18" s="461"/>
      <c r="X18" s="138"/>
      <c r="Y18" s="461"/>
      <c r="Z18" s="138"/>
      <c r="AB18" s="45" t="b">
        <v>0</v>
      </c>
      <c r="AC18" s="9" t="s">
        <v>293</v>
      </c>
      <c r="AD18" s="138"/>
      <c r="AE18" s="105"/>
    </row>
    <row r="19" spans="1:31" ht="15" thickBot="1" x14ac:dyDescent="0.4">
      <c r="A19" s="530"/>
      <c r="B19" s="250">
        <f>B18+1</f>
        <v>23</v>
      </c>
      <c r="C19" s="539"/>
      <c r="D19" s="67"/>
      <c r="E19" s="67"/>
      <c r="F19" s="67"/>
      <c r="G19" s="539"/>
      <c r="H19" s="67"/>
      <c r="I19" s="67"/>
      <c r="J19" s="67"/>
      <c r="K19" s="539"/>
      <c r="L19" s="67"/>
      <c r="M19" s="69" t="b">
        <v>0</v>
      </c>
      <c r="N19" s="67" t="s">
        <v>294</v>
      </c>
      <c r="O19" s="67"/>
      <c r="P19" s="67" t="s">
        <v>295</v>
      </c>
      <c r="Q19" s="67"/>
      <c r="R19" s="253"/>
      <c r="S19" s="67"/>
      <c r="T19" s="469"/>
      <c r="U19" s="134"/>
      <c r="V19" s="462"/>
      <c r="W19" s="463"/>
      <c r="X19" s="464"/>
      <c r="Y19" s="463"/>
      <c r="Z19" s="464"/>
      <c r="AA19" s="67"/>
      <c r="AB19" s="67"/>
      <c r="AC19" s="67"/>
      <c r="AD19" s="134"/>
      <c r="AE19" s="70"/>
    </row>
    <row r="20" spans="1:31" ht="5.15" customHeight="1" thickBot="1" x14ac:dyDescent="0.4">
      <c r="A20" s="115"/>
      <c r="B20" s="115"/>
      <c r="C20" s="128"/>
      <c r="D20" s="115"/>
      <c r="E20" s="115"/>
      <c r="F20" s="115"/>
      <c r="G20" s="128"/>
      <c r="H20" s="115"/>
      <c r="I20" s="115"/>
      <c r="J20" s="115"/>
      <c r="K20" s="128"/>
      <c r="L20" s="115"/>
      <c r="M20" s="115"/>
      <c r="N20" s="115"/>
      <c r="O20" s="115"/>
      <c r="P20" s="115"/>
      <c r="Q20" s="115"/>
      <c r="R20" s="276"/>
      <c r="S20" s="115"/>
      <c r="T20" s="465"/>
      <c r="U20" s="128"/>
      <c r="V20" s="465"/>
      <c r="W20" s="465"/>
      <c r="X20" s="465"/>
      <c r="Y20" s="465"/>
      <c r="Z20" s="465"/>
      <c r="AA20" s="115"/>
      <c r="AB20" s="115"/>
      <c r="AC20" s="115"/>
      <c r="AD20" s="128"/>
      <c r="AE20" s="115"/>
    </row>
    <row r="21" spans="1:31" ht="4" customHeight="1" x14ac:dyDescent="0.35">
      <c r="A21" s="528">
        <f>A16+1</f>
        <v>3</v>
      </c>
      <c r="B21" s="249">
        <f>B16+10</f>
        <v>30</v>
      </c>
      <c r="C21" s="129"/>
      <c r="D21" s="62"/>
      <c r="E21" s="62"/>
      <c r="F21" s="62"/>
      <c r="G21" s="129"/>
      <c r="H21" s="62"/>
      <c r="I21" s="62"/>
      <c r="J21" s="62"/>
      <c r="K21" s="129"/>
      <c r="L21" s="62"/>
      <c r="M21" s="62"/>
      <c r="N21" s="62"/>
      <c r="O21" s="62"/>
      <c r="P21" s="62"/>
      <c r="Q21" s="62"/>
      <c r="R21" s="244"/>
      <c r="S21" s="62"/>
      <c r="T21" s="466"/>
      <c r="U21" s="129"/>
      <c r="V21" s="466"/>
      <c r="W21" s="466"/>
      <c r="X21" s="466"/>
      <c r="Y21" s="466"/>
      <c r="Z21" s="466"/>
      <c r="AA21" s="62"/>
      <c r="AB21" s="62"/>
      <c r="AC21" s="62"/>
      <c r="AD21" s="129"/>
      <c r="AE21" s="71"/>
    </row>
    <row r="22" spans="1:31" ht="29" x14ac:dyDescent="0.35">
      <c r="A22" s="529"/>
      <c r="B22" s="250">
        <f>B17+10</f>
        <v>31</v>
      </c>
      <c r="C22" s="770"/>
      <c r="D22" s="3"/>
      <c r="E22" s="10"/>
      <c r="F22" s="3"/>
      <c r="G22" s="770"/>
      <c r="H22" s="3"/>
      <c r="I22" s="781"/>
      <c r="J22" s="3"/>
      <c r="K22" s="770"/>
      <c r="L22" s="3"/>
      <c r="M22" s="64" t="b">
        <v>0</v>
      </c>
      <c r="N22" t="s">
        <v>288</v>
      </c>
      <c r="O22" s="3"/>
      <c r="P22" s="3" t="s">
        <v>289</v>
      </c>
      <c r="Q22" s="3"/>
      <c r="R22" s="235"/>
      <c r="S22" s="3"/>
      <c r="T22" s="468"/>
      <c r="U22" s="131"/>
      <c r="V22" s="137"/>
      <c r="W22" s="138"/>
      <c r="X22" s="138"/>
      <c r="Y22" s="138"/>
      <c r="Z22" s="138"/>
      <c r="AA22" s="3"/>
      <c r="AB22" s="45" t="b">
        <v>0</v>
      </c>
      <c r="AC22" s="9" t="s">
        <v>290</v>
      </c>
      <c r="AD22" s="137" t="s">
        <v>107</v>
      </c>
      <c r="AE22" s="66"/>
    </row>
    <row r="23" spans="1:31" ht="29" x14ac:dyDescent="0.35">
      <c r="A23" s="529"/>
      <c r="B23" s="250">
        <f>B22+1</f>
        <v>32</v>
      </c>
      <c r="C23" s="538"/>
      <c r="G23" s="538"/>
      <c r="I23" s="782"/>
      <c r="K23" s="538"/>
      <c r="M23" s="284" t="b">
        <v>0</v>
      </c>
      <c r="N23" s="25" t="s">
        <v>291</v>
      </c>
      <c r="O23" s="25"/>
      <c r="P23" s="25" t="s">
        <v>292</v>
      </c>
      <c r="T23" s="468"/>
      <c r="U23" s="132"/>
      <c r="V23" s="137"/>
      <c r="W23" s="461"/>
      <c r="X23" s="138"/>
      <c r="Y23" s="461"/>
      <c r="Z23" s="138"/>
      <c r="AB23" s="45" t="b">
        <v>1</v>
      </c>
      <c r="AC23" s="9" t="s">
        <v>293</v>
      </c>
      <c r="AD23" s="138"/>
      <c r="AE23" s="105"/>
    </row>
    <row r="24" spans="1:31" ht="15" thickBot="1" x14ac:dyDescent="0.4">
      <c r="A24" s="530"/>
      <c r="B24" s="250">
        <f>B23+1</f>
        <v>33</v>
      </c>
      <c r="C24" s="539"/>
      <c r="D24" s="67"/>
      <c r="E24" s="67"/>
      <c r="F24" s="67"/>
      <c r="G24" s="539"/>
      <c r="H24" s="67"/>
      <c r="I24" s="67"/>
      <c r="J24" s="67"/>
      <c r="K24" s="539"/>
      <c r="L24" s="67"/>
      <c r="M24" s="69" t="b">
        <v>0</v>
      </c>
      <c r="N24" s="67" t="s">
        <v>294</v>
      </c>
      <c r="O24" s="67"/>
      <c r="P24" s="67" t="s">
        <v>295</v>
      </c>
      <c r="Q24" s="67"/>
      <c r="R24" s="253"/>
      <c r="S24" s="67"/>
      <c r="T24" s="469"/>
      <c r="U24" s="134"/>
      <c r="V24" s="462"/>
      <c r="W24" s="463"/>
      <c r="X24" s="464"/>
      <c r="Y24" s="463"/>
      <c r="Z24" s="464"/>
      <c r="AA24" s="67"/>
      <c r="AB24" s="67"/>
      <c r="AC24" s="67"/>
      <c r="AD24" s="134"/>
      <c r="AE24" s="70"/>
    </row>
    <row r="25" spans="1:31" ht="5.15" customHeight="1" thickBot="1" x14ac:dyDescent="0.4">
      <c r="A25" s="115"/>
      <c r="B25" s="115"/>
      <c r="C25" s="128"/>
      <c r="D25" s="115"/>
      <c r="E25" s="115"/>
      <c r="F25" s="115"/>
      <c r="G25" s="128"/>
      <c r="H25" s="115"/>
      <c r="I25" s="115"/>
      <c r="J25" s="115"/>
      <c r="K25" s="128"/>
      <c r="L25" s="115"/>
      <c r="M25" s="115"/>
      <c r="N25" s="115"/>
      <c r="O25" s="115"/>
      <c r="P25" s="115"/>
      <c r="Q25" s="115"/>
      <c r="R25" s="276"/>
      <c r="S25" s="115"/>
      <c r="T25" s="465"/>
      <c r="U25" s="128"/>
      <c r="V25" s="465"/>
      <c r="W25" s="465"/>
      <c r="X25" s="465"/>
      <c r="Y25" s="465"/>
      <c r="Z25" s="465"/>
      <c r="AA25" s="115"/>
      <c r="AB25" s="115"/>
      <c r="AC25" s="115"/>
      <c r="AD25" s="128"/>
      <c r="AE25" s="115"/>
    </row>
    <row r="26" spans="1:31" ht="3.75" customHeight="1" x14ac:dyDescent="0.35">
      <c r="A26" s="528">
        <f>A21+1</f>
        <v>4</v>
      </c>
      <c r="B26" s="249">
        <f>B21+10</f>
        <v>40</v>
      </c>
      <c r="C26" s="129"/>
      <c r="D26" s="62"/>
      <c r="E26" s="62"/>
      <c r="F26" s="62"/>
      <c r="G26" s="129"/>
      <c r="H26" s="62"/>
      <c r="I26" s="62"/>
      <c r="J26" s="62"/>
      <c r="K26" s="129"/>
      <c r="L26" s="62"/>
      <c r="M26" s="62"/>
      <c r="N26" s="62"/>
      <c r="O26" s="62"/>
      <c r="P26" s="62"/>
      <c r="Q26" s="62"/>
      <c r="R26" s="244"/>
      <c r="S26" s="62"/>
      <c r="T26" s="466"/>
      <c r="U26" s="129"/>
      <c r="V26" s="466"/>
      <c r="W26" s="466"/>
      <c r="X26" s="466"/>
      <c r="Y26" s="466"/>
      <c r="Z26" s="466"/>
      <c r="AA26" s="62"/>
      <c r="AB26" s="62"/>
      <c r="AC26" s="62"/>
      <c r="AD26" s="129"/>
      <c r="AE26" s="71"/>
    </row>
    <row r="27" spans="1:31" ht="29" x14ac:dyDescent="0.35">
      <c r="A27" s="529"/>
      <c r="B27" s="250">
        <f>B22+10</f>
        <v>41</v>
      </c>
      <c r="C27" s="770"/>
      <c r="D27" s="3"/>
      <c r="E27" s="10"/>
      <c r="F27" s="3"/>
      <c r="G27" s="770"/>
      <c r="H27" s="3"/>
      <c r="I27" s="781"/>
      <c r="J27" s="3"/>
      <c r="K27" s="770"/>
      <c r="L27" s="3"/>
      <c r="M27" s="64" t="b">
        <v>0</v>
      </c>
      <c r="N27" t="s">
        <v>288</v>
      </c>
      <c r="O27" s="3"/>
      <c r="P27" s="3" t="s">
        <v>289</v>
      </c>
      <c r="Q27" s="3"/>
      <c r="R27" s="235"/>
      <c r="S27" s="3"/>
      <c r="T27" s="468"/>
      <c r="U27" s="131"/>
      <c r="V27" s="137"/>
      <c r="W27" s="138"/>
      <c r="X27" s="138"/>
      <c r="Y27" s="138"/>
      <c r="Z27" s="138"/>
      <c r="AA27" s="3"/>
      <c r="AB27" s="45" t="b">
        <v>0</v>
      </c>
      <c r="AC27" s="9" t="s">
        <v>290</v>
      </c>
      <c r="AD27" s="137" t="s">
        <v>107</v>
      </c>
      <c r="AE27" s="66"/>
    </row>
    <row r="28" spans="1:31" ht="29" x14ac:dyDescent="0.35">
      <c r="A28" s="529"/>
      <c r="B28" s="250">
        <f>B27+1</f>
        <v>42</v>
      </c>
      <c r="C28" s="538"/>
      <c r="G28" s="538"/>
      <c r="I28" s="782"/>
      <c r="K28" s="538"/>
      <c r="M28" s="284" t="b">
        <v>0</v>
      </c>
      <c r="N28" s="25" t="s">
        <v>291</v>
      </c>
      <c r="O28" s="25"/>
      <c r="P28" s="25" t="s">
        <v>292</v>
      </c>
      <c r="T28" s="468"/>
      <c r="U28" s="132"/>
      <c r="V28" s="137"/>
      <c r="W28" s="461"/>
      <c r="X28" s="138"/>
      <c r="Y28" s="461"/>
      <c r="Z28" s="138"/>
      <c r="AB28" s="45" t="b">
        <v>1</v>
      </c>
      <c r="AC28" s="9" t="s">
        <v>293</v>
      </c>
      <c r="AD28" s="138"/>
      <c r="AE28" s="105"/>
    </row>
    <row r="29" spans="1:31" ht="15" thickBot="1" x14ac:dyDescent="0.4">
      <c r="A29" s="530"/>
      <c r="B29" s="250">
        <f>B28+1</f>
        <v>43</v>
      </c>
      <c r="C29" s="783"/>
      <c r="D29" s="67"/>
      <c r="E29" s="67"/>
      <c r="F29" s="67"/>
      <c r="G29" s="783"/>
      <c r="H29" s="67"/>
      <c r="I29" s="67"/>
      <c r="J29" s="67"/>
      <c r="K29" s="783"/>
      <c r="L29" s="67"/>
      <c r="M29" s="69" t="b">
        <v>0</v>
      </c>
      <c r="N29" s="67" t="s">
        <v>294</v>
      </c>
      <c r="O29" s="67"/>
      <c r="P29" s="67" t="s">
        <v>295</v>
      </c>
      <c r="Q29" s="67"/>
      <c r="R29" s="253"/>
      <c r="S29" s="67"/>
      <c r="T29" s="469"/>
      <c r="U29" s="134"/>
      <c r="V29" s="462"/>
      <c r="W29" s="463"/>
      <c r="X29" s="464"/>
      <c r="Y29" s="463"/>
      <c r="Z29" s="464"/>
      <c r="AA29" s="67"/>
      <c r="AB29" s="67"/>
      <c r="AC29" s="67"/>
      <c r="AD29" s="134"/>
      <c r="AE29" s="70"/>
    </row>
    <row r="30" spans="1:31" ht="5.15" customHeight="1" thickBot="1" x14ac:dyDescent="0.4">
      <c r="A30" s="115"/>
      <c r="B30" s="115"/>
      <c r="C30" s="128"/>
      <c r="D30" s="115"/>
      <c r="E30" s="115"/>
      <c r="F30" s="115"/>
      <c r="G30" s="128"/>
      <c r="H30" s="115"/>
      <c r="I30" s="115"/>
      <c r="J30" s="115"/>
      <c r="K30" s="128"/>
      <c r="L30" s="115"/>
      <c r="M30" s="115"/>
      <c r="N30" s="115"/>
      <c r="O30" s="115"/>
      <c r="P30" s="115"/>
      <c r="Q30" s="115"/>
      <c r="R30" s="276"/>
      <c r="S30" s="115"/>
      <c r="T30" s="465"/>
      <c r="U30" s="128"/>
      <c r="V30" s="465"/>
      <c r="W30" s="465"/>
      <c r="X30" s="465"/>
      <c r="Y30" s="465"/>
      <c r="Z30" s="465"/>
      <c r="AA30" s="115"/>
      <c r="AB30" s="115"/>
      <c r="AC30" s="115"/>
      <c r="AD30" s="128"/>
      <c r="AE30" s="115"/>
    </row>
    <row r="31" spans="1:31" ht="3.5" customHeight="1" x14ac:dyDescent="0.35">
      <c r="A31" s="528">
        <f>A26+1</f>
        <v>5</v>
      </c>
      <c r="B31" s="249">
        <f>B26+10</f>
        <v>50</v>
      </c>
      <c r="C31" s="129"/>
      <c r="D31" s="62"/>
      <c r="E31" s="62"/>
      <c r="F31" s="62"/>
      <c r="G31" s="129"/>
      <c r="H31" s="62"/>
      <c r="I31" s="62"/>
      <c r="J31" s="62"/>
      <c r="K31" s="129"/>
      <c r="L31" s="62"/>
      <c r="M31" s="62"/>
      <c r="N31" s="62"/>
      <c r="O31" s="62"/>
      <c r="P31" s="62"/>
      <c r="Q31" s="62"/>
      <c r="R31" s="244"/>
      <c r="S31" s="62"/>
      <c r="T31" s="466"/>
      <c r="U31" s="129"/>
      <c r="V31" s="466"/>
      <c r="W31" s="466"/>
      <c r="X31" s="466"/>
      <c r="Y31" s="466"/>
      <c r="Z31" s="466"/>
      <c r="AA31" s="62"/>
      <c r="AB31" s="62"/>
      <c r="AC31" s="62"/>
      <c r="AD31" s="129"/>
      <c r="AE31" s="71"/>
    </row>
    <row r="32" spans="1:31" ht="29" x14ac:dyDescent="0.35">
      <c r="A32" s="529"/>
      <c r="B32" s="250">
        <f>B27+10</f>
        <v>51</v>
      </c>
      <c r="C32" s="770"/>
      <c r="D32" s="3"/>
      <c r="E32" s="10"/>
      <c r="F32" s="3"/>
      <c r="G32" s="770"/>
      <c r="H32" s="3"/>
      <c r="I32" s="781"/>
      <c r="J32" s="3"/>
      <c r="K32" s="770"/>
      <c r="L32" s="3"/>
      <c r="M32" s="64" t="b">
        <v>0</v>
      </c>
      <c r="N32" t="s">
        <v>288</v>
      </c>
      <c r="O32" s="3"/>
      <c r="P32" s="3" t="s">
        <v>289</v>
      </c>
      <c r="Q32" s="3"/>
      <c r="R32" s="235"/>
      <c r="S32" s="3"/>
      <c r="T32" s="468"/>
      <c r="U32" s="131"/>
      <c r="V32" s="137"/>
      <c r="W32" s="138"/>
      <c r="X32" s="138"/>
      <c r="Y32" s="138"/>
      <c r="Z32" s="138"/>
      <c r="AA32" s="3"/>
      <c r="AB32" s="45" t="b">
        <v>0</v>
      </c>
      <c r="AC32" s="9" t="s">
        <v>290</v>
      </c>
      <c r="AD32" s="137" t="s">
        <v>107</v>
      </c>
      <c r="AE32" s="66"/>
    </row>
    <row r="33" spans="1:31" ht="29" x14ac:dyDescent="0.35">
      <c r="A33" s="529"/>
      <c r="B33" s="250">
        <f>B32+1</f>
        <v>52</v>
      </c>
      <c r="C33" s="538"/>
      <c r="G33" s="538"/>
      <c r="I33" s="782"/>
      <c r="K33" s="538"/>
      <c r="M33" s="284" t="b">
        <v>0</v>
      </c>
      <c r="N33" s="25" t="s">
        <v>291</v>
      </c>
      <c r="O33" s="25"/>
      <c r="P33" s="25" t="s">
        <v>292</v>
      </c>
      <c r="T33" s="468"/>
      <c r="U33" s="132"/>
      <c r="V33" s="137"/>
      <c r="W33" s="461"/>
      <c r="X33" s="138"/>
      <c r="Y33" s="461"/>
      <c r="Z33" s="138"/>
      <c r="AB33" s="45" t="b">
        <v>0</v>
      </c>
      <c r="AC33" s="9" t="s">
        <v>293</v>
      </c>
      <c r="AD33" s="138"/>
      <c r="AE33" s="105"/>
    </row>
    <row r="34" spans="1:31" ht="15" thickBot="1" x14ac:dyDescent="0.4">
      <c r="A34" s="530"/>
      <c r="B34" s="250">
        <f>B33+1</f>
        <v>53</v>
      </c>
      <c r="C34" s="539"/>
      <c r="D34" s="67"/>
      <c r="E34" s="67"/>
      <c r="F34" s="67"/>
      <c r="G34" s="539"/>
      <c r="H34" s="67"/>
      <c r="I34" s="67"/>
      <c r="J34" s="67"/>
      <c r="K34" s="539"/>
      <c r="L34" s="67"/>
      <c r="M34" s="69" t="b">
        <v>0</v>
      </c>
      <c r="N34" s="67" t="s">
        <v>294</v>
      </c>
      <c r="O34" s="67"/>
      <c r="P34" s="67" t="s">
        <v>295</v>
      </c>
      <c r="Q34" s="67"/>
      <c r="R34" s="253"/>
      <c r="S34" s="67"/>
      <c r="T34" s="469"/>
      <c r="U34" s="134"/>
      <c r="V34" s="462"/>
      <c r="W34" s="463"/>
      <c r="X34" s="464"/>
      <c r="Y34" s="463"/>
      <c r="Z34" s="464"/>
      <c r="AA34" s="67"/>
      <c r="AB34" s="67"/>
      <c r="AC34" s="67"/>
      <c r="AD34" s="134"/>
      <c r="AE34" s="70"/>
    </row>
    <row r="35" spans="1:31" ht="5.15" customHeight="1" thickBot="1" x14ac:dyDescent="0.4">
      <c r="A35" s="115"/>
      <c r="B35" s="115"/>
      <c r="C35" s="128"/>
      <c r="D35" s="115"/>
      <c r="E35" s="115"/>
      <c r="F35" s="115"/>
      <c r="G35" s="128"/>
      <c r="H35" s="115"/>
      <c r="I35" s="115"/>
      <c r="J35" s="115"/>
      <c r="K35" s="128"/>
      <c r="L35" s="115"/>
      <c r="M35" s="115"/>
      <c r="N35" s="115"/>
      <c r="O35" s="115"/>
      <c r="P35" s="115"/>
      <c r="Q35" s="115"/>
      <c r="R35" s="276"/>
      <c r="S35" s="115"/>
      <c r="T35" s="465"/>
      <c r="U35" s="128"/>
      <c r="V35" s="465"/>
      <c r="W35" s="465"/>
      <c r="X35" s="465"/>
      <c r="Y35" s="465"/>
      <c r="Z35" s="465"/>
      <c r="AA35" s="115"/>
      <c r="AB35" s="115"/>
      <c r="AC35" s="115"/>
      <c r="AD35" s="128"/>
      <c r="AE35" s="115"/>
    </row>
    <row r="36" spans="1:31" ht="3.75" customHeight="1" x14ac:dyDescent="0.35">
      <c r="A36" s="528">
        <f>A31+1</f>
        <v>6</v>
      </c>
      <c r="B36" s="249">
        <f>B31+10</f>
        <v>60</v>
      </c>
      <c r="C36" s="129"/>
      <c r="D36" s="62"/>
      <c r="E36" s="62"/>
      <c r="F36" s="62"/>
      <c r="G36" s="129"/>
      <c r="H36" s="62"/>
      <c r="I36" s="62"/>
      <c r="J36" s="62"/>
      <c r="K36" s="129"/>
      <c r="L36" s="62"/>
      <c r="M36" s="62"/>
      <c r="N36" s="62"/>
      <c r="O36" s="62"/>
      <c r="P36" s="62"/>
      <c r="Q36" s="62"/>
      <c r="R36" s="244"/>
      <c r="S36" s="62"/>
      <c r="T36" s="466"/>
      <c r="U36" s="129"/>
      <c r="V36" s="466"/>
      <c r="W36" s="466"/>
      <c r="X36" s="466"/>
      <c r="Y36" s="466"/>
      <c r="Z36" s="466"/>
      <c r="AA36" s="62"/>
      <c r="AB36" s="62"/>
      <c r="AC36" s="62"/>
      <c r="AD36" s="129"/>
      <c r="AE36" s="71"/>
    </row>
    <row r="37" spans="1:31" ht="29" x14ac:dyDescent="0.35">
      <c r="A37" s="529"/>
      <c r="B37" s="250">
        <f>B32+10</f>
        <v>61</v>
      </c>
      <c r="C37" s="770"/>
      <c r="D37" s="3"/>
      <c r="E37" s="10"/>
      <c r="F37" s="3"/>
      <c r="G37" s="770"/>
      <c r="H37" s="3"/>
      <c r="I37" s="781"/>
      <c r="J37" s="3"/>
      <c r="K37" s="770"/>
      <c r="L37" s="3"/>
      <c r="M37" s="64" t="b">
        <v>0</v>
      </c>
      <c r="N37" t="s">
        <v>288</v>
      </c>
      <c r="O37" s="3"/>
      <c r="P37" s="3" t="s">
        <v>289</v>
      </c>
      <c r="Q37" s="3"/>
      <c r="R37" s="235"/>
      <c r="S37" s="3"/>
      <c r="T37" s="468"/>
      <c r="U37" s="131"/>
      <c r="V37" s="137"/>
      <c r="W37" s="138"/>
      <c r="X37" s="138"/>
      <c r="Y37" s="138"/>
      <c r="Z37" s="138"/>
      <c r="AA37" s="3"/>
      <c r="AB37" s="45" t="b">
        <v>0</v>
      </c>
      <c r="AC37" s="9" t="s">
        <v>290</v>
      </c>
      <c r="AD37" s="137" t="s">
        <v>107</v>
      </c>
      <c r="AE37" s="66"/>
    </row>
    <row r="38" spans="1:31" ht="29" x14ac:dyDescent="0.35">
      <c r="A38" s="529"/>
      <c r="B38" s="250">
        <f>B37+1</f>
        <v>62</v>
      </c>
      <c r="C38" s="538"/>
      <c r="G38" s="538"/>
      <c r="I38" s="782"/>
      <c r="K38" s="538"/>
      <c r="M38" s="284" t="b">
        <v>0</v>
      </c>
      <c r="N38" s="25" t="s">
        <v>291</v>
      </c>
      <c r="O38" s="25"/>
      <c r="P38" s="25" t="s">
        <v>292</v>
      </c>
      <c r="T38" s="468"/>
      <c r="U38" s="132"/>
      <c r="V38" s="137"/>
      <c r="W38" s="461"/>
      <c r="X38" s="138"/>
      <c r="Y38" s="461"/>
      <c r="Z38" s="138"/>
      <c r="AB38" s="45" t="b">
        <v>1</v>
      </c>
      <c r="AC38" s="9" t="s">
        <v>293</v>
      </c>
      <c r="AD38" s="138"/>
      <c r="AE38" s="105"/>
    </row>
    <row r="39" spans="1:31" ht="15" thickBot="1" x14ac:dyDescent="0.4">
      <c r="A39" s="530"/>
      <c r="B39" s="250">
        <f>B38+1</f>
        <v>63</v>
      </c>
      <c r="C39" s="539"/>
      <c r="D39" s="67"/>
      <c r="E39" s="67"/>
      <c r="F39" s="67"/>
      <c r="G39" s="539"/>
      <c r="H39" s="67"/>
      <c r="I39" s="67"/>
      <c r="J39" s="67"/>
      <c r="K39" s="539"/>
      <c r="L39" s="67"/>
      <c r="M39" s="69" t="b">
        <v>0</v>
      </c>
      <c r="N39" s="67" t="s">
        <v>294</v>
      </c>
      <c r="O39" s="67"/>
      <c r="P39" s="67" t="s">
        <v>295</v>
      </c>
      <c r="Q39" s="67"/>
      <c r="R39" s="253"/>
      <c r="S39" s="67"/>
      <c r="T39" s="469"/>
      <c r="U39" s="134"/>
      <c r="V39" s="462"/>
      <c r="W39" s="463"/>
      <c r="X39" s="464"/>
      <c r="Y39" s="463"/>
      <c r="Z39" s="464"/>
      <c r="AA39" s="67"/>
      <c r="AB39" s="67"/>
      <c r="AC39" s="67"/>
      <c r="AD39" s="134"/>
      <c r="AE39" s="70"/>
    </row>
    <row r="40" spans="1:31" ht="5.15" customHeight="1" thickBot="1" x14ac:dyDescent="0.4">
      <c r="A40" s="115"/>
      <c r="B40" s="115"/>
      <c r="C40" s="128"/>
      <c r="D40" s="115"/>
      <c r="E40" s="115"/>
      <c r="F40" s="115"/>
      <c r="G40" s="128"/>
      <c r="H40" s="115"/>
      <c r="I40" s="115"/>
      <c r="J40" s="115"/>
      <c r="K40" s="128"/>
      <c r="L40" s="115"/>
      <c r="M40" s="115"/>
      <c r="N40" s="115"/>
      <c r="O40" s="115"/>
      <c r="P40" s="115"/>
      <c r="Q40" s="115"/>
      <c r="R40" s="276"/>
      <c r="S40" s="115"/>
      <c r="T40" s="465"/>
      <c r="U40" s="128"/>
      <c r="V40" s="465"/>
      <c r="W40" s="465"/>
      <c r="X40" s="465"/>
      <c r="Y40" s="465"/>
      <c r="Z40" s="465"/>
      <c r="AA40" s="115"/>
      <c r="AB40" s="115"/>
      <c r="AC40" s="115"/>
      <c r="AD40" s="128"/>
      <c r="AE40" s="115"/>
    </row>
    <row r="41" spans="1:31" ht="4.5" customHeight="1" x14ac:dyDescent="0.35">
      <c r="A41" s="528">
        <f>A36+1</f>
        <v>7</v>
      </c>
      <c r="B41" s="249">
        <f>B36+10</f>
        <v>70</v>
      </c>
      <c r="C41" s="129"/>
      <c r="D41" s="62"/>
      <c r="E41" s="62"/>
      <c r="F41" s="62"/>
      <c r="G41" s="129"/>
      <c r="H41" s="62"/>
      <c r="I41" s="62"/>
      <c r="J41" s="62"/>
      <c r="K41" s="129"/>
      <c r="L41" s="62"/>
      <c r="M41" s="62"/>
      <c r="N41" s="62"/>
      <c r="O41" s="62"/>
      <c r="P41" s="62"/>
      <c r="Q41" s="62"/>
      <c r="R41" s="244"/>
      <c r="S41" s="62"/>
      <c r="T41" s="466"/>
      <c r="U41" s="129"/>
      <c r="V41" s="466"/>
      <c r="W41" s="466"/>
      <c r="X41" s="466"/>
      <c r="Y41" s="466"/>
      <c r="Z41" s="466"/>
      <c r="AA41" s="62"/>
      <c r="AB41" s="62"/>
      <c r="AC41" s="62"/>
      <c r="AD41" s="129"/>
      <c r="AE41" s="71"/>
    </row>
    <row r="42" spans="1:31" ht="29" x14ac:dyDescent="0.35">
      <c r="A42" s="529"/>
      <c r="B42" s="250">
        <f>B37+10</f>
        <v>71</v>
      </c>
      <c r="C42" s="770"/>
      <c r="D42" s="3"/>
      <c r="E42" s="10"/>
      <c r="F42" s="3"/>
      <c r="G42" s="770"/>
      <c r="H42" s="3"/>
      <c r="I42" s="781"/>
      <c r="J42" s="3"/>
      <c r="K42" s="770"/>
      <c r="L42" s="3"/>
      <c r="M42" s="64" t="b">
        <v>0</v>
      </c>
      <c r="N42" t="s">
        <v>288</v>
      </c>
      <c r="O42" s="3"/>
      <c r="P42" s="3" t="s">
        <v>289</v>
      </c>
      <c r="Q42" s="3"/>
      <c r="R42" s="235"/>
      <c r="S42" s="3"/>
      <c r="T42" s="468"/>
      <c r="U42" s="131"/>
      <c r="V42" s="137"/>
      <c r="W42" s="138"/>
      <c r="X42" s="138"/>
      <c r="Y42" s="138"/>
      <c r="Z42" s="138"/>
      <c r="AA42" s="3"/>
      <c r="AB42" s="45" t="b">
        <v>0</v>
      </c>
      <c r="AC42" s="9" t="s">
        <v>290</v>
      </c>
      <c r="AD42" s="137" t="s">
        <v>107</v>
      </c>
      <c r="AE42" s="66"/>
    </row>
    <row r="43" spans="1:31" ht="29" x14ac:dyDescent="0.35">
      <c r="A43" s="529"/>
      <c r="B43" s="250">
        <f>B42+1</f>
        <v>72</v>
      </c>
      <c r="C43" s="538"/>
      <c r="G43" s="538"/>
      <c r="I43" s="782"/>
      <c r="K43" s="538"/>
      <c r="M43" s="284" t="b">
        <v>0</v>
      </c>
      <c r="N43" s="25" t="s">
        <v>291</v>
      </c>
      <c r="O43" s="25"/>
      <c r="P43" s="25" t="s">
        <v>292</v>
      </c>
      <c r="T43" s="468"/>
      <c r="U43" s="132"/>
      <c r="V43" s="137"/>
      <c r="W43" s="461"/>
      <c r="X43" s="138"/>
      <c r="Y43" s="461"/>
      <c r="Z43" s="138"/>
      <c r="AB43" s="45" t="b">
        <v>0</v>
      </c>
      <c r="AC43" s="9" t="s">
        <v>293</v>
      </c>
      <c r="AD43" s="138"/>
      <c r="AE43" s="105"/>
    </row>
    <row r="44" spans="1:31" ht="15" thickBot="1" x14ac:dyDescent="0.4">
      <c r="A44" s="529"/>
      <c r="B44" s="250">
        <f>B43+1</f>
        <v>73</v>
      </c>
      <c r="C44" s="539"/>
      <c r="G44" s="538"/>
      <c r="K44" s="538"/>
      <c r="M44" s="64" t="b">
        <v>0</v>
      </c>
      <c r="N44" t="s">
        <v>294</v>
      </c>
      <c r="P44" t="s">
        <v>295</v>
      </c>
      <c r="T44" s="468"/>
      <c r="U44" s="132"/>
      <c r="V44" s="137"/>
      <c r="W44" s="461"/>
      <c r="X44" s="138"/>
      <c r="Y44" s="461"/>
      <c r="Z44" s="138"/>
      <c r="AD44" s="134"/>
      <c r="AE44" s="66"/>
    </row>
    <row r="45" spans="1:31" ht="5.15" customHeight="1" thickBot="1" x14ac:dyDescent="0.4">
      <c r="A45" s="117"/>
      <c r="B45" s="118"/>
      <c r="C45" s="130"/>
      <c r="D45" s="118"/>
      <c r="E45" s="118"/>
      <c r="F45" s="118"/>
      <c r="G45" s="130"/>
      <c r="H45" s="118"/>
      <c r="I45" s="118"/>
      <c r="J45" s="118"/>
      <c r="K45" s="130"/>
      <c r="L45" s="118"/>
      <c r="M45" s="118"/>
      <c r="N45" s="118"/>
      <c r="O45" s="118"/>
      <c r="P45" s="118"/>
      <c r="Q45" s="118"/>
      <c r="R45" s="277"/>
      <c r="S45" s="118"/>
      <c r="T45" s="467"/>
      <c r="U45" s="130"/>
      <c r="V45" s="467"/>
      <c r="W45" s="467"/>
      <c r="X45" s="467"/>
      <c r="Y45" s="467"/>
      <c r="Z45" s="467"/>
      <c r="AA45" s="118"/>
      <c r="AB45" s="118"/>
      <c r="AC45" s="118"/>
      <c r="AD45" s="130"/>
      <c r="AE45" s="119"/>
    </row>
    <row r="46" spans="1:31" ht="3.75" customHeight="1" x14ac:dyDescent="0.35">
      <c r="A46" s="528">
        <f>A41+1</f>
        <v>8</v>
      </c>
      <c r="B46" s="249">
        <f>B41+10</f>
        <v>80</v>
      </c>
      <c r="C46" s="129"/>
      <c r="D46" s="62"/>
      <c r="E46" s="62"/>
      <c r="F46" s="62"/>
      <c r="G46" s="129"/>
      <c r="H46" s="62"/>
      <c r="I46" s="62"/>
      <c r="J46" s="62"/>
      <c r="K46" s="129"/>
      <c r="L46" s="62"/>
      <c r="M46" s="62"/>
      <c r="N46" s="62"/>
      <c r="O46" s="62"/>
      <c r="P46" s="62"/>
      <c r="Q46" s="62"/>
      <c r="R46" s="244"/>
      <c r="S46" s="62"/>
      <c r="T46" s="466"/>
      <c r="U46" s="129"/>
      <c r="V46" s="466"/>
      <c r="W46" s="466"/>
      <c r="X46" s="466"/>
      <c r="Y46" s="466"/>
      <c r="Z46" s="466"/>
      <c r="AA46" s="62"/>
      <c r="AB46" s="62"/>
      <c r="AC46" s="62"/>
      <c r="AD46" s="129"/>
      <c r="AE46" s="71"/>
    </row>
    <row r="47" spans="1:31" ht="29" x14ac:dyDescent="0.35">
      <c r="A47" s="529"/>
      <c r="B47" s="250">
        <f>B42+10</f>
        <v>81</v>
      </c>
      <c r="C47" s="770"/>
      <c r="D47" s="3"/>
      <c r="E47" s="10"/>
      <c r="F47" s="3"/>
      <c r="G47" s="770"/>
      <c r="H47" s="3"/>
      <c r="I47" s="781"/>
      <c r="J47" s="3"/>
      <c r="K47" s="770"/>
      <c r="L47" s="3"/>
      <c r="M47" s="64" t="b">
        <v>0</v>
      </c>
      <c r="N47" t="s">
        <v>288</v>
      </c>
      <c r="O47" s="3"/>
      <c r="P47" s="3" t="s">
        <v>289</v>
      </c>
      <c r="Q47" s="3"/>
      <c r="R47" s="235"/>
      <c r="S47" s="3"/>
      <c r="T47" s="468"/>
      <c r="U47" s="131"/>
      <c r="V47" s="137"/>
      <c r="W47" s="138"/>
      <c r="X47" s="138"/>
      <c r="Y47" s="138"/>
      <c r="Z47" s="138"/>
      <c r="AA47" s="3"/>
      <c r="AB47" s="45" t="b">
        <v>0</v>
      </c>
      <c r="AC47" s="9" t="s">
        <v>290</v>
      </c>
      <c r="AD47" s="137" t="s">
        <v>107</v>
      </c>
      <c r="AE47" s="66"/>
    </row>
    <row r="48" spans="1:31" ht="29" x14ac:dyDescent="0.35">
      <c r="A48" s="529"/>
      <c r="B48" s="250">
        <f>B47+1</f>
        <v>82</v>
      </c>
      <c r="C48" s="538"/>
      <c r="G48" s="538"/>
      <c r="I48" s="782"/>
      <c r="K48" s="538"/>
      <c r="M48" s="284" t="b">
        <v>0</v>
      </c>
      <c r="N48" s="25" t="s">
        <v>291</v>
      </c>
      <c r="O48" s="25"/>
      <c r="P48" s="25" t="s">
        <v>292</v>
      </c>
      <c r="T48" s="468"/>
      <c r="U48" s="132"/>
      <c r="V48" s="137"/>
      <c r="W48" s="461"/>
      <c r="X48" s="138"/>
      <c r="Y48" s="461"/>
      <c r="Z48" s="138"/>
      <c r="AB48" s="45" t="b">
        <v>0</v>
      </c>
      <c r="AC48" s="9" t="s">
        <v>293</v>
      </c>
      <c r="AD48" s="138"/>
      <c r="AE48" s="105"/>
    </row>
    <row r="49" spans="1:31" ht="15" thickBot="1" x14ac:dyDescent="0.4">
      <c r="A49" s="529"/>
      <c r="B49" s="250">
        <f>B48+1</f>
        <v>83</v>
      </c>
      <c r="C49" s="539"/>
      <c r="G49" s="538"/>
      <c r="K49" s="538"/>
      <c r="M49" s="64" t="b">
        <v>0</v>
      </c>
      <c r="N49" t="s">
        <v>294</v>
      </c>
      <c r="P49" t="s">
        <v>295</v>
      </c>
      <c r="T49" s="468"/>
      <c r="U49" s="132"/>
      <c r="V49" s="137"/>
      <c r="W49" s="461"/>
      <c r="X49" s="138"/>
      <c r="Y49" s="461"/>
      <c r="Z49" s="138"/>
      <c r="AD49" s="134"/>
      <c r="AE49" s="66"/>
    </row>
    <row r="50" spans="1:31" ht="5.15" customHeight="1" thickBot="1" x14ac:dyDescent="0.4">
      <c r="A50" s="117"/>
      <c r="B50" s="118"/>
      <c r="C50" s="130"/>
      <c r="D50" s="118"/>
      <c r="E50" s="118"/>
      <c r="F50" s="118"/>
      <c r="G50" s="130"/>
      <c r="H50" s="118"/>
      <c r="I50" s="118"/>
      <c r="J50" s="118"/>
      <c r="K50" s="130"/>
      <c r="L50" s="118"/>
      <c r="M50" s="118"/>
      <c r="N50" s="118"/>
      <c r="O50" s="118"/>
      <c r="P50" s="118"/>
      <c r="Q50" s="118"/>
      <c r="R50" s="277"/>
      <c r="S50" s="118"/>
      <c r="T50" s="467"/>
      <c r="U50" s="130"/>
      <c r="V50" s="467"/>
      <c r="W50" s="467"/>
      <c r="X50" s="467"/>
      <c r="Y50" s="467"/>
      <c r="Z50" s="467"/>
      <c r="AA50" s="118"/>
      <c r="AB50" s="118"/>
      <c r="AC50" s="118"/>
      <c r="AD50" s="130"/>
      <c r="AE50" s="119"/>
    </row>
    <row r="51" spans="1:31" ht="4.5" customHeight="1" x14ac:dyDescent="0.35">
      <c r="A51" s="528">
        <f>A46+1</f>
        <v>9</v>
      </c>
      <c r="B51" s="249">
        <f>B46+10</f>
        <v>90</v>
      </c>
      <c r="C51" s="129"/>
      <c r="D51" s="62"/>
      <c r="E51" s="62"/>
      <c r="F51" s="62"/>
      <c r="G51" s="129"/>
      <c r="H51" s="62"/>
      <c r="I51" s="62"/>
      <c r="J51" s="62"/>
      <c r="K51" s="129"/>
      <c r="L51" s="62"/>
      <c r="M51" s="62"/>
      <c r="N51" s="62"/>
      <c r="O51" s="62"/>
      <c r="P51" s="62"/>
      <c r="Q51" s="62"/>
      <c r="R51" s="244"/>
      <c r="S51" s="62"/>
      <c r="T51" s="466"/>
      <c r="U51" s="129"/>
      <c r="V51" s="466"/>
      <c r="W51" s="466"/>
      <c r="X51" s="466"/>
      <c r="Y51" s="466"/>
      <c r="Z51" s="466"/>
      <c r="AA51" s="62"/>
      <c r="AB51" s="62"/>
      <c r="AC51" s="62"/>
      <c r="AD51" s="129"/>
      <c r="AE51" s="71"/>
    </row>
    <row r="52" spans="1:31" ht="29" x14ac:dyDescent="0.35">
      <c r="A52" s="529"/>
      <c r="B52" s="250">
        <f>B47+10</f>
        <v>91</v>
      </c>
      <c r="C52" s="770"/>
      <c r="D52" s="3"/>
      <c r="E52" s="10"/>
      <c r="F52" s="3"/>
      <c r="G52" s="770"/>
      <c r="H52" s="3"/>
      <c r="I52" s="781"/>
      <c r="J52" s="3"/>
      <c r="K52" s="770"/>
      <c r="L52" s="3"/>
      <c r="M52" s="64" t="b">
        <v>0</v>
      </c>
      <c r="N52" t="s">
        <v>288</v>
      </c>
      <c r="O52" s="3"/>
      <c r="P52" s="3" t="s">
        <v>289</v>
      </c>
      <c r="Q52" s="3"/>
      <c r="R52" s="235"/>
      <c r="S52" s="3"/>
      <c r="T52" s="468"/>
      <c r="U52" s="131"/>
      <c r="V52" s="137"/>
      <c r="W52" s="138"/>
      <c r="X52" s="138"/>
      <c r="Y52" s="138"/>
      <c r="Z52" s="138"/>
      <c r="AA52" s="3"/>
      <c r="AB52" s="45" t="b">
        <v>0</v>
      </c>
      <c r="AC52" s="9" t="s">
        <v>290</v>
      </c>
      <c r="AD52" s="137" t="s">
        <v>107</v>
      </c>
      <c r="AE52" s="66"/>
    </row>
    <row r="53" spans="1:31" ht="29" x14ac:dyDescent="0.35">
      <c r="A53" s="529"/>
      <c r="B53" s="250">
        <f>B52+1</f>
        <v>92</v>
      </c>
      <c r="C53" s="538"/>
      <c r="G53" s="538"/>
      <c r="I53" s="782"/>
      <c r="K53" s="538"/>
      <c r="M53" s="284" t="b">
        <v>0</v>
      </c>
      <c r="N53" s="25" t="s">
        <v>291</v>
      </c>
      <c r="O53" s="25"/>
      <c r="P53" s="25" t="s">
        <v>292</v>
      </c>
      <c r="T53" s="468"/>
      <c r="U53" s="132"/>
      <c r="V53" s="137"/>
      <c r="W53" s="461"/>
      <c r="X53" s="138"/>
      <c r="Y53" s="461"/>
      <c r="Z53" s="138"/>
      <c r="AB53" s="45" t="b">
        <v>0</v>
      </c>
      <c r="AC53" s="9" t="s">
        <v>293</v>
      </c>
      <c r="AD53" s="138"/>
      <c r="AE53" s="105"/>
    </row>
    <row r="54" spans="1:31" ht="15" thickBot="1" x14ac:dyDescent="0.4">
      <c r="A54" s="529"/>
      <c r="B54" s="250">
        <f>B53+1</f>
        <v>93</v>
      </c>
      <c r="C54" s="539"/>
      <c r="G54" s="538"/>
      <c r="K54" s="538"/>
      <c r="M54" s="64" t="b">
        <v>0</v>
      </c>
      <c r="N54" t="s">
        <v>294</v>
      </c>
      <c r="P54" t="s">
        <v>295</v>
      </c>
      <c r="T54" s="468"/>
      <c r="U54" s="132"/>
      <c r="V54" s="137"/>
      <c r="W54" s="461"/>
      <c r="X54" s="138"/>
      <c r="Y54" s="461"/>
      <c r="Z54" s="138"/>
      <c r="AD54" s="134"/>
      <c r="AE54" s="66"/>
    </row>
    <row r="55" spans="1:31" ht="5.15" customHeight="1" thickBot="1" x14ac:dyDescent="0.4">
      <c r="A55" s="117"/>
      <c r="B55" s="118"/>
      <c r="C55" s="130"/>
      <c r="D55" s="118"/>
      <c r="E55" s="118"/>
      <c r="F55" s="118"/>
      <c r="G55" s="130"/>
      <c r="H55" s="118"/>
      <c r="I55" s="118"/>
      <c r="J55" s="118"/>
      <c r="K55" s="130"/>
      <c r="L55" s="118"/>
      <c r="M55" s="118"/>
      <c r="N55" s="118"/>
      <c r="O55" s="118"/>
      <c r="P55" s="118"/>
      <c r="Q55" s="118"/>
      <c r="R55" s="277"/>
      <c r="S55" s="118"/>
      <c r="T55" s="467"/>
      <c r="U55" s="130"/>
      <c r="V55" s="467"/>
      <c r="W55" s="467"/>
      <c r="X55" s="467"/>
      <c r="Y55" s="467"/>
      <c r="Z55" s="467"/>
      <c r="AA55" s="118"/>
      <c r="AB55" s="118"/>
      <c r="AC55" s="118"/>
      <c r="AD55" s="130"/>
      <c r="AE55" s="119"/>
    </row>
    <row r="56" spans="1:31" ht="3.75" customHeight="1" x14ac:dyDescent="0.35">
      <c r="A56" s="528">
        <f>A51+1</f>
        <v>10</v>
      </c>
      <c r="B56" s="249">
        <f>B51+10</f>
        <v>100</v>
      </c>
      <c r="C56" s="129"/>
      <c r="D56" s="62"/>
      <c r="E56" s="62"/>
      <c r="F56" s="62"/>
      <c r="G56" s="129"/>
      <c r="H56" s="62"/>
      <c r="I56" s="62"/>
      <c r="J56" s="62"/>
      <c r="K56" s="129"/>
      <c r="L56" s="62"/>
      <c r="M56" s="62"/>
      <c r="N56" s="62"/>
      <c r="O56" s="62"/>
      <c r="P56" s="62"/>
      <c r="Q56" s="62"/>
      <c r="R56" s="244"/>
      <c r="S56" s="62"/>
      <c r="T56" s="466"/>
      <c r="U56" s="129"/>
      <c r="V56" s="466"/>
      <c r="W56" s="466"/>
      <c r="X56" s="466"/>
      <c r="Y56" s="466"/>
      <c r="Z56" s="466"/>
      <c r="AA56" s="62"/>
      <c r="AB56" s="62"/>
      <c r="AC56" s="62"/>
      <c r="AD56" s="129"/>
      <c r="AE56" s="71"/>
    </row>
    <row r="57" spans="1:31" ht="29" x14ac:dyDescent="0.35">
      <c r="A57" s="529"/>
      <c r="B57" s="250">
        <f>B52+10</f>
        <v>101</v>
      </c>
      <c r="C57" s="770"/>
      <c r="D57" s="3"/>
      <c r="E57" s="10"/>
      <c r="F57" s="3"/>
      <c r="G57" s="770"/>
      <c r="H57" s="3"/>
      <c r="I57" s="781"/>
      <c r="J57" s="3"/>
      <c r="K57" s="770"/>
      <c r="L57" s="3"/>
      <c r="M57" s="64" t="b">
        <v>0</v>
      </c>
      <c r="N57" t="s">
        <v>288</v>
      </c>
      <c r="O57" s="3"/>
      <c r="P57" s="3" t="s">
        <v>289</v>
      </c>
      <c r="Q57" s="3"/>
      <c r="R57" s="235"/>
      <c r="S57" s="3"/>
      <c r="T57" s="468"/>
      <c r="U57" s="131"/>
      <c r="V57" s="137"/>
      <c r="W57" s="138"/>
      <c r="X57" s="138"/>
      <c r="Y57" s="138"/>
      <c r="Z57" s="138"/>
      <c r="AA57" s="3"/>
      <c r="AB57" s="45" t="b">
        <v>0</v>
      </c>
      <c r="AC57" s="9" t="s">
        <v>290</v>
      </c>
      <c r="AD57" s="137" t="s">
        <v>107</v>
      </c>
      <c r="AE57" s="66"/>
    </row>
    <row r="58" spans="1:31" ht="29" x14ac:dyDescent="0.35">
      <c r="A58" s="529"/>
      <c r="B58" s="250">
        <f>B57+1</f>
        <v>102</v>
      </c>
      <c r="C58" s="538"/>
      <c r="G58" s="538"/>
      <c r="I58" s="782"/>
      <c r="K58" s="538"/>
      <c r="M58" s="284" t="b">
        <v>0</v>
      </c>
      <c r="N58" s="25" t="s">
        <v>291</v>
      </c>
      <c r="O58" s="25"/>
      <c r="P58" s="25" t="s">
        <v>292</v>
      </c>
      <c r="T58" s="468"/>
      <c r="U58" s="132"/>
      <c r="V58" s="137"/>
      <c r="W58" s="461"/>
      <c r="X58" s="138"/>
      <c r="Y58" s="461"/>
      <c r="Z58" s="138"/>
      <c r="AB58" s="45" t="b">
        <v>0</v>
      </c>
      <c r="AC58" s="9" t="s">
        <v>293</v>
      </c>
      <c r="AD58" s="138"/>
      <c r="AE58" s="105"/>
    </row>
    <row r="59" spans="1:31" ht="15" thickBot="1" x14ac:dyDescent="0.4">
      <c r="A59" s="529"/>
      <c r="B59" s="250">
        <f>B58+1</f>
        <v>103</v>
      </c>
      <c r="C59" s="539"/>
      <c r="G59" s="538"/>
      <c r="K59" s="538"/>
      <c r="M59" s="64" t="b">
        <v>0</v>
      </c>
      <c r="N59" t="s">
        <v>294</v>
      </c>
      <c r="P59" t="s">
        <v>295</v>
      </c>
      <c r="T59" s="468"/>
      <c r="U59" s="132"/>
      <c r="V59" s="137"/>
      <c r="W59" s="461"/>
      <c r="X59" s="138"/>
      <c r="Y59" s="461"/>
      <c r="Z59" s="138"/>
      <c r="AD59" s="134"/>
      <c r="AE59" s="66"/>
    </row>
    <row r="60" spans="1:31" ht="5.15" customHeight="1" thickBot="1" x14ac:dyDescent="0.4">
      <c r="A60" s="117"/>
      <c r="B60" s="118"/>
      <c r="C60" s="130"/>
      <c r="D60" s="118"/>
      <c r="E60" s="118"/>
      <c r="F60" s="118"/>
      <c r="G60" s="130"/>
      <c r="H60" s="118"/>
      <c r="I60" s="118"/>
      <c r="J60" s="118"/>
      <c r="K60" s="130"/>
      <c r="L60" s="118"/>
      <c r="M60" s="118"/>
      <c r="N60" s="118"/>
      <c r="O60" s="118"/>
      <c r="P60" s="118"/>
      <c r="Q60" s="118"/>
      <c r="R60" s="277"/>
      <c r="S60" s="118"/>
      <c r="T60" s="467"/>
      <c r="U60" s="130"/>
      <c r="V60" s="467"/>
      <c r="W60" s="467"/>
      <c r="X60" s="467"/>
      <c r="Y60" s="467"/>
      <c r="Z60" s="467"/>
      <c r="AA60" s="118"/>
      <c r="AB60" s="118"/>
      <c r="AC60" s="118"/>
      <c r="AD60" s="130"/>
      <c r="AE60" s="119"/>
    </row>
    <row r="61" spans="1:31" ht="3.75" customHeight="1" x14ac:dyDescent="0.35">
      <c r="A61" s="528">
        <f>A56+1</f>
        <v>11</v>
      </c>
      <c r="B61" s="249">
        <f>B56+10</f>
        <v>110</v>
      </c>
      <c r="C61" s="129"/>
      <c r="D61" s="62"/>
      <c r="E61" s="62"/>
      <c r="F61" s="62"/>
      <c r="G61" s="129"/>
      <c r="H61" s="62"/>
      <c r="I61" s="62"/>
      <c r="J61" s="62"/>
      <c r="K61" s="129"/>
      <c r="L61" s="62"/>
      <c r="M61" s="62"/>
      <c r="N61" s="62"/>
      <c r="O61" s="62"/>
      <c r="P61" s="62"/>
      <c r="Q61" s="62"/>
      <c r="R61" s="244"/>
      <c r="S61" s="62"/>
      <c r="T61" s="466"/>
      <c r="U61" s="129"/>
      <c r="V61" s="466"/>
      <c r="W61" s="466"/>
      <c r="X61" s="466"/>
      <c r="Y61" s="466"/>
      <c r="Z61" s="466"/>
      <c r="AA61" s="62"/>
      <c r="AB61" s="62"/>
      <c r="AC61" s="62"/>
      <c r="AD61" s="129"/>
      <c r="AE61" s="71"/>
    </row>
    <row r="62" spans="1:31" ht="29" x14ac:dyDescent="0.35">
      <c r="A62" s="529"/>
      <c r="B62" s="250">
        <f>B57+10</f>
        <v>111</v>
      </c>
      <c r="C62" s="770"/>
      <c r="D62" s="3"/>
      <c r="E62" s="10"/>
      <c r="F62" s="3"/>
      <c r="G62" s="770"/>
      <c r="H62" s="3"/>
      <c r="I62" s="781"/>
      <c r="J62" s="3"/>
      <c r="K62" s="770"/>
      <c r="L62" s="3"/>
      <c r="M62" s="64" t="b">
        <v>0</v>
      </c>
      <c r="N62" t="s">
        <v>288</v>
      </c>
      <c r="O62" s="3"/>
      <c r="P62" s="3" t="s">
        <v>289</v>
      </c>
      <c r="Q62" s="3"/>
      <c r="R62" s="235"/>
      <c r="S62" s="3"/>
      <c r="T62" s="468"/>
      <c r="U62" s="131"/>
      <c r="V62" s="137"/>
      <c r="W62" s="138"/>
      <c r="X62" s="138"/>
      <c r="Y62" s="138"/>
      <c r="Z62" s="138"/>
      <c r="AA62" s="3"/>
      <c r="AB62" s="45" t="b">
        <v>0</v>
      </c>
      <c r="AC62" s="9" t="s">
        <v>290</v>
      </c>
      <c r="AD62" s="137" t="s">
        <v>107</v>
      </c>
      <c r="AE62" s="66"/>
    </row>
    <row r="63" spans="1:31" ht="29" x14ac:dyDescent="0.35">
      <c r="A63" s="529"/>
      <c r="B63" s="250">
        <f>B62+1</f>
        <v>112</v>
      </c>
      <c r="C63" s="538"/>
      <c r="G63" s="538"/>
      <c r="I63" s="782"/>
      <c r="K63" s="538"/>
      <c r="M63" s="284" t="b">
        <v>0</v>
      </c>
      <c r="N63" s="25" t="s">
        <v>291</v>
      </c>
      <c r="O63" s="25"/>
      <c r="P63" s="25" t="s">
        <v>292</v>
      </c>
      <c r="T63" s="468"/>
      <c r="U63" s="132"/>
      <c r="V63" s="137"/>
      <c r="W63" s="461"/>
      <c r="X63" s="138"/>
      <c r="Y63" s="461"/>
      <c r="Z63" s="138"/>
      <c r="AB63" s="45" t="b">
        <v>0</v>
      </c>
      <c r="AC63" s="9" t="s">
        <v>293</v>
      </c>
      <c r="AD63" s="138"/>
      <c r="AE63" s="105"/>
    </row>
    <row r="64" spans="1:31" ht="15" thickBot="1" x14ac:dyDescent="0.4">
      <c r="A64" s="529"/>
      <c r="B64" s="250">
        <f>B63+1</f>
        <v>113</v>
      </c>
      <c r="C64" s="539"/>
      <c r="G64" s="538"/>
      <c r="K64" s="538"/>
      <c r="M64" s="64" t="b">
        <v>0</v>
      </c>
      <c r="N64" t="s">
        <v>294</v>
      </c>
      <c r="P64" t="s">
        <v>295</v>
      </c>
      <c r="T64" s="468"/>
      <c r="U64" s="132"/>
      <c r="V64" s="137"/>
      <c r="W64" s="461"/>
      <c r="X64" s="138"/>
      <c r="Y64" s="461"/>
      <c r="Z64" s="138"/>
      <c r="AD64" s="134"/>
      <c r="AE64" s="66"/>
    </row>
    <row r="65" spans="1:31" ht="5.15" customHeight="1" thickBot="1" x14ac:dyDescent="0.4">
      <c r="A65" s="117"/>
      <c r="B65" s="118"/>
      <c r="C65" s="130"/>
      <c r="D65" s="118"/>
      <c r="E65" s="118"/>
      <c r="F65" s="118"/>
      <c r="G65" s="130"/>
      <c r="H65" s="118"/>
      <c r="I65" s="118"/>
      <c r="J65" s="118"/>
      <c r="K65" s="130"/>
      <c r="L65" s="118"/>
      <c r="M65" s="118"/>
      <c r="N65" s="118"/>
      <c r="O65" s="118"/>
      <c r="P65" s="118"/>
      <c r="Q65" s="118"/>
      <c r="R65" s="277"/>
      <c r="S65" s="118"/>
      <c r="T65" s="467"/>
      <c r="U65" s="130"/>
      <c r="V65" s="467"/>
      <c r="W65" s="467"/>
      <c r="X65" s="467"/>
      <c r="Y65" s="467"/>
      <c r="Z65" s="467"/>
      <c r="AA65" s="118"/>
      <c r="AB65" s="118"/>
      <c r="AC65" s="118"/>
      <c r="AD65" s="130"/>
      <c r="AE65" s="119"/>
    </row>
    <row r="66" spans="1:31" ht="3.75" customHeight="1" x14ac:dyDescent="0.35">
      <c r="A66" s="528">
        <f>A61+1</f>
        <v>12</v>
      </c>
      <c r="B66" s="249">
        <f>B61+10</f>
        <v>120</v>
      </c>
      <c r="C66" s="129"/>
      <c r="D66" s="62"/>
      <c r="E66" s="62"/>
      <c r="F66" s="62"/>
      <c r="G66" s="129"/>
      <c r="H66" s="62"/>
      <c r="I66" s="62"/>
      <c r="J66" s="62"/>
      <c r="K66" s="129"/>
      <c r="L66" s="62"/>
      <c r="M66" s="62"/>
      <c r="N66" s="62"/>
      <c r="O66" s="62"/>
      <c r="P66" s="62"/>
      <c r="Q66" s="62"/>
      <c r="R66" s="244"/>
      <c r="S66" s="62"/>
      <c r="T66" s="466"/>
      <c r="U66" s="129"/>
      <c r="V66" s="466"/>
      <c r="W66" s="466"/>
      <c r="X66" s="466"/>
      <c r="Y66" s="466"/>
      <c r="Z66" s="466"/>
      <c r="AA66" s="62"/>
      <c r="AB66" s="62"/>
      <c r="AC66" s="62"/>
      <c r="AD66" s="129"/>
      <c r="AE66" s="71"/>
    </row>
    <row r="67" spans="1:31" ht="29" x14ac:dyDescent="0.35">
      <c r="A67" s="529"/>
      <c r="B67" s="250">
        <f>B62+10</f>
        <v>121</v>
      </c>
      <c r="C67" s="770"/>
      <c r="D67" s="3"/>
      <c r="E67" s="10"/>
      <c r="F67" s="3"/>
      <c r="G67" s="770"/>
      <c r="H67" s="3"/>
      <c r="I67" s="781"/>
      <c r="J67" s="3"/>
      <c r="K67" s="770"/>
      <c r="L67" s="3"/>
      <c r="M67" s="64" t="b">
        <v>0</v>
      </c>
      <c r="N67" t="s">
        <v>288</v>
      </c>
      <c r="O67" s="3"/>
      <c r="P67" s="3" t="s">
        <v>289</v>
      </c>
      <c r="Q67" s="3"/>
      <c r="R67" s="235"/>
      <c r="S67" s="3"/>
      <c r="T67" s="468"/>
      <c r="U67" s="131"/>
      <c r="V67" s="137"/>
      <c r="W67" s="138"/>
      <c r="X67" s="138"/>
      <c r="Y67" s="138"/>
      <c r="Z67" s="138"/>
      <c r="AA67" s="3"/>
      <c r="AB67" s="45" t="b">
        <v>0</v>
      </c>
      <c r="AC67" s="9" t="s">
        <v>290</v>
      </c>
      <c r="AD67" s="137" t="s">
        <v>107</v>
      </c>
      <c r="AE67" s="66"/>
    </row>
    <row r="68" spans="1:31" ht="29" x14ac:dyDescent="0.35">
      <c r="A68" s="529"/>
      <c r="B68" s="250">
        <f>B67+1</f>
        <v>122</v>
      </c>
      <c r="C68" s="538"/>
      <c r="G68" s="538"/>
      <c r="I68" s="782"/>
      <c r="K68" s="538"/>
      <c r="M68" s="284" t="b">
        <v>0</v>
      </c>
      <c r="N68" s="25" t="s">
        <v>291</v>
      </c>
      <c r="O68" s="25"/>
      <c r="P68" s="25" t="s">
        <v>292</v>
      </c>
      <c r="T68" s="468"/>
      <c r="U68" s="132"/>
      <c r="V68" s="137"/>
      <c r="W68" s="461"/>
      <c r="X68" s="138"/>
      <c r="Y68" s="461"/>
      <c r="Z68" s="138"/>
      <c r="AB68" s="45" t="b">
        <v>0</v>
      </c>
      <c r="AC68" s="9" t="s">
        <v>293</v>
      </c>
      <c r="AD68" s="138"/>
      <c r="AE68" s="105"/>
    </row>
    <row r="69" spans="1:31" ht="15" thickBot="1" x14ac:dyDescent="0.4">
      <c r="A69" s="529"/>
      <c r="B69" s="250">
        <f>B68+1</f>
        <v>123</v>
      </c>
      <c r="C69" s="539"/>
      <c r="G69" s="538"/>
      <c r="K69" s="538"/>
      <c r="M69" s="64" t="b">
        <v>0</v>
      </c>
      <c r="N69" t="s">
        <v>294</v>
      </c>
      <c r="P69" t="s">
        <v>295</v>
      </c>
      <c r="T69" s="468"/>
      <c r="U69" s="132"/>
      <c r="V69" s="137"/>
      <c r="W69" s="461"/>
      <c r="X69" s="138"/>
      <c r="Y69" s="461"/>
      <c r="Z69" s="138"/>
      <c r="AD69" s="134"/>
      <c r="AE69" s="66"/>
    </row>
    <row r="70" spans="1:31" ht="5.15" customHeight="1" thickBot="1" x14ac:dyDescent="0.4">
      <c r="A70" s="117"/>
      <c r="B70" s="118"/>
      <c r="C70" s="130"/>
      <c r="D70" s="118"/>
      <c r="E70" s="118"/>
      <c r="F70" s="118"/>
      <c r="G70" s="130"/>
      <c r="H70" s="118"/>
      <c r="I70" s="118"/>
      <c r="J70" s="118"/>
      <c r="K70" s="130"/>
      <c r="L70" s="118"/>
      <c r="M70" s="118"/>
      <c r="N70" s="118"/>
      <c r="O70" s="118"/>
      <c r="P70" s="118"/>
      <c r="Q70" s="118"/>
      <c r="R70" s="277"/>
      <c r="S70" s="118"/>
      <c r="T70" s="467"/>
      <c r="U70" s="130"/>
      <c r="V70" s="467"/>
      <c r="W70" s="467"/>
      <c r="X70" s="467"/>
      <c r="Y70" s="467"/>
      <c r="Z70" s="467"/>
      <c r="AA70" s="118"/>
      <c r="AB70" s="118"/>
      <c r="AC70" s="118"/>
      <c r="AD70" s="130"/>
      <c r="AE70" s="119"/>
    </row>
    <row r="71" spans="1:31" ht="3.75" customHeight="1" x14ac:dyDescent="0.35">
      <c r="A71" s="528">
        <f>A66+1</f>
        <v>13</v>
      </c>
      <c r="B71" s="249">
        <f>B66+10</f>
        <v>130</v>
      </c>
      <c r="C71" s="129"/>
      <c r="D71" s="62"/>
      <c r="E71" s="62"/>
      <c r="F71" s="62"/>
      <c r="G71" s="129"/>
      <c r="H71" s="62"/>
      <c r="I71" s="62"/>
      <c r="J71" s="62"/>
      <c r="K71" s="129"/>
      <c r="L71" s="62"/>
      <c r="M71" s="62"/>
      <c r="N71" s="62"/>
      <c r="O71" s="62"/>
      <c r="P71" s="62"/>
      <c r="Q71" s="62"/>
      <c r="R71" s="244"/>
      <c r="S71" s="62"/>
      <c r="T71" s="466"/>
      <c r="U71" s="129"/>
      <c r="V71" s="466"/>
      <c r="W71" s="466"/>
      <c r="X71" s="466"/>
      <c r="Y71" s="466"/>
      <c r="Z71" s="466"/>
      <c r="AA71" s="62"/>
      <c r="AB71" s="62"/>
      <c r="AC71" s="62"/>
      <c r="AD71" s="129"/>
      <c r="AE71" s="71"/>
    </row>
    <row r="72" spans="1:31" ht="29" x14ac:dyDescent="0.35">
      <c r="A72" s="529"/>
      <c r="B72" s="250">
        <f>B67+10</f>
        <v>131</v>
      </c>
      <c r="C72" s="770"/>
      <c r="D72" s="3"/>
      <c r="E72" s="10"/>
      <c r="F72" s="3"/>
      <c r="G72" s="770"/>
      <c r="H72" s="3"/>
      <c r="I72" s="781"/>
      <c r="J72" s="3"/>
      <c r="K72" s="770"/>
      <c r="L72" s="3"/>
      <c r="M72" s="64" t="b">
        <v>0</v>
      </c>
      <c r="N72" t="s">
        <v>288</v>
      </c>
      <c r="O72" s="3"/>
      <c r="P72" s="3" t="s">
        <v>289</v>
      </c>
      <c r="Q72" s="3"/>
      <c r="R72" s="235"/>
      <c r="S72" s="3"/>
      <c r="T72" s="468"/>
      <c r="U72" s="131"/>
      <c r="V72" s="137"/>
      <c r="W72" s="138"/>
      <c r="X72" s="138"/>
      <c r="Y72" s="138"/>
      <c r="Z72" s="138"/>
      <c r="AA72" s="3"/>
      <c r="AB72" s="45" t="b">
        <v>0</v>
      </c>
      <c r="AC72" s="9" t="s">
        <v>290</v>
      </c>
      <c r="AD72" s="137" t="s">
        <v>107</v>
      </c>
      <c r="AE72" s="66"/>
    </row>
    <row r="73" spans="1:31" ht="29" x14ac:dyDescent="0.35">
      <c r="A73" s="529"/>
      <c r="B73" s="250">
        <f>B72+1</f>
        <v>132</v>
      </c>
      <c r="C73" s="538"/>
      <c r="G73" s="538"/>
      <c r="I73" s="782"/>
      <c r="K73" s="538"/>
      <c r="M73" s="284" t="b">
        <v>0</v>
      </c>
      <c r="N73" s="25" t="s">
        <v>291</v>
      </c>
      <c r="O73" s="25"/>
      <c r="P73" s="25" t="s">
        <v>292</v>
      </c>
      <c r="T73" s="468"/>
      <c r="U73" s="132"/>
      <c r="V73" s="137"/>
      <c r="W73" s="461"/>
      <c r="X73" s="138"/>
      <c r="Y73" s="461"/>
      <c r="Z73" s="138"/>
      <c r="AB73" s="45" t="b">
        <v>0</v>
      </c>
      <c r="AC73" s="9" t="s">
        <v>293</v>
      </c>
      <c r="AD73" s="138"/>
      <c r="AE73" s="105"/>
    </row>
    <row r="74" spans="1:31" ht="15" thickBot="1" x14ac:dyDescent="0.4">
      <c r="A74" s="529"/>
      <c r="B74" s="250">
        <f>B73+1</f>
        <v>133</v>
      </c>
      <c r="C74" s="539"/>
      <c r="G74" s="538"/>
      <c r="K74" s="538"/>
      <c r="M74" s="64" t="b">
        <v>0</v>
      </c>
      <c r="N74" t="s">
        <v>294</v>
      </c>
      <c r="P74" t="s">
        <v>295</v>
      </c>
      <c r="T74" s="468"/>
      <c r="U74" s="132"/>
      <c r="V74" s="137"/>
      <c r="W74" s="461"/>
      <c r="X74" s="138"/>
      <c r="Y74" s="461"/>
      <c r="Z74" s="138"/>
      <c r="AD74" s="134"/>
      <c r="AE74" s="66"/>
    </row>
    <row r="75" spans="1:31" ht="5.15" customHeight="1" thickBot="1" x14ac:dyDescent="0.4">
      <c r="A75" s="117"/>
      <c r="B75" s="118"/>
      <c r="C75" s="130"/>
      <c r="D75" s="118"/>
      <c r="E75" s="118"/>
      <c r="F75" s="118"/>
      <c r="G75" s="130"/>
      <c r="H75" s="118"/>
      <c r="I75" s="118"/>
      <c r="J75" s="118"/>
      <c r="K75" s="130"/>
      <c r="L75" s="118"/>
      <c r="M75" s="118"/>
      <c r="N75" s="118"/>
      <c r="O75" s="118"/>
      <c r="P75" s="118"/>
      <c r="Q75" s="118"/>
      <c r="R75" s="277"/>
      <c r="S75" s="118"/>
      <c r="T75" s="467"/>
      <c r="U75" s="130"/>
      <c r="V75" s="467"/>
      <c r="W75" s="467"/>
      <c r="X75" s="467"/>
      <c r="Y75" s="467"/>
      <c r="Z75" s="467"/>
      <c r="AA75" s="118"/>
      <c r="AB75" s="118"/>
      <c r="AC75" s="118"/>
      <c r="AD75" s="130"/>
      <c r="AE75" s="119"/>
    </row>
    <row r="76" spans="1:31" ht="3.75" customHeight="1" x14ac:dyDescent="0.35">
      <c r="A76" s="528">
        <f>A71+1</f>
        <v>14</v>
      </c>
      <c r="B76" s="249">
        <f>B71+10</f>
        <v>140</v>
      </c>
      <c r="C76" s="129"/>
      <c r="D76" s="62"/>
      <c r="E76" s="62"/>
      <c r="F76" s="62"/>
      <c r="G76" s="129"/>
      <c r="H76" s="62"/>
      <c r="I76" s="62"/>
      <c r="J76" s="62"/>
      <c r="K76" s="129"/>
      <c r="L76" s="62"/>
      <c r="M76" s="62"/>
      <c r="N76" s="62"/>
      <c r="O76" s="62"/>
      <c r="P76" s="62"/>
      <c r="Q76" s="62"/>
      <c r="R76" s="244"/>
      <c r="S76" s="62"/>
      <c r="T76" s="466"/>
      <c r="U76" s="129"/>
      <c r="V76" s="466"/>
      <c r="W76" s="466"/>
      <c r="X76" s="466"/>
      <c r="Y76" s="466"/>
      <c r="Z76" s="466"/>
      <c r="AA76" s="62"/>
      <c r="AB76" s="62"/>
      <c r="AC76" s="62"/>
      <c r="AD76" s="129"/>
      <c r="AE76" s="71"/>
    </row>
    <row r="77" spans="1:31" ht="29" x14ac:dyDescent="0.35">
      <c r="A77" s="529"/>
      <c r="B77" s="250">
        <f>B72+10</f>
        <v>141</v>
      </c>
      <c r="C77" s="770"/>
      <c r="D77" s="3"/>
      <c r="E77" s="10"/>
      <c r="F77" s="3"/>
      <c r="G77" s="770"/>
      <c r="H77" s="3"/>
      <c r="I77" s="781"/>
      <c r="J77" s="3"/>
      <c r="K77" s="770"/>
      <c r="L77" s="3"/>
      <c r="M77" s="64" t="b">
        <v>0</v>
      </c>
      <c r="N77" t="s">
        <v>288</v>
      </c>
      <c r="O77" s="3"/>
      <c r="P77" s="3" t="s">
        <v>289</v>
      </c>
      <c r="Q77" s="3"/>
      <c r="R77" s="235"/>
      <c r="S77" s="3"/>
      <c r="T77" s="468"/>
      <c r="U77" s="131"/>
      <c r="V77" s="137"/>
      <c r="W77" s="138"/>
      <c r="X77" s="138"/>
      <c r="Y77" s="138"/>
      <c r="Z77" s="138"/>
      <c r="AA77" s="3"/>
      <c r="AB77" s="45" t="b">
        <v>0</v>
      </c>
      <c r="AC77" s="9" t="s">
        <v>290</v>
      </c>
      <c r="AD77" s="137" t="s">
        <v>107</v>
      </c>
      <c r="AE77" s="66"/>
    </row>
    <row r="78" spans="1:31" ht="29" x14ac:dyDescent="0.35">
      <c r="A78" s="529"/>
      <c r="B78" s="250">
        <f>B77+1</f>
        <v>142</v>
      </c>
      <c r="C78" s="538"/>
      <c r="G78" s="538"/>
      <c r="I78" s="782"/>
      <c r="K78" s="538"/>
      <c r="M78" s="284" t="b">
        <v>0</v>
      </c>
      <c r="N78" s="25" t="s">
        <v>291</v>
      </c>
      <c r="O78" s="25"/>
      <c r="P78" s="25" t="s">
        <v>292</v>
      </c>
      <c r="T78" s="468"/>
      <c r="U78" s="132"/>
      <c r="V78" s="137"/>
      <c r="W78" s="461"/>
      <c r="X78" s="138"/>
      <c r="Y78" s="461"/>
      <c r="Z78" s="138"/>
      <c r="AB78" s="45" t="b">
        <v>0</v>
      </c>
      <c r="AC78" s="9" t="s">
        <v>293</v>
      </c>
      <c r="AD78" s="138"/>
      <c r="AE78" s="105"/>
    </row>
    <row r="79" spans="1:31" ht="15" thickBot="1" x14ac:dyDescent="0.4">
      <c r="A79" s="529"/>
      <c r="B79" s="250">
        <f>B78+1</f>
        <v>143</v>
      </c>
      <c r="C79" s="539"/>
      <c r="G79" s="538"/>
      <c r="K79" s="538"/>
      <c r="M79" s="64" t="b">
        <v>0</v>
      </c>
      <c r="N79" t="s">
        <v>294</v>
      </c>
      <c r="P79" t="s">
        <v>295</v>
      </c>
      <c r="T79" s="468"/>
      <c r="U79" s="132"/>
      <c r="V79" s="137"/>
      <c r="W79" s="461"/>
      <c r="X79" s="138"/>
      <c r="Y79" s="461"/>
      <c r="Z79" s="138"/>
      <c r="AD79" s="134"/>
      <c r="AE79" s="66"/>
    </row>
    <row r="80" spans="1:31" ht="5.15" customHeight="1" thickBot="1" x14ac:dyDescent="0.4">
      <c r="A80" s="117"/>
      <c r="B80" s="118"/>
      <c r="C80" s="130"/>
      <c r="D80" s="118"/>
      <c r="E80" s="118"/>
      <c r="F80" s="118"/>
      <c r="G80" s="130"/>
      <c r="H80" s="118"/>
      <c r="I80" s="118"/>
      <c r="J80" s="118"/>
      <c r="K80" s="130"/>
      <c r="L80" s="118"/>
      <c r="M80" s="118"/>
      <c r="N80" s="118"/>
      <c r="O80" s="118"/>
      <c r="P80" s="118"/>
      <c r="Q80" s="118"/>
      <c r="R80" s="277"/>
      <c r="S80" s="118"/>
      <c r="T80" s="467"/>
      <c r="U80" s="130"/>
      <c r="V80" s="467"/>
      <c r="W80" s="467"/>
      <c r="X80" s="467"/>
      <c r="Y80" s="467"/>
      <c r="Z80" s="467"/>
      <c r="AA80" s="118"/>
      <c r="AB80" s="118"/>
      <c r="AC80" s="118"/>
      <c r="AD80" s="130"/>
      <c r="AE80" s="119"/>
    </row>
    <row r="81" spans="1:31" ht="3.75" customHeight="1" x14ac:dyDescent="0.35">
      <c r="A81" s="528">
        <f>A76+1</f>
        <v>15</v>
      </c>
      <c r="B81" s="249">
        <f>B76+10</f>
        <v>150</v>
      </c>
      <c r="C81" s="129"/>
      <c r="D81" s="62"/>
      <c r="E81" s="62"/>
      <c r="F81" s="62"/>
      <c r="G81" s="129"/>
      <c r="H81" s="62"/>
      <c r="I81" s="62"/>
      <c r="J81" s="62"/>
      <c r="K81" s="129"/>
      <c r="L81" s="62"/>
      <c r="M81" s="62"/>
      <c r="N81" s="62"/>
      <c r="O81" s="62"/>
      <c r="P81" s="62"/>
      <c r="Q81" s="62"/>
      <c r="R81" s="244"/>
      <c r="S81" s="62"/>
      <c r="T81" s="466"/>
      <c r="U81" s="129"/>
      <c r="V81" s="466"/>
      <c r="W81" s="466"/>
      <c r="X81" s="466"/>
      <c r="Y81" s="466"/>
      <c r="Z81" s="466"/>
      <c r="AA81" s="62"/>
      <c r="AB81" s="62"/>
      <c r="AC81" s="62"/>
      <c r="AD81" s="129"/>
      <c r="AE81" s="71"/>
    </row>
    <row r="82" spans="1:31" ht="29" x14ac:dyDescent="0.35">
      <c r="A82" s="529"/>
      <c r="B82" s="250">
        <f>B77+10</f>
        <v>151</v>
      </c>
      <c r="C82" s="770"/>
      <c r="D82" s="3"/>
      <c r="E82" s="10"/>
      <c r="F82" s="3"/>
      <c r="G82" s="770"/>
      <c r="H82" s="3"/>
      <c r="I82" s="781"/>
      <c r="J82" s="3"/>
      <c r="K82" s="770"/>
      <c r="L82" s="3"/>
      <c r="M82" s="64" t="b">
        <v>0</v>
      </c>
      <c r="N82" t="s">
        <v>288</v>
      </c>
      <c r="O82" s="3"/>
      <c r="P82" s="3" t="s">
        <v>289</v>
      </c>
      <c r="Q82" s="3"/>
      <c r="R82" s="235"/>
      <c r="S82" s="3"/>
      <c r="T82" s="468"/>
      <c r="U82" s="131"/>
      <c r="V82" s="137"/>
      <c r="W82" s="138"/>
      <c r="X82" s="138"/>
      <c r="Y82" s="138"/>
      <c r="Z82" s="138"/>
      <c r="AA82" s="3"/>
      <c r="AB82" s="45" t="b">
        <v>0</v>
      </c>
      <c r="AC82" s="9" t="s">
        <v>290</v>
      </c>
      <c r="AD82" s="137" t="s">
        <v>107</v>
      </c>
      <c r="AE82" s="66"/>
    </row>
    <row r="83" spans="1:31" ht="29" x14ac:dyDescent="0.35">
      <c r="A83" s="529"/>
      <c r="B83" s="250">
        <f>B82+1</f>
        <v>152</v>
      </c>
      <c r="C83" s="538"/>
      <c r="G83" s="538"/>
      <c r="I83" s="782"/>
      <c r="K83" s="538"/>
      <c r="M83" s="284" t="b">
        <v>0</v>
      </c>
      <c r="N83" s="25" t="s">
        <v>291</v>
      </c>
      <c r="O83" s="25"/>
      <c r="P83" s="25" t="s">
        <v>292</v>
      </c>
      <c r="T83" s="468"/>
      <c r="U83" s="132"/>
      <c r="V83" s="137"/>
      <c r="W83" s="461"/>
      <c r="X83" s="138"/>
      <c r="Y83" s="461"/>
      <c r="Z83" s="138"/>
      <c r="AB83" s="45" t="b">
        <v>0</v>
      </c>
      <c r="AC83" s="9" t="s">
        <v>293</v>
      </c>
      <c r="AD83" s="138"/>
      <c r="AE83" s="105"/>
    </row>
    <row r="84" spans="1:31" ht="15" thickBot="1" x14ac:dyDescent="0.4">
      <c r="A84" s="529"/>
      <c r="B84" s="250">
        <f>B83+1</f>
        <v>153</v>
      </c>
      <c r="C84" s="539"/>
      <c r="G84" s="538"/>
      <c r="K84" s="538"/>
      <c r="M84" s="64" t="b">
        <v>0</v>
      </c>
      <c r="N84" t="s">
        <v>294</v>
      </c>
      <c r="P84" t="s">
        <v>295</v>
      </c>
      <c r="T84" s="468"/>
      <c r="U84" s="132"/>
      <c r="V84" s="137"/>
      <c r="W84" s="461"/>
      <c r="X84" s="138"/>
      <c r="Y84" s="461"/>
      <c r="Z84" s="138"/>
      <c r="AD84" s="134"/>
      <c r="AE84" s="66"/>
    </row>
    <row r="85" spans="1:31" ht="5.15" customHeight="1" thickBot="1" x14ac:dyDescent="0.4">
      <c r="A85" s="117"/>
      <c r="B85" s="118"/>
      <c r="C85" s="130"/>
      <c r="D85" s="118"/>
      <c r="E85" s="118"/>
      <c r="F85" s="118"/>
      <c r="G85" s="130"/>
      <c r="H85" s="118"/>
      <c r="I85" s="118"/>
      <c r="J85" s="118"/>
      <c r="K85" s="130"/>
      <c r="L85" s="118"/>
      <c r="M85" s="118"/>
      <c r="N85" s="118"/>
      <c r="O85" s="118"/>
      <c r="P85" s="118"/>
      <c r="Q85" s="118"/>
      <c r="R85" s="277"/>
      <c r="S85" s="118"/>
      <c r="T85" s="467"/>
      <c r="U85" s="130"/>
      <c r="V85" s="467"/>
      <c r="W85" s="467"/>
      <c r="X85" s="467"/>
      <c r="Y85" s="467"/>
      <c r="Z85" s="467"/>
      <c r="AA85" s="118"/>
      <c r="AB85" s="118"/>
      <c r="AC85" s="118"/>
      <c r="AD85" s="130"/>
      <c r="AE85" s="119"/>
    </row>
    <row r="86" spans="1:31" ht="3.75" customHeight="1" x14ac:dyDescent="0.35">
      <c r="A86" s="528">
        <f>A81+1</f>
        <v>16</v>
      </c>
      <c r="B86" s="249">
        <f>B81+10</f>
        <v>160</v>
      </c>
      <c r="C86" s="129"/>
      <c r="D86" s="62"/>
      <c r="E86" s="62"/>
      <c r="F86" s="62"/>
      <c r="G86" s="129"/>
      <c r="H86" s="62"/>
      <c r="I86" s="62"/>
      <c r="J86" s="62"/>
      <c r="K86" s="129"/>
      <c r="L86" s="62"/>
      <c r="M86" s="62"/>
      <c r="N86" s="62"/>
      <c r="O86" s="62"/>
      <c r="P86" s="62"/>
      <c r="Q86" s="62"/>
      <c r="R86" s="244"/>
      <c r="S86" s="62"/>
      <c r="T86" s="466"/>
      <c r="U86" s="129"/>
      <c r="V86" s="466"/>
      <c r="W86" s="466"/>
      <c r="X86" s="466"/>
      <c r="Y86" s="466"/>
      <c r="Z86" s="466"/>
      <c r="AA86" s="62"/>
      <c r="AB86" s="62"/>
      <c r="AC86" s="62"/>
      <c r="AD86" s="129"/>
      <c r="AE86" s="71"/>
    </row>
    <row r="87" spans="1:31" ht="29" x14ac:dyDescent="0.35">
      <c r="A87" s="529"/>
      <c r="B87" s="250">
        <f>B82+10</f>
        <v>161</v>
      </c>
      <c r="C87" s="770"/>
      <c r="D87" s="3"/>
      <c r="E87" s="10"/>
      <c r="F87" s="3"/>
      <c r="G87" s="770"/>
      <c r="H87" s="3"/>
      <c r="I87" s="781"/>
      <c r="J87" s="3"/>
      <c r="K87" s="770"/>
      <c r="L87" s="3"/>
      <c r="M87" s="64" t="b">
        <v>0</v>
      </c>
      <c r="N87" t="s">
        <v>288</v>
      </c>
      <c r="O87" s="3"/>
      <c r="P87" s="3" t="s">
        <v>289</v>
      </c>
      <c r="Q87" s="3"/>
      <c r="R87" s="235"/>
      <c r="S87" s="3"/>
      <c r="T87" s="468"/>
      <c r="U87" s="131"/>
      <c r="V87" s="137"/>
      <c r="W87" s="138"/>
      <c r="X87" s="138"/>
      <c r="Y87" s="138"/>
      <c r="Z87" s="138"/>
      <c r="AA87" s="3"/>
      <c r="AB87" s="45" t="b">
        <v>0</v>
      </c>
      <c r="AC87" s="9" t="s">
        <v>290</v>
      </c>
      <c r="AD87" s="137" t="s">
        <v>107</v>
      </c>
      <c r="AE87" s="66"/>
    </row>
    <row r="88" spans="1:31" ht="29" x14ac:dyDescent="0.35">
      <c r="A88" s="529"/>
      <c r="B88" s="250">
        <f>B87+1</f>
        <v>162</v>
      </c>
      <c r="C88" s="538"/>
      <c r="G88" s="538"/>
      <c r="I88" s="782"/>
      <c r="K88" s="538"/>
      <c r="M88" s="284" t="b">
        <v>0</v>
      </c>
      <c r="N88" s="25" t="s">
        <v>291</v>
      </c>
      <c r="O88" s="25"/>
      <c r="P88" s="25" t="s">
        <v>292</v>
      </c>
      <c r="T88" s="468"/>
      <c r="U88" s="132"/>
      <c r="V88" s="137"/>
      <c r="W88" s="461"/>
      <c r="X88" s="138"/>
      <c r="Y88" s="461"/>
      <c r="Z88" s="138"/>
      <c r="AB88" s="45" t="b">
        <v>0</v>
      </c>
      <c r="AC88" s="9" t="s">
        <v>293</v>
      </c>
      <c r="AD88" s="138"/>
      <c r="AE88" s="105"/>
    </row>
    <row r="89" spans="1:31" ht="15" thickBot="1" x14ac:dyDescent="0.4">
      <c r="A89" s="529"/>
      <c r="B89" s="250">
        <f>B88+1</f>
        <v>163</v>
      </c>
      <c r="C89" s="539"/>
      <c r="G89" s="538"/>
      <c r="K89" s="538"/>
      <c r="M89" s="64" t="b">
        <v>0</v>
      </c>
      <c r="N89" t="s">
        <v>294</v>
      </c>
      <c r="P89" t="s">
        <v>295</v>
      </c>
      <c r="T89" s="468"/>
      <c r="U89" s="132"/>
      <c r="V89" s="137"/>
      <c r="W89" s="461"/>
      <c r="X89" s="138"/>
      <c r="Y89" s="461"/>
      <c r="Z89" s="138"/>
      <c r="AD89" s="134"/>
      <c r="AE89" s="66"/>
    </row>
    <row r="90" spans="1:31" ht="5.15" customHeight="1" thickBot="1" x14ac:dyDescent="0.4">
      <c r="A90" s="117"/>
      <c r="B90" s="118"/>
      <c r="C90" s="130"/>
      <c r="D90" s="118"/>
      <c r="E90" s="118"/>
      <c r="F90" s="118"/>
      <c r="G90" s="130"/>
      <c r="H90" s="118"/>
      <c r="I90" s="118"/>
      <c r="J90" s="118"/>
      <c r="K90" s="130"/>
      <c r="L90" s="118"/>
      <c r="M90" s="118"/>
      <c r="N90" s="118"/>
      <c r="O90" s="118"/>
      <c r="P90" s="118"/>
      <c r="Q90" s="118"/>
      <c r="R90" s="277"/>
      <c r="S90" s="118"/>
      <c r="T90" s="467"/>
      <c r="U90" s="130"/>
      <c r="V90" s="467"/>
      <c r="W90" s="467"/>
      <c r="X90" s="467"/>
      <c r="Y90" s="467"/>
      <c r="Z90" s="467"/>
      <c r="AA90" s="118"/>
      <c r="AB90" s="118"/>
      <c r="AC90" s="118"/>
      <c r="AD90" s="130"/>
      <c r="AE90" s="119"/>
    </row>
    <row r="91" spans="1:31" ht="3.75" customHeight="1" x14ac:dyDescent="0.35">
      <c r="A91" s="528">
        <f>A86+1</f>
        <v>17</v>
      </c>
      <c r="B91" s="249">
        <f>B86+10</f>
        <v>170</v>
      </c>
      <c r="C91" s="129"/>
      <c r="D91" s="62"/>
      <c r="E91" s="62"/>
      <c r="F91" s="62"/>
      <c r="G91" s="129"/>
      <c r="H91" s="62"/>
      <c r="I91" s="62"/>
      <c r="J91" s="62"/>
      <c r="K91" s="129"/>
      <c r="L91" s="62"/>
      <c r="M91" s="62"/>
      <c r="N91" s="62"/>
      <c r="O91" s="62"/>
      <c r="P91" s="62"/>
      <c r="Q91" s="62"/>
      <c r="R91" s="244"/>
      <c r="S91" s="62"/>
      <c r="T91" s="466"/>
      <c r="U91" s="129"/>
      <c r="V91" s="466"/>
      <c r="W91" s="466"/>
      <c r="X91" s="466"/>
      <c r="Y91" s="466"/>
      <c r="Z91" s="466"/>
      <c r="AA91" s="62"/>
      <c r="AB91" s="62"/>
      <c r="AC91" s="62"/>
      <c r="AD91" s="129"/>
      <c r="AE91" s="71"/>
    </row>
    <row r="92" spans="1:31" ht="29" x14ac:dyDescent="0.35">
      <c r="A92" s="529"/>
      <c r="B92" s="250">
        <f>B87+10</f>
        <v>171</v>
      </c>
      <c r="C92" s="770"/>
      <c r="D92" s="3"/>
      <c r="E92" s="10"/>
      <c r="F92" s="3"/>
      <c r="G92" s="770"/>
      <c r="H92" s="3"/>
      <c r="I92" s="781"/>
      <c r="J92" s="3"/>
      <c r="K92" s="770"/>
      <c r="L92" s="3"/>
      <c r="M92" s="64" t="b">
        <v>0</v>
      </c>
      <c r="N92" t="s">
        <v>288</v>
      </c>
      <c r="O92" s="3"/>
      <c r="P92" s="3" t="s">
        <v>289</v>
      </c>
      <c r="Q92" s="3"/>
      <c r="R92" s="235"/>
      <c r="S92" s="3"/>
      <c r="T92" s="468"/>
      <c r="U92" s="131"/>
      <c r="V92" s="137"/>
      <c r="W92" s="138"/>
      <c r="X92" s="138"/>
      <c r="Y92" s="138"/>
      <c r="Z92" s="138"/>
      <c r="AA92" s="3"/>
      <c r="AB92" s="45" t="b">
        <v>0</v>
      </c>
      <c r="AC92" s="9" t="s">
        <v>290</v>
      </c>
      <c r="AD92" s="137" t="s">
        <v>107</v>
      </c>
      <c r="AE92" s="66"/>
    </row>
    <row r="93" spans="1:31" ht="29" x14ac:dyDescent="0.35">
      <c r="A93" s="529"/>
      <c r="B93" s="250">
        <f>B92+1</f>
        <v>172</v>
      </c>
      <c r="C93" s="538"/>
      <c r="G93" s="538"/>
      <c r="I93" s="782"/>
      <c r="K93" s="538"/>
      <c r="M93" s="284" t="b">
        <v>0</v>
      </c>
      <c r="N93" s="25" t="s">
        <v>291</v>
      </c>
      <c r="O93" s="25"/>
      <c r="P93" s="25" t="s">
        <v>292</v>
      </c>
      <c r="T93" s="468"/>
      <c r="U93" s="132"/>
      <c r="V93" s="137"/>
      <c r="W93" s="461"/>
      <c r="X93" s="138"/>
      <c r="Y93" s="461"/>
      <c r="Z93" s="138"/>
      <c r="AB93" s="45" t="b">
        <v>0</v>
      </c>
      <c r="AC93" s="9" t="s">
        <v>293</v>
      </c>
      <c r="AD93" s="138"/>
      <c r="AE93" s="105"/>
    </row>
    <row r="94" spans="1:31" ht="15" thickBot="1" x14ac:dyDescent="0.4">
      <c r="A94" s="529"/>
      <c r="B94" s="250">
        <f>B93+1</f>
        <v>173</v>
      </c>
      <c r="C94" s="539"/>
      <c r="G94" s="538"/>
      <c r="K94" s="538"/>
      <c r="M94" s="64" t="b">
        <v>0</v>
      </c>
      <c r="N94" t="s">
        <v>294</v>
      </c>
      <c r="P94" t="s">
        <v>295</v>
      </c>
      <c r="T94" s="468"/>
      <c r="U94" s="132"/>
      <c r="V94" s="137"/>
      <c r="W94" s="461"/>
      <c r="X94" s="138"/>
      <c r="Y94" s="461"/>
      <c r="Z94" s="138"/>
      <c r="AD94" s="134"/>
      <c r="AE94" s="66"/>
    </row>
    <row r="95" spans="1:31" ht="5.15" customHeight="1" thickBot="1" x14ac:dyDescent="0.4">
      <c r="A95" s="117"/>
      <c r="B95" s="118"/>
      <c r="C95" s="130"/>
      <c r="D95" s="118"/>
      <c r="E95" s="118"/>
      <c r="F95" s="118"/>
      <c r="G95" s="130"/>
      <c r="H95" s="118"/>
      <c r="I95" s="118"/>
      <c r="J95" s="118"/>
      <c r="K95" s="130"/>
      <c r="L95" s="118"/>
      <c r="M95" s="118"/>
      <c r="N95" s="118"/>
      <c r="O95" s="118"/>
      <c r="P95" s="118"/>
      <c r="Q95" s="118"/>
      <c r="R95" s="277"/>
      <c r="S95" s="118"/>
      <c r="T95" s="467"/>
      <c r="U95" s="130"/>
      <c r="V95" s="467"/>
      <c r="W95" s="467"/>
      <c r="X95" s="467"/>
      <c r="Y95" s="467"/>
      <c r="Z95" s="467"/>
      <c r="AA95" s="118"/>
      <c r="AB95" s="118"/>
      <c r="AC95" s="118"/>
      <c r="AD95" s="130"/>
      <c r="AE95" s="119"/>
    </row>
    <row r="96" spans="1:31" ht="3.75" customHeight="1" x14ac:dyDescent="0.35">
      <c r="A96" s="528">
        <f>A91+1</f>
        <v>18</v>
      </c>
      <c r="B96" s="249">
        <f>B91+10</f>
        <v>180</v>
      </c>
      <c r="C96" s="129"/>
      <c r="D96" s="62"/>
      <c r="E96" s="62"/>
      <c r="F96" s="62"/>
      <c r="G96" s="129"/>
      <c r="H96" s="62"/>
      <c r="I96" s="62"/>
      <c r="J96" s="62"/>
      <c r="K96" s="129"/>
      <c r="L96" s="62"/>
      <c r="M96" s="62"/>
      <c r="N96" s="62"/>
      <c r="O96" s="62"/>
      <c r="P96" s="62"/>
      <c r="Q96" s="62"/>
      <c r="R96" s="244"/>
      <c r="S96" s="62"/>
      <c r="T96" s="466"/>
      <c r="U96" s="129"/>
      <c r="V96" s="466"/>
      <c r="W96" s="466"/>
      <c r="X96" s="466"/>
      <c r="Y96" s="466"/>
      <c r="Z96" s="466"/>
      <c r="AA96" s="62"/>
      <c r="AB96" s="62"/>
      <c r="AC96" s="62"/>
      <c r="AD96" s="129"/>
      <c r="AE96" s="71"/>
    </row>
    <row r="97" spans="1:31" ht="29" x14ac:dyDescent="0.35">
      <c r="A97" s="529"/>
      <c r="B97" s="250">
        <f>B92+10</f>
        <v>181</v>
      </c>
      <c r="C97" s="770"/>
      <c r="D97" s="3"/>
      <c r="E97" s="10"/>
      <c r="F97" s="3"/>
      <c r="G97" s="770"/>
      <c r="H97" s="3"/>
      <c r="I97" s="781"/>
      <c r="J97" s="3"/>
      <c r="K97" s="770"/>
      <c r="L97" s="3"/>
      <c r="M97" s="64" t="b">
        <v>0</v>
      </c>
      <c r="N97" t="s">
        <v>288</v>
      </c>
      <c r="O97" s="3"/>
      <c r="P97" s="3" t="s">
        <v>289</v>
      </c>
      <c r="Q97" s="3"/>
      <c r="R97" s="235"/>
      <c r="S97" s="3"/>
      <c r="T97" s="468"/>
      <c r="U97" s="131"/>
      <c r="V97" s="137"/>
      <c r="W97" s="138"/>
      <c r="X97" s="138"/>
      <c r="Y97" s="138"/>
      <c r="Z97" s="138"/>
      <c r="AA97" s="3"/>
      <c r="AB97" s="45" t="b">
        <v>0</v>
      </c>
      <c r="AC97" s="9" t="s">
        <v>290</v>
      </c>
      <c r="AD97" s="137" t="s">
        <v>107</v>
      </c>
      <c r="AE97" s="66"/>
    </row>
    <row r="98" spans="1:31" ht="29" x14ac:dyDescent="0.35">
      <c r="A98" s="529"/>
      <c r="B98" s="250">
        <f>B97+1</f>
        <v>182</v>
      </c>
      <c r="C98" s="538"/>
      <c r="G98" s="538"/>
      <c r="I98" s="782"/>
      <c r="K98" s="538"/>
      <c r="M98" s="284" t="b">
        <v>0</v>
      </c>
      <c r="N98" s="25" t="s">
        <v>291</v>
      </c>
      <c r="O98" s="25"/>
      <c r="P98" s="25" t="s">
        <v>292</v>
      </c>
      <c r="T98" s="468"/>
      <c r="U98" s="132"/>
      <c r="V98" s="137"/>
      <c r="W98" s="461"/>
      <c r="X98" s="138"/>
      <c r="Y98" s="461"/>
      <c r="Z98" s="138"/>
      <c r="AB98" s="45" t="b">
        <v>0</v>
      </c>
      <c r="AC98" s="9" t="s">
        <v>293</v>
      </c>
      <c r="AD98" s="138"/>
      <c r="AE98" s="105"/>
    </row>
    <row r="99" spans="1:31" ht="15" thickBot="1" x14ac:dyDescent="0.4">
      <c r="A99" s="529"/>
      <c r="B99" s="250">
        <f>B98+1</f>
        <v>183</v>
      </c>
      <c r="C99" s="539"/>
      <c r="G99" s="538"/>
      <c r="K99" s="538"/>
      <c r="M99" s="64" t="b">
        <v>0</v>
      </c>
      <c r="N99" t="s">
        <v>294</v>
      </c>
      <c r="P99" t="s">
        <v>295</v>
      </c>
      <c r="T99" s="468"/>
      <c r="U99" s="132"/>
      <c r="V99" s="137"/>
      <c r="W99" s="461"/>
      <c r="X99" s="138"/>
      <c r="Y99" s="461"/>
      <c r="Z99" s="138"/>
      <c r="AD99" s="134"/>
      <c r="AE99" s="66"/>
    </row>
    <row r="100" spans="1:31" ht="5.15" customHeight="1" thickBot="1" x14ac:dyDescent="0.4">
      <c r="A100" s="117"/>
      <c r="B100" s="118"/>
      <c r="C100" s="130"/>
      <c r="D100" s="118"/>
      <c r="E100" s="118"/>
      <c r="F100" s="118"/>
      <c r="G100" s="130"/>
      <c r="H100" s="118"/>
      <c r="I100" s="118"/>
      <c r="J100" s="118"/>
      <c r="K100" s="130"/>
      <c r="L100" s="118"/>
      <c r="M100" s="118"/>
      <c r="N100" s="118"/>
      <c r="O100" s="118"/>
      <c r="P100" s="118"/>
      <c r="Q100" s="118"/>
      <c r="R100" s="277"/>
      <c r="S100" s="118"/>
      <c r="T100" s="467"/>
      <c r="U100" s="130"/>
      <c r="V100" s="467"/>
      <c r="W100" s="467"/>
      <c r="X100" s="467"/>
      <c r="Y100" s="467"/>
      <c r="Z100" s="467"/>
      <c r="AA100" s="118"/>
      <c r="AB100" s="118"/>
      <c r="AC100" s="118"/>
      <c r="AD100" s="130"/>
      <c r="AE100" s="119"/>
    </row>
    <row r="101" spans="1:31" ht="4.5" customHeight="1" x14ac:dyDescent="0.35">
      <c r="A101" s="528">
        <f>A96+1</f>
        <v>19</v>
      </c>
      <c r="B101" s="249">
        <f>B96+10</f>
        <v>190</v>
      </c>
      <c r="C101" s="129"/>
      <c r="D101" s="62"/>
      <c r="E101" s="62"/>
      <c r="F101" s="62"/>
      <c r="G101" s="129"/>
      <c r="H101" s="62"/>
      <c r="I101" s="62"/>
      <c r="J101" s="62"/>
      <c r="K101" s="129"/>
      <c r="L101" s="62"/>
      <c r="M101" s="62"/>
      <c r="N101" s="62"/>
      <c r="O101" s="62"/>
      <c r="P101" s="62"/>
      <c r="Q101" s="62"/>
      <c r="R101" s="244"/>
      <c r="S101" s="62"/>
      <c r="T101" s="466"/>
      <c r="U101" s="129"/>
      <c r="V101" s="466"/>
      <c r="W101" s="466"/>
      <c r="X101" s="466"/>
      <c r="Y101" s="466"/>
      <c r="Z101" s="466"/>
      <c r="AA101" s="62"/>
      <c r="AB101" s="62"/>
      <c r="AC101" s="62"/>
      <c r="AD101" s="129"/>
      <c r="AE101" s="71"/>
    </row>
    <row r="102" spans="1:31" ht="29" x14ac:dyDescent="0.35">
      <c r="A102" s="529"/>
      <c r="B102" s="250">
        <f>B97+10</f>
        <v>191</v>
      </c>
      <c r="C102" s="770"/>
      <c r="D102" s="3"/>
      <c r="E102" s="10"/>
      <c r="F102" s="3"/>
      <c r="G102" s="770"/>
      <c r="H102" s="3"/>
      <c r="I102" s="781"/>
      <c r="J102" s="3"/>
      <c r="K102" s="770"/>
      <c r="L102" s="3"/>
      <c r="M102" s="64" t="b">
        <v>0</v>
      </c>
      <c r="N102" t="s">
        <v>288</v>
      </c>
      <c r="O102" s="3"/>
      <c r="P102" s="3" t="s">
        <v>289</v>
      </c>
      <c r="Q102" s="3"/>
      <c r="R102" s="235"/>
      <c r="S102" s="3"/>
      <c r="T102" s="468"/>
      <c r="U102" s="131"/>
      <c r="V102" s="137"/>
      <c r="W102" s="138"/>
      <c r="X102" s="138"/>
      <c r="Y102" s="138"/>
      <c r="Z102" s="138"/>
      <c r="AA102" s="3"/>
      <c r="AB102" s="45" t="b">
        <v>0</v>
      </c>
      <c r="AC102" s="9" t="s">
        <v>290</v>
      </c>
      <c r="AD102" s="137" t="s">
        <v>107</v>
      </c>
      <c r="AE102" s="66"/>
    </row>
    <row r="103" spans="1:31" ht="29" x14ac:dyDescent="0.35">
      <c r="A103" s="529"/>
      <c r="B103" s="250">
        <f>B102+1</f>
        <v>192</v>
      </c>
      <c r="C103" s="538"/>
      <c r="G103" s="538"/>
      <c r="I103" s="782"/>
      <c r="K103" s="538"/>
      <c r="M103" s="284" t="b">
        <v>0</v>
      </c>
      <c r="N103" s="25" t="s">
        <v>291</v>
      </c>
      <c r="O103" s="25"/>
      <c r="P103" s="25" t="s">
        <v>292</v>
      </c>
      <c r="T103" s="468"/>
      <c r="U103" s="132"/>
      <c r="V103" s="137"/>
      <c r="W103" s="461"/>
      <c r="X103" s="138"/>
      <c r="Y103" s="461"/>
      <c r="Z103" s="138"/>
      <c r="AB103" s="45" t="b">
        <v>0</v>
      </c>
      <c r="AC103" s="9" t="s">
        <v>293</v>
      </c>
      <c r="AD103" s="138"/>
      <c r="AE103" s="105"/>
    </row>
    <row r="104" spans="1:31" ht="15" thickBot="1" x14ac:dyDescent="0.4">
      <c r="A104" s="529"/>
      <c r="B104" s="250">
        <f>B103+1</f>
        <v>193</v>
      </c>
      <c r="C104" s="539"/>
      <c r="G104" s="538"/>
      <c r="K104" s="538"/>
      <c r="M104" s="64" t="b">
        <v>0</v>
      </c>
      <c r="N104" t="s">
        <v>294</v>
      </c>
      <c r="P104" t="s">
        <v>295</v>
      </c>
      <c r="T104" s="468"/>
      <c r="U104" s="132"/>
      <c r="V104" s="137"/>
      <c r="W104" s="461"/>
      <c r="X104" s="138"/>
      <c r="Y104" s="461"/>
      <c r="Z104" s="138"/>
      <c r="AD104" s="134"/>
      <c r="AE104" s="66"/>
    </row>
    <row r="105" spans="1:31" ht="5.15" customHeight="1" thickBot="1" x14ac:dyDescent="0.4">
      <c r="A105" s="117"/>
      <c r="B105" s="118"/>
      <c r="C105" s="130"/>
      <c r="D105" s="118"/>
      <c r="E105" s="118"/>
      <c r="F105" s="118"/>
      <c r="G105" s="130"/>
      <c r="H105" s="118"/>
      <c r="I105" s="118"/>
      <c r="J105" s="118"/>
      <c r="K105" s="130"/>
      <c r="L105" s="118"/>
      <c r="M105" s="118"/>
      <c r="N105" s="118"/>
      <c r="O105" s="118"/>
      <c r="P105" s="118"/>
      <c r="Q105" s="118"/>
      <c r="R105" s="277"/>
      <c r="S105" s="118"/>
      <c r="T105" s="467"/>
      <c r="U105" s="130"/>
      <c r="V105" s="467"/>
      <c r="W105" s="467"/>
      <c r="X105" s="467"/>
      <c r="Y105" s="467"/>
      <c r="Z105" s="467"/>
      <c r="AA105" s="118"/>
      <c r="AB105" s="118"/>
      <c r="AC105" s="118"/>
      <c r="AD105" s="130"/>
      <c r="AE105" s="119"/>
    </row>
    <row r="106" spans="1:31" ht="5.25" customHeight="1" x14ac:dyDescent="0.35">
      <c r="A106" s="528">
        <f>A101+1</f>
        <v>20</v>
      </c>
      <c r="B106" s="249">
        <f>B101+10</f>
        <v>200</v>
      </c>
      <c r="C106" s="129"/>
      <c r="D106" s="62"/>
      <c r="E106" s="62"/>
      <c r="F106" s="62"/>
      <c r="G106" s="129"/>
      <c r="H106" s="62"/>
      <c r="I106" s="3" t="s">
        <v>167</v>
      </c>
      <c r="J106" s="62"/>
      <c r="K106" s="129"/>
      <c r="L106" s="62"/>
      <c r="M106" s="62"/>
      <c r="N106" s="62"/>
      <c r="O106" s="62"/>
      <c r="P106" s="62"/>
      <c r="Q106" s="62"/>
      <c r="R106" s="244"/>
      <c r="S106" s="62"/>
      <c r="T106" s="466"/>
      <c r="U106" s="129"/>
      <c r="V106" s="466"/>
      <c r="W106" s="466"/>
      <c r="X106" s="466"/>
      <c r="Y106" s="466"/>
      <c r="Z106" s="466"/>
      <c r="AA106" s="62"/>
      <c r="AB106" s="62"/>
      <c r="AC106" s="62"/>
      <c r="AD106" s="129"/>
      <c r="AE106" s="71"/>
    </row>
    <row r="107" spans="1:31" ht="29" x14ac:dyDescent="0.35">
      <c r="A107" s="529"/>
      <c r="B107" s="250">
        <f>B102+10</f>
        <v>201</v>
      </c>
      <c r="C107" s="770"/>
      <c r="D107" s="3"/>
      <c r="E107" s="10"/>
      <c r="F107" s="3"/>
      <c r="G107" s="770"/>
      <c r="H107" s="3"/>
      <c r="I107" s="781"/>
      <c r="J107" s="3"/>
      <c r="K107" s="770"/>
      <c r="L107" s="3"/>
      <c r="M107" s="64" t="b">
        <v>0</v>
      </c>
      <c r="N107" t="s">
        <v>288</v>
      </c>
      <c r="O107" s="3"/>
      <c r="P107" s="3" t="s">
        <v>289</v>
      </c>
      <c r="Q107" s="3"/>
      <c r="R107" s="235"/>
      <c r="S107" s="3"/>
      <c r="T107" s="468"/>
      <c r="U107" s="131"/>
      <c r="V107" s="137"/>
      <c r="W107" s="138"/>
      <c r="X107" s="138"/>
      <c r="Y107" s="138"/>
      <c r="Z107" s="138"/>
      <c r="AA107" s="3"/>
      <c r="AB107" s="45" t="b">
        <v>0</v>
      </c>
      <c r="AC107" s="9" t="s">
        <v>290</v>
      </c>
      <c r="AD107" s="137" t="s">
        <v>107</v>
      </c>
      <c r="AE107" s="66"/>
    </row>
    <row r="108" spans="1:31" ht="29" x14ac:dyDescent="0.35">
      <c r="A108" s="529"/>
      <c r="B108" s="250">
        <f>B107+1</f>
        <v>202</v>
      </c>
      <c r="C108" s="538"/>
      <c r="G108" s="538"/>
      <c r="I108" s="782"/>
      <c r="K108" s="538"/>
      <c r="M108" s="284" t="b">
        <v>0</v>
      </c>
      <c r="N108" s="25" t="s">
        <v>291</v>
      </c>
      <c r="O108" s="25"/>
      <c r="P108" s="25" t="s">
        <v>292</v>
      </c>
      <c r="T108" s="468"/>
      <c r="U108" s="132"/>
      <c r="V108" s="137"/>
      <c r="W108" s="461"/>
      <c r="X108" s="138"/>
      <c r="Y108" s="461"/>
      <c r="Z108" s="138"/>
      <c r="AB108" s="45" t="b">
        <v>0</v>
      </c>
      <c r="AC108" s="9" t="s">
        <v>293</v>
      </c>
      <c r="AD108" s="138"/>
      <c r="AE108" s="105"/>
    </row>
    <row r="109" spans="1:31" ht="15" thickBot="1" x14ac:dyDescent="0.4">
      <c r="A109" s="529"/>
      <c r="B109" s="250">
        <f>B108+1</f>
        <v>203</v>
      </c>
      <c r="C109" s="539"/>
      <c r="G109" s="538"/>
      <c r="K109" s="538"/>
      <c r="M109" s="64" t="b">
        <v>0</v>
      </c>
      <c r="N109" t="s">
        <v>294</v>
      </c>
      <c r="P109" t="s">
        <v>295</v>
      </c>
      <c r="T109" s="468"/>
      <c r="U109" s="132"/>
      <c r="V109" s="137"/>
      <c r="W109" s="461"/>
      <c r="X109" s="138"/>
      <c r="Y109" s="461"/>
      <c r="Z109" s="138"/>
      <c r="AD109" s="134"/>
      <c r="AE109" s="66"/>
    </row>
    <row r="110" spans="1:31" ht="5.15" customHeight="1" thickBot="1" x14ac:dyDescent="0.4">
      <c r="A110" s="117"/>
      <c r="B110" s="118"/>
      <c r="C110" s="118"/>
      <c r="D110" s="118"/>
      <c r="E110" s="118"/>
      <c r="F110" s="118"/>
      <c r="G110" s="118"/>
      <c r="H110" s="118"/>
      <c r="I110" s="118"/>
      <c r="J110" s="118"/>
      <c r="K110" s="118"/>
      <c r="L110" s="118"/>
      <c r="M110" s="118"/>
      <c r="N110" s="118"/>
      <c r="O110" s="118"/>
      <c r="P110" s="118"/>
      <c r="Q110" s="118"/>
      <c r="R110" s="277"/>
      <c r="S110" s="118"/>
      <c r="T110" s="118"/>
      <c r="U110" s="118"/>
      <c r="V110" s="281"/>
      <c r="W110" s="281"/>
      <c r="X110" s="281"/>
      <c r="Y110" s="281"/>
      <c r="Z110" s="281"/>
      <c r="AA110" s="118"/>
      <c r="AB110" s="118"/>
      <c r="AC110" s="118"/>
      <c r="AD110" s="118"/>
      <c r="AE110" s="119"/>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78" priority="21" operator="equal">
      <formula>"Please fill out Sensitivity Labels Tab"</formula>
    </cfRule>
  </conditionalFormatting>
  <conditionalFormatting sqref="I17:I18">
    <cfRule type="cellIs" dxfId="577" priority="20" operator="equal">
      <formula>"Please fill out Sensitivity Labels Tab"</formula>
    </cfRule>
  </conditionalFormatting>
  <conditionalFormatting sqref="I22:I23">
    <cfRule type="cellIs" dxfId="576" priority="19" operator="equal">
      <formula>"Please fill out Sensitivity Labels Tab"</formula>
    </cfRule>
  </conditionalFormatting>
  <conditionalFormatting sqref="I27:I28">
    <cfRule type="cellIs" dxfId="575" priority="18" operator="equal">
      <formula>"Please fill out Sensitivity Labels Tab"</formula>
    </cfRule>
  </conditionalFormatting>
  <conditionalFormatting sqref="I32:I33">
    <cfRule type="cellIs" dxfId="574" priority="17" operator="equal">
      <formula>"Please fill out Sensitivity Labels Tab"</formula>
    </cfRule>
  </conditionalFormatting>
  <conditionalFormatting sqref="I37:I38">
    <cfRule type="cellIs" dxfId="573" priority="16" operator="equal">
      <formula>"Please fill out Sensitivity Labels Tab"</formula>
    </cfRule>
  </conditionalFormatting>
  <conditionalFormatting sqref="I42:I43">
    <cfRule type="cellIs" dxfId="572" priority="15" operator="equal">
      <formula>"Please fill out Sensitivity Labels Tab"</formula>
    </cfRule>
  </conditionalFormatting>
  <conditionalFormatting sqref="I47:I48">
    <cfRule type="cellIs" dxfId="571" priority="14" operator="equal">
      <formula>"Please fill out Sensitivity Labels Tab"</formula>
    </cfRule>
  </conditionalFormatting>
  <conditionalFormatting sqref="I52:I53">
    <cfRule type="cellIs" dxfId="570" priority="13" operator="equal">
      <formula>"Please fill out Sensitivity Labels Tab"</formula>
    </cfRule>
  </conditionalFormatting>
  <conditionalFormatting sqref="I57:I58">
    <cfRule type="cellIs" dxfId="569" priority="12" operator="equal">
      <formula>"Please fill out Sensitivity Labels Tab"</formula>
    </cfRule>
  </conditionalFormatting>
  <conditionalFormatting sqref="I62:I63">
    <cfRule type="cellIs" dxfId="568" priority="11" operator="equal">
      <formula>"Please fill out Sensitivity Labels Tab"</formula>
    </cfRule>
  </conditionalFormatting>
  <conditionalFormatting sqref="I67:I68">
    <cfRule type="cellIs" dxfId="567" priority="10" operator="equal">
      <formula>"Please fill out Sensitivity Labels Tab"</formula>
    </cfRule>
  </conditionalFormatting>
  <conditionalFormatting sqref="I72:I73">
    <cfRule type="cellIs" dxfId="566" priority="9" operator="equal">
      <formula>"Please fill out Sensitivity Labels Tab"</formula>
    </cfRule>
  </conditionalFormatting>
  <conditionalFormatting sqref="I77:I78">
    <cfRule type="cellIs" dxfId="565" priority="8" operator="equal">
      <formula>"Please fill out Sensitivity Labels Tab"</formula>
    </cfRule>
  </conditionalFormatting>
  <conditionalFormatting sqref="I82:I83">
    <cfRule type="cellIs" dxfId="564" priority="7" operator="equal">
      <formula>"Please fill out Sensitivity Labels Tab"</formula>
    </cfRule>
  </conditionalFormatting>
  <conditionalFormatting sqref="I87:I88">
    <cfRule type="cellIs" dxfId="563" priority="6" operator="equal">
      <formula>"Please fill out Sensitivity Labels Tab"</formula>
    </cfRule>
  </conditionalFormatting>
  <conditionalFormatting sqref="I92:I93">
    <cfRule type="cellIs" dxfId="562" priority="5" operator="equal">
      <formula>"Please fill out Sensitivity Labels Tab"</formula>
    </cfRule>
  </conditionalFormatting>
  <conditionalFormatting sqref="I97:I98">
    <cfRule type="cellIs" dxfId="561" priority="4" operator="equal">
      <formula>"Please fill out Sensitivity Labels Tab"</formula>
    </cfRule>
  </conditionalFormatting>
  <conditionalFormatting sqref="I102:I103">
    <cfRule type="cellIs" dxfId="560" priority="3" operator="equal">
      <formula>"Please fill out Sensitivity Labels Tab"</formula>
    </cfRule>
  </conditionalFormatting>
  <conditionalFormatting sqref="I107:I108">
    <cfRule type="cellIs" dxfId="559" priority="2" operator="equal">
      <formula>"Please fill out Sensitivity Labels Tab"</formula>
    </cfRule>
  </conditionalFormatting>
  <conditionalFormatting sqref="T2">
    <cfRule type="expression" dxfId="557" priority="85">
      <formula>$T$1&gt;0</formula>
    </cfRule>
  </conditionalFormatting>
  <conditionalFormatting sqref="T9">
    <cfRule type="expression" dxfId="556" priority="584">
      <formula>$T$1&gt;0</formula>
    </cfRule>
  </conditionalFormatting>
  <conditionalFormatting sqref="AB2">
    <cfRule type="expression" dxfId="469" priority="601">
      <formula>OR(M12,M17,M22,M27,M32,M37,M42,M47,M52,M57,M62,M67,M72,M77,M82,M87,M92,M97,M102,M107)=TRUE</formula>
    </cfRule>
  </conditionalFormatting>
  <conditionalFormatting sqref="AB12">
    <cfRule type="expression" dxfId="468" priority="301">
      <formula>M12=TRUE</formula>
    </cfRule>
  </conditionalFormatting>
  <conditionalFormatting sqref="AB13">
    <cfRule type="expression" dxfId="467" priority="300">
      <formula>M12=TRUE</formula>
    </cfRule>
  </conditionalFormatting>
  <conditionalFormatting sqref="AB17">
    <cfRule type="expression" dxfId="466" priority="290">
      <formula>M17=TRUE</formula>
    </cfRule>
  </conditionalFormatting>
  <conditionalFormatting sqref="AB18">
    <cfRule type="expression" dxfId="465" priority="289">
      <formula>M17=TRUE</formula>
    </cfRule>
  </conditionalFormatting>
  <conditionalFormatting sqref="AB22">
    <cfRule type="expression" dxfId="464" priority="279">
      <formula>M22=TRUE</formula>
    </cfRule>
  </conditionalFormatting>
  <conditionalFormatting sqref="AB23">
    <cfRule type="expression" dxfId="463" priority="278">
      <formula>M22=TRUE</formula>
    </cfRule>
  </conditionalFormatting>
  <conditionalFormatting sqref="AB27">
    <cfRule type="expression" dxfId="462" priority="268">
      <formula>M27=TRUE</formula>
    </cfRule>
  </conditionalFormatting>
  <conditionalFormatting sqref="AB28">
    <cfRule type="expression" dxfId="461" priority="267">
      <formula>M27=TRUE</formula>
    </cfRule>
  </conditionalFormatting>
  <conditionalFormatting sqref="AB32">
    <cfRule type="expression" dxfId="460" priority="257">
      <formula>M32=TRUE</formula>
    </cfRule>
  </conditionalFormatting>
  <conditionalFormatting sqref="AB33">
    <cfRule type="expression" dxfId="459" priority="256">
      <formula>M32=TRUE</formula>
    </cfRule>
  </conditionalFormatting>
  <conditionalFormatting sqref="AB37">
    <cfRule type="expression" dxfId="458" priority="246">
      <formula>M37=TRUE</formula>
    </cfRule>
  </conditionalFormatting>
  <conditionalFormatting sqref="AB38">
    <cfRule type="expression" dxfId="457" priority="245">
      <formula>M37=TRUE</formula>
    </cfRule>
  </conditionalFormatting>
  <conditionalFormatting sqref="AB42">
    <cfRule type="expression" dxfId="456" priority="235">
      <formula>M42=TRUE</formula>
    </cfRule>
  </conditionalFormatting>
  <conditionalFormatting sqref="AB43">
    <cfRule type="expression" dxfId="455" priority="234">
      <formula>M42=TRUE</formula>
    </cfRule>
  </conditionalFormatting>
  <conditionalFormatting sqref="AB47">
    <cfRule type="expression" dxfId="454" priority="224">
      <formula>M47=TRUE</formula>
    </cfRule>
  </conditionalFormatting>
  <conditionalFormatting sqref="AB48">
    <cfRule type="expression" dxfId="453" priority="223">
      <formula>M47=TRUE</formula>
    </cfRule>
  </conditionalFormatting>
  <conditionalFormatting sqref="AB52">
    <cfRule type="expression" dxfId="452" priority="213">
      <formula>M52=TRUE</formula>
    </cfRule>
  </conditionalFormatting>
  <conditionalFormatting sqref="AB53">
    <cfRule type="expression" dxfId="451" priority="212">
      <formula>M52=TRUE</formula>
    </cfRule>
  </conditionalFormatting>
  <conditionalFormatting sqref="AB57">
    <cfRule type="expression" dxfId="450" priority="202">
      <formula>M57=TRUE</formula>
    </cfRule>
  </conditionalFormatting>
  <conditionalFormatting sqref="AB58">
    <cfRule type="expression" dxfId="449" priority="201">
      <formula>M57=TRUE</formula>
    </cfRule>
  </conditionalFormatting>
  <conditionalFormatting sqref="AB62">
    <cfRule type="expression" dxfId="448" priority="191">
      <formula>M62=TRUE</formula>
    </cfRule>
  </conditionalFormatting>
  <conditionalFormatting sqref="AB63">
    <cfRule type="expression" dxfId="447" priority="190">
      <formula>M62=TRUE</formula>
    </cfRule>
  </conditionalFormatting>
  <conditionalFormatting sqref="AB67">
    <cfRule type="expression" dxfId="446" priority="180">
      <formula>M67=TRUE</formula>
    </cfRule>
  </conditionalFormatting>
  <conditionalFormatting sqref="AB68">
    <cfRule type="expression" dxfId="445" priority="179">
      <formula>M67=TRUE</formula>
    </cfRule>
  </conditionalFormatting>
  <conditionalFormatting sqref="AB72">
    <cfRule type="expression" dxfId="444" priority="169">
      <formula>M72=TRUE</formula>
    </cfRule>
  </conditionalFormatting>
  <conditionalFormatting sqref="AB73">
    <cfRule type="expression" dxfId="443" priority="168">
      <formula>M72=TRUE</formula>
    </cfRule>
  </conditionalFormatting>
  <conditionalFormatting sqref="AB77">
    <cfRule type="expression" dxfId="442" priority="158">
      <formula>M77=TRUE</formula>
    </cfRule>
  </conditionalFormatting>
  <conditionalFormatting sqref="AB78">
    <cfRule type="expression" dxfId="441" priority="157">
      <formula>M77=TRUE</formula>
    </cfRule>
  </conditionalFormatting>
  <conditionalFormatting sqref="AB82">
    <cfRule type="expression" dxfId="440" priority="147">
      <formula>M82=TRUE</formula>
    </cfRule>
  </conditionalFormatting>
  <conditionalFormatting sqref="AB83">
    <cfRule type="expression" dxfId="439" priority="146">
      <formula>M82=TRUE</formula>
    </cfRule>
  </conditionalFormatting>
  <conditionalFormatting sqref="AB87">
    <cfRule type="expression" dxfId="438" priority="136">
      <formula>M87=TRUE</formula>
    </cfRule>
  </conditionalFormatting>
  <conditionalFormatting sqref="AB88">
    <cfRule type="expression" dxfId="437" priority="135">
      <formula>M87=TRUE</formula>
    </cfRule>
  </conditionalFormatting>
  <conditionalFormatting sqref="AB92">
    <cfRule type="expression" dxfId="436" priority="125">
      <formula>M92=TRUE</formula>
    </cfRule>
  </conditionalFormatting>
  <conditionalFormatting sqref="AB93">
    <cfRule type="expression" dxfId="435" priority="124">
      <formula>M92=TRUE</formula>
    </cfRule>
  </conditionalFormatting>
  <conditionalFormatting sqref="AB97">
    <cfRule type="expression" dxfId="434" priority="114">
      <formula>M97=TRUE</formula>
    </cfRule>
  </conditionalFormatting>
  <conditionalFormatting sqref="AB98">
    <cfRule type="expression" dxfId="433" priority="113">
      <formula>M97=TRUE</formula>
    </cfRule>
  </conditionalFormatting>
  <conditionalFormatting sqref="AB102">
    <cfRule type="expression" dxfId="432" priority="103">
      <formula>M102=TRUE</formula>
    </cfRule>
  </conditionalFormatting>
  <conditionalFormatting sqref="AB103">
    <cfRule type="expression" dxfId="431" priority="102">
      <formula>M102=TRUE</formula>
    </cfRule>
  </conditionalFormatting>
  <conditionalFormatting sqref="AB107">
    <cfRule type="expression" dxfId="430" priority="92">
      <formula>M107=TRUE</formula>
    </cfRule>
  </conditionalFormatting>
  <conditionalFormatting sqref="AB108">
    <cfRule type="expression" dxfId="429" priority="91">
      <formula>M107=TRUE</formula>
    </cfRule>
  </conditionalFormatting>
  <conditionalFormatting sqref="AC12">
    <cfRule type="expression" dxfId="428" priority="302">
      <formula>M12=TRUE</formula>
    </cfRule>
  </conditionalFormatting>
  <conditionalFormatting sqref="AC13">
    <cfRule type="expression" dxfId="427" priority="303">
      <formula>M12=TRUE</formula>
    </cfRule>
  </conditionalFormatting>
  <conditionalFormatting sqref="AC17">
    <cfRule type="expression" dxfId="426" priority="291">
      <formula>M17=TRUE</formula>
    </cfRule>
  </conditionalFormatting>
  <conditionalFormatting sqref="AC18">
    <cfRule type="expression" dxfId="425" priority="292">
      <formula>M17=TRUE</formula>
    </cfRule>
  </conditionalFormatting>
  <conditionalFormatting sqref="AC22">
    <cfRule type="expression" dxfId="424" priority="280">
      <formula>M22=TRUE</formula>
    </cfRule>
  </conditionalFormatting>
  <conditionalFormatting sqref="AC23">
    <cfRule type="expression" dxfId="423" priority="281">
      <formula>M22=TRUE</formula>
    </cfRule>
  </conditionalFormatting>
  <conditionalFormatting sqref="AC27">
    <cfRule type="expression" dxfId="422" priority="269">
      <formula>M27=TRUE</formula>
    </cfRule>
  </conditionalFormatting>
  <conditionalFormatting sqref="AC28">
    <cfRule type="expression" dxfId="421" priority="270">
      <formula>M27=TRUE</formula>
    </cfRule>
  </conditionalFormatting>
  <conditionalFormatting sqref="AC32">
    <cfRule type="expression" dxfId="420" priority="258">
      <formula>M32=TRUE</formula>
    </cfRule>
  </conditionalFormatting>
  <conditionalFormatting sqref="AC33">
    <cfRule type="expression" dxfId="419" priority="259">
      <formula>M32=TRUE</formula>
    </cfRule>
  </conditionalFormatting>
  <conditionalFormatting sqref="AC37">
    <cfRule type="expression" dxfId="418" priority="247">
      <formula>M37=TRUE</formula>
    </cfRule>
  </conditionalFormatting>
  <conditionalFormatting sqref="AC38">
    <cfRule type="expression" dxfId="417" priority="248">
      <formula>M37=TRUE</formula>
    </cfRule>
  </conditionalFormatting>
  <conditionalFormatting sqref="AC42">
    <cfRule type="expression" dxfId="416" priority="236">
      <formula>M42=TRUE</formula>
    </cfRule>
  </conditionalFormatting>
  <conditionalFormatting sqref="AC43">
    <cfRule type="expression" dxfId="415" priority="237">
      <formula>M42=TRUE</formula>
    </cfRule>
  </conditionalFormatting>
  <conditionalFormatting sqref="AC47">
    <cfRule type="expression" dxfId="414" priority="225">
      <formula>M47=TRUE</formula>
    </cfRule>
  </conditionalFormatting>
  <conditionalFormatting sqref="AC48">
    <cfRule type="expression" dxfId="413" priority="226">
      <formula>M47=TRUE</formula>
    </cfRule>
  </conditionalFormatting>
  <conditionalFormatting sqref="AC52">
    <cfRule type="expression" dxfId="412" priority="214">
      <formula>M52=TRUE</formula>
    </cfRule>
  </conditionalFormatting>
  <conditionalFormatting sqref="AC53">
    <cfRule type="expression" dxfId="411" priority="215">
      <formula>M52=TRUE</formula>
    </cfRule>
  </conditionalFormatting>
  <conditionalFormatting sqref="AC57">
    <cfRule type="expression" dxfId="410" priority="203">
      <formula>M57=TRUE</formula>
    </cfRule>
  </conditionalFormatting>
  <conditionalFormatting sqref="AC58">
    <cfRule type="expression" dxfId="409" priority="204">
      <formula>M57=TRUE</formula>
    </cfRule>
  </conditionalFormatting>
  <conditionalFormatting sqref="AC62">
    <cfRule type="expression" dxfId="408" priority="192">
      <formula>M62=TRUE</formula>
    </cfRule>
  </conditionalFormatting>
  <conditionalFormatting sqref="AC63">
    <cfRule type="expression" dxfId="407" priority="193">
      <formula>M62=TRUE</formula>
    </cfRule>
  </conditionalFormatting>
  <conditionalFormatting sqref="AC67">
    <cfRule type="expression" dxfId="406" priority="181">
      <formula>M67=TRUE</formula>
    </cfRule>
  </conditionalFormatting>
  <conditionalFormatting sqref="AC68">
    <cfRule type="expression" dxfId="405" priority="182">
      <formula>M67=TRUE</formula>
    </cfRule>
  </conditionalFormatting>
  <conditionalFormatting sqref="AC72">
    <cfRule type="expression" dxfId="404" priority="170">
      <formula>M72=TRUE</formula>
    </cfRule>
  </conditionalFormatting>
  <conditionalFormatting sqref="AC73">
    <cfRule type="expression" dxfId="403" priority="171">
      <formula>M72=TRUE</formula>
    </cfRule>
  </conditionalFormatting>
  <conditionalFormatting sqref="AC77">
    <cfRule type="expression" dxfId="402" priority="159">
      <formula>M77=TRUE</formula>
    </cfRule>
  </conditionalFormatting>
  <conditionalFormatting sqref="AC78">
    <cfRule type="expression" dxfId="401" priority="160">
      <formula>M77=TRUE</formula>
    </cfRule>
  </conditionalFormatting>
  <conditionalFormatting sqref="AC82">
    <cfRule type="expression" dxfId="400" priority="148">
      <formula>M82=TRUE</formula>
    </cfRule>
  </conditionalFormatting>
  <conditionalFormatting sqref="AC83">
    <cfRule type="expression" dxfId="399" priority="149">
      <formula>M82=TRUE</formula>
    </cfRule>
  </conditionalFormatting>
  <conditionalFormatting sqref="AC87">
    <cfRule type="expression" dxfId="398" priority="137">
      <formula>M87=TRUE</formula>
    </cfRule>
  </conditionalFormatting>
  <conditionalFormatting sqref="AC88">
    <cfRule type="expression" dxfId="397" priority="138">
      <formula>M87=TRUE</formula>
    </cfRule>
  </conditionalFormatting>
  <conditionalFormatting sqref="AC92">
    <cfRule type="expression" dxfId="396" priority="126">
      <formula>M92=TRUE</formula>
    </cfRule>
  </conditionalFormatting>
  <conditionalFormatting sqref="AC93">
    <cfRule type="expression" dxfId="395" priority="127">
      <formula>M92=TRUE</formula>
    </cfRule>
  </conditionalFormatting>
  <conditionalFormatting sqref="AC97">
    <cfRule type="expression" dxfId="394" priority="115">
      <formula>M97=TRUE</formula>
    </cfRule>
  </conditionalFormatting>
  <conditionalFormatting sqref="AC98">
    <cfRule type="expression" dxfId="393" priority="116">
      <formula>M97=TRUE</formula>
    </cfRule>
  </conditionalFormatting>
  <conditionalFormatting sqref="AC102">
    <cfRule type="expression" dxfId="392" priority="104">
      <formula>M102=TRUE</formula>
    </cfRule>
  </conditionalFormatting>
  <conditionalFormatting sqref="AC103">
    <cfRule type="expression" dxfId="391" priority="105">
      <formula>M102=TRUE</formula>
    </cfRule>
  </conditionalFormatting>
  <conditionalFormatting sqref="AC107">
    <cfRule type="expression" dxfId="390" priority="93">
      <formula>M107=TRUE</formula>
    </cfRule>
  </conditionalFormatting>
  <conditionalFormatting sqref="AC108">
    <cfRule type="expression" dxfId="389" priority="94">
      <formula>M107=TRUE</formula>
    </cfRule>
  </conditionalFormatting>
  <conditionalFormatting sqref="AC9:AD9">
    <cfRule type="expression" dxfId="388" priority="609">
      <formula>OR(M12,M17,M22,M27,M32,M37,M42,M47,M52,M57,M62,M67,M72,M77,M82,M87,M92,M97,M102,M107)=TRUE</formula>
    </cfRule>
  </conditionalFormatting>
  <conditionalFormatting sqref="AD12">
    <cfRule type="expression" dxfId="387" priority="597">
      <formula>M12=FALSE</formula>
    </cfRule>
    <cfRule type="expression" dxfId="386" priority="598">
      <formula>AB13=TRUE</formula>
    </cfRule>
  </conditionalFormatting>
  <conditionalFormatting sqref="AD13">
    <cfRule type="expression" dxfId="385" priority="615">
      <formula>AND(AB13,M12)=TRUE</formula>
    </cfRule>
  </conditionalFormatting>
  <conditionalFormatting sqref="AD17">
    <cfRule type="expression" dxfId="384" priority="76">
      <formula>M17=FALSE</formula>
    </cfRule>
    <cfRule type="expression" dxfId="383" priority="77">
      <formula>AB18=TRUE</formula>
    </cfRule>
  </conditionalFormatting>
  <conditionalFormatting sqref="AD18">
    <cfRule type="expression" dxfId="382" priority="78">
      <formula>AND(AB18,M17)=TRUE</formula>
    </cfRule>
  </conditionalFormatting>
  <conditionalFormatting sqref="AD22">
    <cfRule type="expression" dxfId="381" priority="73">
      <formula>M22=FALSE</formula>
    </cfRule>
    <cfRule type="expression" dxfId="380" priority="74">
      <formula>AB23=TRUE</formula>
    </cfRule>
  </conditionalFormatting>
  <conditionalFormatting sqref="AD23">
    <cfRule type="expression" dxfId="379" priority="75">
      <formula>AND(AB23,M22)=TRUE</formula>
    </cfRule>
  </conditionalFormatting>
  <conditionalFormatting sqref="AD27">
    <cfRule type="expression" dxfId="378" priority="71">
      <formula>AB28=TRUE</formula>
    </cfRule>
    <cfRule type="expression" dxfId="377" priority="70">
      <formula>M27=FALSE</formula>
    </cfRule>
  </conditionalFormatting>
  <conditionalFormatting sqref="AD28">
    <cfRule type="expression" dxfId="376" priority="72">
      <formula>AND(AB28,M27)=TRUE</formula>
    </cfRule>
  </conditionalFormatting>
  <conditionalFormatting sqref="AD32">
    <cfRule type="expression" dxfId="375" priority="68">
      <formula>AB33=TRUE</formula>
    </cfRule>
    <cfRule type="expression" dxfId="374" priority="67">
      <formula>M32=FALSE</formula>
    </cfRule>
  </conditionalFormatting>
  <conditionalFormatting sqref="AD33">
    <cfRule type="expression" dxfId="373" priority="69">
      <formula>AND(AB33,M32)=TRUE</formula>
    </cfRule>
  </conditionalFormatting>
  <conditionalFormatting sqref="AD37">
    <cfRule type="expression" dxfId="372" priority="64">
      <formula>M37=FALSE</formula>
    </cfRule>
    <cfRule type="expression" dxfId="371" priority="65">
      <formula>AB38=TRUE</formula>
    </cfRule>
  </conditionalFormatting>
  <conditionalFormatting sqref="AD38">
    <cfRule type="expression" dxfId="370" priority="66">
      <formula>AND(AB38,M37)=TRUE</formula>
    </cfRule>
  </conditionalFormatting>
  <conditionalFormatting sqref="AD42">
    <cfRule type="expression" dxfId="369" priority="62">
      <formula>AB43=TRUE</formula>
    </cfRule>
    <cfRule type="expression" dxfId="368" priority="61">
      <formula>M42=FALSE</formula>
    </cfRule>
  </conditionalFormatting>
  <conditionalFormatting sqref="AD43">
    <cfRule type="expression" dxfId="367" priority="63">
      <formula>AND(AB43,M42)=TRUE</formula>
    </cfRule>
  </conditionalFormatting>
  <conditionalFormatting sqref="AD47">
    <cfRule type="expression" dxfId="366" priority="58">
      <formula>M47=FALSE</formula>
    </cfRule>
    <cfRule type="expression" dxfId="365" priority="59">
      <formula>AB48=TRUE</formula>
    </cfRule>
  </conditionalFormatting>
  <conditionalFormatting sqref="AD48">
    <cfRule type="expression" dxfId="364" priority="60">
      <formula>AND(AB48,M47)=TRUE</formula>
    </cfRule>
  </conditionalFormatting>
  <conditionalFormatting sqref="AD52">
    <cfRule type="expression" dxfId="363" priority="56">
      <formula>AB53=TRUE</formula>
    </cfRule>
    <cfRule type="expression" dxfId="362" priority="55">
      <formula>M52=FALSE</formula>
    </cfRule>
  </conditionalFormatting>
  <conditionalFormatting sqref="AD53">
    <cfRule type="expression" dxfId="361" priority="57">
      <formula>AND(AB53,M52)=TRUE</formula>
    </cfRule>
  </conditionalFormatting>
  <conditionalFormatting sqref="AD57">
    <cfRule type="expression" dxfId="360" priority="53">
      <formula>AB58=TRUE</formula>
    </cfRule>
    <cfRule type="expression" dxfId="359" priority="52">
      <formula>M57=FALSE</formula>
    </cfRule>
  </conditionalFormatting>
  <conditionalFormatting sqref="AD58">
    <cfRule type="expression" dxfId="358" priority="54">
      <formula>AND(AB58,M57)=TRUE</formula>
    </cfRule>
  </conditionalFormatting>
  <conditionalFormatting sqref="AD62">
    <cfRule type="expression" dxfId="357" priority="50">
      <formula>AB63=TRUE</formula>
    </cfRule>
    <cfRule type="expression" dxfId="356" priority="49">
      <formula>M62=FALSE</formula>
    </cfRule>
  </conditionalFormatting>
  <conditionalFormatting sqref="AD63">
    <cfRule type="expression" dxfId="355" priority="51">
      <formula>AND(AB63,M62)=TRUE</formula>
    </cfRule>
  </conditionalFormatting>
  <conditionalFormatting sqref="AD67">
    <cfRule type="expression" dxfId="354" priority="46">
      <formula>M67=FALSE</formula>
    </cfRule>
    <cfRule type="expression" dxfId="353" priority="47">
      <formula>AB68=TRUE</formula>
    </cfRule>
  </conditionalFormatting>
  <conditionalFormatting sqref="AD68">
    <cfRule type="expression" dxfId="352" priority="48">
      <formula>AND(AB68,M67)=TRUE</formula>
    </cfRule>
  </conditionalFormatting>
  <conditionalFormatting sqref="AD72">
    <cfRule type="expression" dxfId="351" priority="43">
      <formula>M72=FALSE</formula>
    </cfRule>
    <cfRule type="expression" dxfId="350" priority="44">
      <formula>AB73=TRUE</formula>
    </cfRule>
  </conditionalFormatting>
  <conditionalFormatting sqref="AD73">
    <cfRule type="expression" dxfId="349" priority="45">
      <formula>AND(AB73,M72)=TRUE</formula>
    </cfRule>
  </conditionalFormatting>
  <conditionalFormatting sqref="AD77">
    <cfRule type="expression" dxfId="348" priority="40">
      <formula>M77=FALSE</formula>
    </cfRule>
    <cfRule type="expression" dxfId="347" priority="41">
      <formula>AB78=TRUE</formula>
    </cfRule>
  </conditionalFormatting>
  <conditionalFormatting sqref="AD78">
    <cfRule type="expression" dxfId="346" priority="42">
      <formula>AND(AB78,M77)=TRUE</formula>
    </cfRule>
  </conditionalFormatting>
  <conditionalFormatting sqref="AD82">
    <cfRule type="expression" dxfId="345" priority="37">
      <formula>M82=FALSE</formula>
    </cfRule>
    <cfRule type="expression" dxfId="344" priority="38">
      <formula>AB83=TRUE</formula>
    </cfRule>
  </conditionalFormatting>
  <conditionalFormatting sqref="AD83">
    <cfRule type="expression" dxfId="343" priority="39">
      <formula>AND(AB83,M82)=TRUE</formula>
    </cfRule>
  </conditionalFormatting>
  <conditionalFormatting sqref="AD87">
    <cfRule type="expression" dxfId="342" priority="34">
      <formula>M87=FALSE</formula>
    </cfRule>
    <cfRule type="expression" dxfId="341" priority="35">
      <formula>AB88=TRUE</formula>
    </cfRule>
  </conditionalFormatting>
  <conditionalFormatting sqref="AD88">
    <cfRule type="expression" dxfId="340" priority="36">
      <formula>AND(AB88,M87)=TRUE</formula>
    </cfRule>
  </conditionalFormatting>
  <conditionalFormatting sqref="AD92">
    <cfRule type="expression" dxfId="339" priority="31">
      <formula>M92=FALSE</formula>
    </cfRule>
    <cfRule type="expression" dxfId="338" priority="32">
      <formula>AB93=TRUE</formula>
    </cfRule>
  </conditionalFormatting>
  <conditionalFormatting sqref="AD93">
    <cfRule type="expression" dxfId="337" priority="33">
      <formula>AND(AB93,M92)=TRUE</formula>
    </cfRule>
  </conditionalFormatting>
  <conditionalFormatting sqref="AD97">
    <cfRule type="expression" dxfId="336" priority="28">
      <formula>M97=FALSE</formula>
    </cfRule>
    <cfRule type="expression" dxfId="335" priority="29">
      <formula>AB98=TRUE</formula>
    </cfRule>
  </conditionalFormatting>
  <conditionalFormatting sqref="AD98">
    <cfRule type="expression" dxfId="334" priority="30">
      <formula>AND(AB98,M97)=TRUE</formula>
    </cfRule>
  </conditionalFormatting>
  <conditionalFormatting sqref="AD102">
    <cfRule type="expression" dxfId="333" priority="25">
      <formula>M102=FALSE</formula>
    </cfRule>
    <cfRule type="expression" dxfId="332" priority="26">
      <formula>AB103=TRUE</formula>
    </cfRule>
  </conditionalFormatting>
  <conditionalFormatting sqref="AD103">
    <cfRule type="expression" dxfId="331" priority="27">
      <formula>AND(AB103,M102)=TRUE</formula>
    </cfRule>
  </conditionalFormatting>
  <conditionalFormatting sqref="AD107">
    <cfRule type="expression" dxfId="330" priority="22">
      <formula>M107=FALSE</formula>
    </cfRule>
    <cfRule type="expression" dxfId="329" priority="23">
      <formula>AB108=TRUE</formula>
    </cfRule>
  </conditionalFormatting>
  <conditionalFormatting sqref="AD108">
    <cfRule type="expression" dxfId="328"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4.5" outlineLevelRow="1" x14ac:dyDescent="0.35"/>
  <cols>
    <col min="1" max="1" width="3.54296875" style="92" customWidth="1"/>
    <col min="2" max="2" width="7.26953125" style="92" hidden="1" customWidth="1"/>
    <col min="3" max="3" width="51.81640625" style="3" customWidth="1"/>
    <col min="4" max="4" width="5.81640625" style="25" customWidth="1"/>
    <col min="5" max="5" width="51.26953125" customWidth="1"/>
    <col min="6" max="6" width="0.54296875" customWidth="1"/>
    <col min="7" max="7" width="47.26953125" style="3" customWidth="1"/>
    <col min="8" max="8" width="0.453125" customWidth="1"/>
    <col min="9" max="9" width="34.7265625" style="3" customWidth="1"/>
    <col min="10" max="10" width="0.36328125" customWidth="1"/>
    <col min="11" max="11" width="49.26953125" style="3" customWidth="1"/>
    <col min="12" max="12" width="2.1796875" customWidth="1"/>
  </cols>
  <sheetData>
    <row r="1" spans="1:37" ht="23.5" x14ac:dyDescent="0.35">
      <c r="A1" s="794" t="s">
        <v>296</v>
      </c>
      <c r="B1" s="794"/>
      <c r="C1" s="794"/>
      <c r="D1" s="794"/>
      <c r="E1" s="794"/>
    </row>
    <row r="2" spans="1:37" ht="19" thickBot="1" x14ac:dyDescent="0.5">
      <c r="D2" s="26"/>
      <c r="F2" s="12"/>
      <c r="H2" s="12"/>
      <c r="J2" s="12"/>
      <c r="L2" s="12"/>
    </row>
    <row r="3" spans="1:37" ht="19" thickBot="1" x14ac:dyDescent="0.4">
      <c r="C3" s="97" t="s">
        <v>88</v>
      </c>
      <c r="D3" s="27"/>
      <c r="E3" s="96" t="s">
        <v>297</v>
      </c>
      <c r="F3" s="7"/>
      <c r="G3" s="97" t="s">
        <v>218</v>
      </c>
      <c r="H3" s="7"/>
      <c r="I3" s="97" t="s">
        <v>298</v>
      </c>
      <c r="J3" s="7"/>
      <c r="K3" s="97" t="s">
        <v>299</v>
      </c>
      <c r="L3" s="7"/>
    </row>
    <row r="4" spans="1:37" s="3" customFormat="1" ht="291" hidden="1" customHeight="1" outlineLevel="1" x14ac:dyDescent="0.35">
      <c r="A4" s="234" t="s">
        <v>322</v>
      </c>
      <c r="B4" s="154"/>
      <c r="C4" s="178" t="s">
        <v>300</v>
      </c>
      <c r="D4" s="177"/>
      <c r="E4" s="179" t="s">
        <v>313</v>
      </c>
      <c r="F4" s="177"/>
      <c r="G4" s="179" t="s">
        <v>301</v>
      </c>
      <c r="H4" s="177"/>
      <c r="I4" s="179" t="s">
        <v>302</v>
      </c>
      <c r="J4" s="177"/>
      <c r="K4" s="179" t="s">
        <v>303</v>
      </c>
      <c r="L4"/>
      <c r="M4"/>
      <c r="N4"/>
      <c r="O4"/>
      <c r="P4"/>
      <c r="Q4"/>
      <c r="R4"/>
      <c r="S4"/>
      <c r="T4"/>
      <c r="U4"/>
      <c r="V4"/>
      <c r="W4"/>
      <c r="X4"/>
      <c r="Y4"/>
      <c r="Z4"/>
      <c r="AA4"/>
      <c r="AB4"/>
      <c r="AC4"/>
      <c r="AD4"/>
      <c r="AE4"/>
      <c r="AF4"/>
      <c r="AG4"/>
      <c r="AH4"/>
      <c r="AI4"/>
      <c r="AJ4"/>
      <c r="AK4"/>
    </row>
    <row r="5" spans="1:37" s="3" customFormat="1" hidden="1" outlineLevel="1" x14ac:dyDescent="0.35">
      <c r="A5" s="633" t="s">
        <v>99</v>
      </c>
      <c r="B5" s="234"/>
      <c r="C5" s="170"/>
      <c r="D5" s="131"/>
      <c r="E5" s="167" t="s">
        <v>304</v>
      </c>
      <c r="F5" s="131"/>
      <c r="G5" s="167" t="s">
        <v>238</v>
      </c>
      <c r="H5" s="131"/>
      <c r="I5" s="167" t="s">
        <v>239</v>
      </c>
      <c r="J5" s="131"/>
      <c r="K5" s="170"/>
      <c r="L5"/>
      <c r="M5"/>
      <c r="N5"/>
      <c r="O5"/>
      <c r="P5"/>
      <c r="Q5"/>
      <c r="R5"/>
      <c r="S5"/>
      <c r="T5"/>
      <c r="U5"/>
      <c r="V5"/>
      <c r="W5"/>
      <c r="X5"/>
      <c r="Y5"/>
      <c r="Z5"/>
      <c r="AA5"/>
      <c r="AB5"/>
      <c r="AC5"/>
      <c r="AD5"/>
      <c r="AE5"/>
      <c r="AF5"/>
      <c r="AG5"/>
      <c r="AH5"/>
      <c r="AI5"/>
      <c r="AJ5"/>
      <c r="AK5"/>
    </row>
    <row r="6" spans="1:37" s="3" customFormat="1" ht="29" hidden="1" outlineLevel="1" x14ac:dyDescent="0.35">
      <c r="A6" s="633"/>
      <c r="B6" s="234"/>
      <c r="C6" s="170"/>
      <c r="D6" s="131"/>
      <c r="E6" s="170"/>
      <c r="F6" s="131"/>
      <c r="G6" s="170"/>
      <c r="H6" s="131"/>
      <c r="I6" s="167" t="s">
        <v>305</v>
      </c>
      <c r="J6" s="131"/>
      <c r="K6" s="170"/>
      <c r="L6"/>
      <c r="M6"/>
      <c r="N6"/>
      <c r="O6"/>
      <c r="P6"/>
      <c r="Q6"/>
      <c r="R6"/>
      <c r="S6"/>
      <c r="T6"/>
      <c r="U6"/>
      <c r="V6"/>
      <c r="W6"/>
      <c r="X6"/>
      <c r="Y6"/>
      <c r="Z6"/>
      <c r="AA6"/>
      <c r="AB6"/>
      <c r="AC6"/>
      <c r="AD6"/>
      <c r="AE6"/>
      <c r="AF6"/>
      <c r="AG6"/>
      <c r="AH6"/>
      <c r="AI6"/>
      <c r="AJ6"/>
      <c r="AK6"/>
    </row>
    <row r="7" spans="1:37" s="3" customFormat="1" ht="29" hidden="1" outlineLevel="1" x14ac:dyDescent="0.35">
      <c r="A7" s="633"/>
      <c r="B7" s="234"/>
      <c r="C7" s="170"/>
      <c r="D7" s="131"/>
      <c r="E7" s="170"/>
      <c r="F7" s="131"/>
      <c r="G7" s="170"/>
      <c r="H7" s="131"/>
      <c r="I7" s="167" t="s">
        <v>306</v>
      </c>
      <c r="J7" s="131"/>
      <c r="K7" s="170"/>
      <c r="L7"/>
      <c r="M7"/>
      <c r="N7"/>
      <c r="O7"/>
      <c r="P7"/>
      <c r="Q7"/>
      <c r="R7"/>
      <c r="S7"/>
      <c r="T7"/>
      <c r="U7"/>
      <c r="V7"/>
      <c r="W7"/>
      <c r="X7"/>
      <c r="Y7"/>
      <c r="Z7"/>
      <c r="AA7"/>
      <c r="AB7"/>
      <c r="AC7"/>
      <c r="AD7"/>
      <c r="AE7"/>
      <c r="AF7"/>
      <c r="AG7"/>
      <c r="AH7"/>
      <c r="AI7"/>
      <c r="AJ7"/>
      <c r="AK7"/>
    </row>
    <row r="8" spans="1:37" s="3" customFormat="1" hidden="1" outlineLevel="1" x14ac:dyDescent="0.35">
      <c r="A8" s="633"/>
      <c r="B8" s="234"/>
      <c r="C8" s="170"/>
      <c r="D8" s="131"/>
      <c r="E8" s="170"/>
      <c r="F8" s="131"/>
      <c r="G8" s="170"/>
      <c r="H8" s="131"/>
      <c r="I8" s="170"/>
      <c r="J8" s="131"/>
      <c r="K8" s="170"/>
      <c r="L8"/>
      <c r="M8"/>
      <c r="N8"/>
      <c r="O8"/>
      <c r="P8"/>
      <c r="Q8"/>
      <c r="R8"/>
      <c r="S8"/>
      <c r="T8"/>
      <c r="U8"/>
      <c r="V8"/>
      <c r="W8"/>
      <c r="X8"/>
      <c r="Y8"/>
      <c r="Z8"/>
      <c r="AA8"/>
      <c r="AB8"/>
      <c r="AC8"/>
      <c r="AD8"/>
      <c r="AE8"/>
      <c r="AF8"/>
      <c r="AG8"/>
      <c r="AH8"/>
      <c r="AI8"/>
      <c r="AJ8"/>
      <c r="AK8"/>
    </row>
    <row r="9" spans="1:37" s="3" customFormat="1" hidden="1" outlineLevel="1" x14ac:dyDescent="0.35">
      <c r="A9" s="633"/>
      <c r="B9" s="234"/>
      <c r="C9" s="170"/>
      <c r="D9" s="131"/>
      <c r="E9" s="170"/>
      <c r="F9" s="131"/>
      <c r="G9" s="170"/>
      <c r="H9" s="131"/>
      <c r="I9" s="170"/>
      <c r="J9" s="131"/>
      <c r="K9" s="170"/>
      <c r="L9"/>
      <c r="M9"/>
      <c r="N9"/>
      <c r="O9"/>
      <c r="P9"/>
      <c r="Q9"/>
      <c r="R9"/>
      <c r="S9"/>
      <c r="T9"/>
      <c r="U9"/>
      <c r="V9"/>
      <c r="W9"/>
      <c r="X9"/>
      <c r="Y9"/>
      <c r="Z9"/>
      <c r="AA9"/>
      <c r="AB9"/>
      <c r="AC9"/>
      <c r="AD9"/>
      <c r="AE9"/>
      <c r="AF9"/>
      <c r="AG9"/>
      <c r="AH9"/>
      <c r="AI9"/>
      <c r="AJ9"/>
      <c r="AK9"/>
    </row>
    <row r="10" spans="1:37" collapsed="1" x14ac:dyDescent="0.35">
      <c r="C10" s="8" t="s">
        <v>107</v>
      </c>
      <c r="D10" s="28"/>
      <c r="E10" s="8" t="s">
        <v>109</v>
      </c>
      <c r="F10" s="3"/>
      <c r="G10" s="8" t="s">
        <v>107</v>
      </c>
      <c r="H10" s="3"/>
      <c r="I10" s="8" t="s">
        <v>107</v>
      </c>
      <c r="J10" s="3"/>
      <c r="K10" s="8" t="s">
        <v>107</v>
      </c>
      <c r="L10" s="3"/>
    </row>
    <row r="11" spans="1:37" ht="6" customHeight="1" thickBot="1" x14ac:dyDescent="0.4">
      <c r="A11" s="93"/>
      <c r="B11" s="93"/>
      <c r="C11" s="33"/>
      <c r="D11" s="31"/>
      <c r="E11" s="30"/>
      <c r="F11" s="30"/>
      <c r="G11" s="33"/>
      <c r="H11" s="30"/>
      <c r="I11" s="33"/>
      <c r="J11" s="30"/>
      <c r="K11" s="33"/>
    </row>
    <row r="12" spans="1:37" ht="14.5" customHeight="1" x14ac:dyDescent="0.35">
      <c r="A12" s="795">
        <v>1</v>
      </c>
      <c r="B12" s="13">
        <f>A12+10</f>
        <v>11</v>
      </c>
      <c r="C12" s="772"/>
      <c r="D12" s="78"/>
      <c r="E12" s="76"/>
      <c r="F12" s="62"/>
      <c r="G12" s="798"/>
      <c r="H12" s="129"/>
      <c r="I12" s="768"/>
      <c r="J12" s="129"/>
      <c r="K12" s="791"/>
    </row>
    <row r="13" spans="1:37" ht="16.5" customHeight="1" x14ac:dyDescent="0.35">
      <c r="A13" s="796"/>
      <c r="B13" s="251">
        <f>B12+1</f>
        <v>12</v>
      </c>
      <c r="C13" s="773"/>
      <c r="E13" s="24" t="s">
        <v>108</v>
      </c>
      <c r="F13" s="24"/>
      <c r="G13" s="799"/>
      <c r="H13" s="132"/>
      <c r="I13" s="769"/>
      <c r="J13" s="132"/>
      <c r="K13" s="792"/>
    </row>
    <row r="14" spans="1:37" ht="14.5" customHeight="1" x14ac:dyDescent="0.35">
      <c r="A14" s="796"/>
      <c r="B14" s="251">
        <f>B13+1</f>
        <v>13</v>
      </c>
      <c r="C14" s="773"/>
      <c r="D14" s="79" t="b">
        <v>0</v>
      </c>
      <c r="E14" s="44" t="s">
        <v>307</v>
      </c>
      <c r="G14" s="799"/>
      <c r="H14" s="132"/>
      <c r="I14" s="769"/>
      <c r="J14" s="132"/>
      <c r="K14" s="792"/>
    </row>
    <row r="15" spans="1:37" ht="6.75" customHeight="1" x14ac:dyDescent="0.35">
      <c r="A15" s="796"/>
      <c r="B15" s="251">
        <f>B14+1</f>
        <v>14</v>
      </c>
      <c r="C15" s="773"/>
      <c r="D15" s="80"/>
      <c r="E15" s="44"/>
      <c r="G15" s="799"/>
      <c r="H15" s="132"/>
      <c r="I15" s="769"/>
      <c r="J15" s="132"/>
      <c r="K15" s="792"/>
    </row>
    <row r="16" spans="1:37" ht="29.5" customHeight="1" thickBot="1" x14ac:dyDescent="0.4">
      <c r="A16" s="797"/>
      <c r="B16" s="251">
        <f>B15+1</f>
        <v>15</v>
      </c>
      <c r="C16" s="775"/>
      <c r="D16" s="81" t="b">
        <v>0</v>
      </c>
      <c r="E16" s="58" t="s">
        <v>308</v>
      </c>
      <c r="F16" s="67"/>
      <c r="G16" s="800"/>
      <c r="H16" s="134"/>
      <c r="I16" s="771"/>
      <c r="J16" s="134"/>
      <c r="K16" s="793"/>
    </row>
    <row r="17" spans="1:11" ht="6" customHeight="1" thickBot="1" x14ac:dyDescent="0.4">
      <c r="A17" s="93"/>
      <c r="B17" s="93"/>
      <c r="C17" s="200"/>
      <c r="D17" s="31"/>
      <c r="E17" s="30"/>
      <c r="F17" s="30"/>
      <c r="G17" s="200"/>
      <c r="H17" s="139"/>
      <c r="I17" s="200"/>
      <c r="J17" s="139"/>
      <c r="K17" s="200"/>
    </row>
    <row r="18" spans="1:11" x14ac:dyDescent="0.35">
      <c r="A18" s="795">
        <f>A12+1</f>
        <v>2</v>
      </c>
      <c r="B18" s="36">
        <f>B12+10</f>
        <v>21</v>
      </c>
      <c r="C18" s="772"/>
      <c r="D18" s="78"/>
      <c r="E18" s="76"/>
      <c r="F18" s="62"/>
      <c r="G18" s="768"/>
      <c r="H18" s="129"/>
      <c r="I18" s="768"/>
      <c r="J18" s="129"/>
      <c r="K18" s="791"/>
    </row>
    <row r="19" spans="1:11" x14ac:dyDescent="0.35">
      <c r="A19" s="796"/>
      <c r="B19" s="36">
        <f>B13+10</f>
        <v>22</v>
      </c>
      <c r="C19" s="773"/>
      <c r="D19" s="44"/>
      <c r="E19" s="24" t="s">
        <v>108</v>
      </c>
      <c r="F19" s="24"/>
      <c r="G19" s="769"/>
      <c r="H19" s="132"/>
      <c r="I19" s="769"/>
      <c r="J19" s="132"/>
      <c r="K19" s="792"/>
    </row>
    <row r="20" spans="1:11" x14ac:dyDescent="0.35">
      <c r="A20" s="796"/>
      <c r="B20" s="36">
        <f>B14+10</f>
        <v>23</v>
      </c>
      <c r="C20" s="773"/>
      <c r="D20" s="79" t="b">
        <v>0</v>
      </c>
      <c r="E20" s="44" t="s">
        <v>307</v>
      </c>
      <c r="G20" s="769"/>
      <c r="H20" s="132"/>
      <c r="I20" s="769"/>
      <c r="J20" s="132"/>
      <c r="K20" s="792"/>
    </row>
    <row r="21" spans="1:11" ht="7.5" customHeight="1" x14ac:dyDescent="0.35">
      <c r="A21" s="796"/>
      <c r="B21" s="36">
        <f>B15+10</f>
        <v>24</v>
      </c>
      <c r="C21" s="773"/>
      <c r="D21" s="44"/>
      <c r="E21" s="44"/>
      <c r="G21" s="769"/>
      <c r="H21" s="132"/>
      <c r="I21" s="769"/>
      <c r="J21" s="132"/>
      <c r="K21" s="792"/>
    </row>
    <row r="22" spans="1:11" ht="29.5" thickBot="1" x14ac:dyDescent="0.4">
      <c r="A22" s="797"/>
      <c r="B22" s="36">
        <f>B16+10</f>
        <v>25</v>
      </c>
      <c r="C22" s="775"/>
      <c r="D22" s="81" t="b">
        <v>0</v>
      </c>
      <c r="E22" s="58" t="s">
        <v>308</v>
      </c>
      <c r="F22" s="67"/>
      <c r="G22" s="771"/>
      <c r="H22" s="134"/>
      <c r="I22" s="771"/>
      <c r="J22" s="134"/>
      <c r="K22" s="793"/>
    </row>
    <row r="23" spans="1:11" ht="6" customHeight="1" thickBot="1" x14ac:dyDescent="0.4">
      <c r="A23" s="93"/>
      <c r="B23" s="93"/>
      <c r="C23" s="200"/>
      <c r="D23" s="31"/>
      <c r="E23" s="30"/>
      <c r="F23" s="30"/>
      <c r="G23" s="200"/>
      <c r="H23" s="139"/>
      <c r="I23" s="200"/>
      <c r="J23" s="139"/>
      <c r="K23" s="200"/>
    </row>
    <row r="24" spans="1:11" x14ac:dyDescent="0.35">
      <c r="A24" s="785">
        <f>A18+1</f>
        <v>3</v>
      </c>
      <c r="B24" s="36">
        <f>B18+10</f>
        <v>31</v>
      </c>
      <c r="C24" s="788"/>
      <c r="D24" s="82"/>
      <c r="E24" s="83"/>
      <c r="F24" s="62"/>
      <c r="G24" s="768"/>
      <c r="H24" s="129"/>
      <c r="I24" s="768"/>
      <c r="J24" s="129"/>
      <c r="K24" s="791"/>
    </row>
    <row r="25" spans="1:11" x14ac:dyDescent="0.35">
      <c r="A25" s="786"/>
      <c r="B25" s="36">
        <f>B19+10</f>
        <v>32</v>
      </c>
      <c r="C25" s="789"/>
      <c r="D25" s="84"/>
      <c r="E25" s="24" t="s">
        <v>108</v>
      </c>
      <c r="F25" s="24"/>
      <c r="G25" s="769"/>
      <c r="H25" s="132"/>
      <c r="I25" s="769"/>
      <c r="J25" s="132"/>
      <c r="K25" s="792"/>
    </row>
    <row r="26" spans="1:11" x14ac:dyDescent="0.35">
      <c r="A26" s="786"/>
      <c r="B26" s="36">
        <f>B20+10</f>
        <v>33</v>
      </c>
      <c r="C26" s="789"/>
      <c r="D26" s="79" t="b">
        <v>0</v>
      </c>
      <c r="E26" s="44" t="s">
        <v>307</v>
      </c>
      <c r="G26" s="769"/>
      <c r="H26" s="132"/>
      <c r="I26" s="769"/>
      <c r="J26" s="132"/>
      <c r="K26" s="792"/>
    </row>
    <row r="27" spans="1:11" ht="6.75" customHeight="1" x14ac:dyDescent="0.35">
      <c r="A27" s="786"/>
      <c r="B27" s="36">
        <f>B21+10</f>
        <v>34</v>
      </c>
      <c r="C27" s="789"/>
      <c r="D27" s="80"/>
      <c r="E27" s="44"/>
      <c r="G27" s="769"/>
      <c r="H27" s="132"/>
      <c r="I27" s="769"/>
      <c r="J27" s="132"/>
      <c r="K27" s="792"/>
    </row>
    <row r="28" spans="1:11" ht="29.5" thickBot="1" x14ac:dyDescent="0.4">
      <c r="A28" s="787"/>
      <c r="B28" s="36">
        <f>B22+10</f>
        <v>35</v>
      </c>
      <c r="C28" s="790"/>
      <c r="D28" s="81" t="b">
        <v>0</v>
      </c>
      <c r="E28" s="58" t="s">
        <v>308</v>
      </c>
      <c r="F28" s="67"/>
      <c r="G28" s="771"/>
      <c r="H28" s="134"/>
      <c r="I28" s="771"/>
      <c r="J28" s="134"/>
      <c r="K28" s="793"/>
    </row>
    <row r="29" spans="1:11" ht="6" customHeight="1" thickBot="1" x14ac:dyDescent="0.4">
      <c r="A29" s="93"/>
      <c r="B29" s="93"/>
      <c r="C29" s="200"/>
      <c r="D29" s="31"/>
      <c r="E29" s="30"/>
      <c r="F29" s="30"/>
      <c r="G29" s="200"/>
      <c r="H29" s="139"/>
      <c r="I29" s="200"/>
      <c r="J29" s="139"/>
      <c r="K29" s="200"/>
    </row>
    <row r="30" spans="1:11" x14ac:dyDescent="0.35">
      <c r="A30" s="785">
        <f>A24+1</f>
        <v>4</v>
      </c>
      <c r="B30" s="36">
        <f>B24+10</f>
        <v>41</v>
      </c>
      <c r="C30" s="788"/>
      <c r="D30" s="82"/>
      <c r="E30" s="83"/>
      <c r="F30" s="62"/>
      <c r="G30" s="768"/>
      <c r="H30" s="129"/>
      <c r="I30" s="768"/>
      <c r="J30" s="129"/>
      <c r="K30" s="791"/>
    </row>
    <row r="31" spans="1:11" x14ac:dyDescent="0.35">
      <c r="A31" s="786"/>
      <c r="B31" s="36">
        <f>B25+10</f>
        <v>42</v>
      </c>
      <c r="C31" s="789"/>
      <c r="D31" s="84"/>
      <c r="E31" s="24" t="s">
        <v>108</v>
      </c>
      <c r="F31" s="24"/>
      <c r="G31" s="769"/>
      <c r="H31" s="132"/>
      <c r="I31" s="769"/>
      <c r="J31" s="132"/>
      <c r="K31" s="792"/>
    </row>
    <row r="32" spans="1:11" x14ac:dyDescent="0.35">
      <c r="A32" s="786"/>
      <c r="B32" s="36">
        <f>B26+10</f>
        <v>43</v>
      </c>
      <c r="C32" s="789"/>
      <c r="D32" s="79" t="b">
        <v>0</v>
      </c>
      <c r="E32" s="44" t="s">
        <v>307</v>
      </c>
      <c r="G32" s="769"/>
      <c r="H32" s="132"/>
      <c r="I32" s="769"/>
      <c r="J32" s="132"/>
      <c r="K32" s="792"/>
    </row>
    <row r="33" spans="1:11" ht="6.75" customHeight="1" x14ac:dyDescent="0.35">
      <c r="A33" s="786"/>
      <c r="B33" s="36">
        <f>B27+10</f>
        <v>44</v>
      </c>
      <c r="C33" s="789"/>
      <c r="D33" s="80"/>
      <c r="E33" s="44"/>
      <c r="G33" s="769"/>
      <c r="H33" s="132"/>
      <c r="I33" s="769"/>
      <c r="J33" s="132"/>
      <c r="K33" s="792"/>
    </row>
    <row r="34" spans="1:11" ht="29.5" thickBot="1" x14ac:dyDescent="0.4">
      <c r="A34" s="787"/>
      <c r="B34" s="36">
        <f>B28+10</f>
        <v>45</v>
      </c>
      <c r="C34" s="790"/>
      <c r="D34" s="81" t="b">
        <v>0</v>
      </c>
      <c r="E34" s="58" t="s">
        <v>308</v>
      </c>
      <c r="F34" s="67"/>
      <c r="G34" s="771"/>
      <c r="H34" s="134"/>
      <c r="I34" s="771"/>
      <c r="J34" s="134"/>
      <c r="K34" s="793"/>
    </row>
    <row r="35" spans="1:11" ht="6" customHeight="1" thickBot="1" x14ac:dyDescent="0.4">
      <c r="A35" s="93"/>
      <c r="B35" s="93"/>
      <c r="C35" s="200"/>
      <c r="D35" s="31"/>
      <c r="E35" s="30"/>
      <c r="F35" s="30"/>
      <c r="G35" s="200"/>
      <c r="H35" s="139"/>
      <c r="I35" s="200"/>
      <c r="J35" s="139"/>
      <c r="K35" s="200"/>
    </row>
    <row r="36" spans="1:11" x14ac:dyDescent="0.35">
      <c r="A36" s="785">
        <f>A30+1</f>
        <v>5</v>
      </c>
      <c r="B36" s="36">
        <f>B30+10</f>
        <v>51</v>
      </c>
      <c r="C36" s="788"/>
      <c r="D36" s="82"/>
      <c r="E36" s="83"/>
      <c r="F36" s="62"/>
      <c r="G36" s="768"/>
      <c r="H36" s="129"/>
      <c r="I36" s="768"/>
      <c r="J36" s="129"/>
      <c r="K36" s="791"/>
    </row>
    <row r="37" spans="1:11" x14ac:dyDescent="0.35">
      <c r="A37" s="786"/>
      <c r="B37" s="36">
        <f>B31+10</f>
        <v>52</v>
      </c>
      <c r="C37" s="789"/>
      <c r="D37" s="84"/>
      <c r="E37" s="24" t="s">
        <v>108</v>
      </c>
      <c r="F37" s="24"/>
      <c r="G37" s="769"/>
      <c r="H37" s="132"/>
      <c r="I37" s="769"/>
      <c r="J37" s="132"/>
      <c r="K37" s="792"/>
    </row>
    <row r="38" spans="1:11" x14ac:dyDescent="0.35">
      <c r="A38" s="786"/>
      <c r="B38" s="36">
        <f>B32+10</f>
        <v>53</v>
      </c>
      <c r="C38" s="789"/>
      <c r="D38" s="85" t="b">
        <v>0</v>
      </c>
      <c r="E38" s="44" t="s">
        <v>307</v>
      </c>
      <c r="G38" s="769"/>
      <c r="H38" s="132"/>
      <c r="I38" s="769"/>
      <c r="J38" s="132"/>
      <c r="K38" s="792"/>
    </row>
    <row r="39" spans="1:11" ht="6.75" customHeight="1" x14ac:dyDescent="0.35">
      <c r="A39" s="786"/>
      <c r="B39" s="36">
        <f>B33+10</f>
        <v>54</v>
      </c>
      <c r="C39" s="789"/>
      <c r="D39" s="80"/>
      <c r="E39" s="44"/>
      <c r="G39" s="769"/>
      <c r="H39" s="132"/>
      <c r="I39" s="769"/>
      <c r="J39" s="132"/>
      <c r="K39" s="792"/>
    </row>
    <row r="40" spans="1:11" ht="29.5" thickBot="1" x14ac:dyDescent="0.4">
      <c r="A40" s="787"/>
      <c r="B40" s="36">
        <f>B34+10</f>
        <v>55</v>
      </c>
      <c r="C40" s="790"/>
      <c r="D40" s="81" t="b">
        <v>0</v>
      </c>
      <c r="E40" s="58" t="s">
        <v>308</v>
      </c>
      <c r="F40" s="67"/>
      <c r="G40" s="771"/>
      <c r="H40" s="134"/>
      <c r="I40" s="771"/>
      <c r="J40" s="134"/>
      <c r="K40" s="793"/>
    </row>
    <row r="41" spans="1:11" ht="6" customHeight="1" thickBot="1" x14ac:dyDescent="0.4">
      <c r="A41" s="93"/>
      <c r="B41" s="93"/>
      <c r="C41" s="200"/>
      <c r="D41" s="31"/>
      <c r="E41" s="30"/>
      <c r="F41" s="30"/>
      <c r="G41" s="200"/>
      <c r="H41" s="139"/>
      <c r="I41" s="200"/>
      <c r="J41" s="139"/>
      <c r="K41" s="200"/>
    </row>
    <row r="42" spans="1:11" x14ac:dyDescent="0.35">
      <c r="A42" s="785">
        <f>A36+1</f>
        <v>6</v>
      </c>
      <c r="B42" s="36">
        <f>B36+10</f>
        <v>61</v>
      </c>
      <c r="C42" s="788"/>
      <c r="D42" s="82"/>
      <c r="E42" s="83"/>
      <c r="F42" s="62"/>
      <c r="G42" s="768"/>
      <c r="H42" s="129"/>
      <c r="I42" s="768"/>
      <c r="J42" s="129"/>
      <c r="K42" s="791"/>
    </row>
    <row r="43" spans="1:11" x14ac:dyDescent="0.35">
      <c r="A43" s="786"/>
      <c r="B43" s="36">
        <f>B37+10</f>
        <v>62</v>
      </c>
      <c r="C43" s="789"/>
      <c r="D43" s="84"/>
      <c r="E43" s="24" t="s">
        <v>108</v>
      </c>
      <c r="F43" s="24"/>
      <c r="G43" s="769"/>
      <c r="H43" s="132"/>
      <c r="I43" s="769"/>
      <c r="J43" s="132"/>
      <c r="K43" s="792"/>
    </row>
    <row r="44" spans="1:11" x14ac:dyDescent="0.35">
      <c r="A44" s="786"/>
      <c r="B44" s="36">
        <f>B38+10</f>
        <v>63</v>
      </c>
      <c r="C44" s="789"/>
      <c r="D44" s="79" t="b">
        <v>0</v>
      </c>
      <c r="E44" s="44" t="s">
        <v>307</v>
      </c>
      <c r="G44" s="769"/>
      <c r="H44" s="132"/>
      <c r="I44" s="769"/>
      <c r="J44" s="132"/>
      <c r="K44" s="792"/>
    </row>
    <row r="45" spans="1:11" ht="6.75" customHeight="1" x14ac:dyDescent="0.35">
      <c r="A45" s="786"/>
      <c r="B45" s="36">
        <f>B39+10</f>
        <v>64</v>
      </c>
      <c r="C45" s="789"/>
      <c r="D45" s="80"/>
      <c r="E45" s="44"/>
      <c r="G45" s="769"/>
      <c r="H45" s="132"/>
      <c r="I45" s="769"/>
      <c r="J45" s="132"/>
      <c r="K45" s="792"/>
    </row>
    <row r="46" spans="1:11" ht="29.5" thickBot="1" x14ac:dyDescent="0.4">
      <c r="A46" s="787"/>
      <c r="B46" s="36">
        <f>B40+10</f>
        <v>65</v>
      </c>
      <c r="C46" s="790"/>
      <c r="D46" s="81" t="b">
        <v>0</v>
      </c>
      <c r="E46" s="58" t="s">
        <v>308</v>
      </c>
      <c r="F46" s="67"/>
      <c r="G46" s="771"/>
      <c r="H46" s="134"/>
      <c r="I46" s="771"/>
      <c r="J46" s="134"/>
      <c r="K46" s="793"/>
    </row>
    <row r="47" spans="1:11" ht="6" customHeight="1" thickBot="1" x14ac:dyDescent="0.4">
      <c r="A47" s="93"/>
      <c r="B47" s="93"/>
      <c r="C47" s="200"/>
      <c r="D47" s="31"/>
      <c r="E47" s="30"/>
      <c r="F47" s="30"/>
      <c r="G47" s="200"/>
      <c r="H47" s="139"/>
      <c r="I47" s="200"/>
      <c r="J47" s="139"/>
      <c r="K47" s="200"/>
    </row>
    <row r="48" spans="1:11" x14ac:dyDescent="0.35">
      <c r="A48" s="785">
        <f>A42+1</f>
        <v>7</v>
      </c>
      <c r="B48" s="36">
        <f>B42+10</f>
        <v>71</v>
      </c>
      <c r="C48" s="788"/>
      <c r="D48" s="82"/>
      <c r="E48" s="83"/>
      <c r="F48" s="62"/>
      <c r="G48" s="768"/>
      <c r="H48" s="129"/>
      <c r="I48" s="768"/>
      <c r="J48" s="129"/>
      <c r="K48" s="791"/>
    </row>
    <row r="49" spans="1:11" x14ac:dyDescent="0.35">
      <c r="A49" s="786"/>
      <c r="B49" s="36">
        <f>B43+10</f>
        <v>72</v>
      </c>
      <c r="C49" s="789"/>
      <c r="D49" s="84"/>
      <c r="E49" s="24" t="s">
        <v>108</v>
      </c>
      <c r="F49" s="24"/>
      <c r="G49" s="769"/>
      <c r="H49" s="132"/>
      <c r="I49" s="769"/>
      <c r="J49" s="132"/>
      <c r="K49" s="792"/>
    </row>
    <row r="50" spans="1:11" x14ac:dyDescent="0.35">
      <c r="A50" s="786"/>
      <c r="B50" s="36">
        <f>B44+10</f>
        <v>73</v>
      </c>
      <c r="C50" s="789"/>
      <c r="D50" s="79" t="b">
        <v>0</v>
      </c>
      <c r="E50" s="44" t="s">
        <v>307</v>
      </c>
      <c r="G50" s="769"/>
      <c r="H50" s="132"/>
      <c r="I50" s="769"/>
      <c r="J50" s="132"/>
      <c r="K50" s="792"/>
    </row>
    <row r="51" spans="1:11" ht="6.75" customHeight="1" x14ac:dyDescent="0.35">
      <c r="A51" s="786"/>
      <c r="B51" s="36">
        <f>B45+10</f>
        <v>74</v>
      </c>
      <c r="C51" s="789"/>
      <c r="D51" s="80"/>
      <c r="E51" s="44"/>
      <c r="G51" s="769"/>
      <c r="H51" s="132"/>
      <c r="I51" s="769"/>
      <c r="J51" s="132"/>
      <c r="K51" s="792"/>
    </row>
    <row r="52" spans="1:11" ht="29.5" thickBot="1" x14ac:dyDescent="0.4">
      <c r="A52" s="787"/>
      <c r="B52" s="36">
        <f>B46+10</f>
        <v>75</v>
      </c>
      <c r="C52" s="790"/>
      <c r="D52" s="81" t="b">
        <v>0</v>
      </c>
      <c r="E52" s="58" t="s">
        <v>308</v>
      </c>
      <c r="F52" s="67"/>
      <c r="G52" s="771"/>
      <c r="H52" s="134"/>
      <c r="I52" s="771"/>
      <c r="J52" s="134"/>
      <c r="K52" s="793"/>
    </row>
    <row r="53" spans="1:11" ht="6" customHeight="1" thickBot="1" x14ac:dyDescent="0.4">
      <c r="A53" s="93"/>
      <c r="B53" s="93"/>
      <c r="C53" s="200"/>
      <c r="D53" s="31"/>
      <c r="E53" s="30"/>
      <c r="F53" s="30"/>
      <c r="G53" s="200"/>
      <c r="H53" s="139"/>
      <c r="I53" s="200"/>
      <c r="J53" s="139"/>
      <c r="K53" s="200"/>
    </row>
    <row r="54" spans="1:11" x14ac:dyDescent="0.35">
      <c r="A54" s="785">
        <f>A48+1</f>
        <v>8</v>
      </c>
      <c r="B54" s="36">
        <f>B48+10</f>
        <v>81</v>
      </c>
      <c r="C54" s="788"/>
      <c r="D54" s="82"/>
      <c r="E54" s="83"/>
      <c r="F54" s="62"/>
      <c r="G54" s="768"/>
      <c r="H54" s="129"/>
      <c r="I54" s="768"/>
      <c r="J54" s="129"/>
      <c r="K54" s="791"/>
    </row>
    <row r="55" spans="1:11" x14ac:dyDescent="0.35">
      <c r="A55" s="786"/>
      <c r="B55" s="36">
        <f>B49+10</f>
        <v>82</v>
      </c>
      <c r="C55" s="789"/>
      <c r="D55" s="84"/>
      <c r="E55" s="24" t="s">
        <v>108</v>
      </c>
      <c r="F55" s="24"/>
      <c r="G55" s="769"/>
      <c r="H55" s="132"/>
      <c r="I55" s="769"/>
      <c r="J55" s="132"/>
      <c r="K55" s="792"/>
    </row>
    <row r="56" spans="1:11" x14ac:dyDescent="0.35">
      <c r="A56" s="786"/>
      <c r="B56" s="36">
        <f>B50+10</f>
        <v>83</v>
      </c>
      <c r="C56" s="789"/>
      <c r="D56" s="79" t="b">
        <v>0</v>
      </c>
      <c r="E56" s="44" t="s">
        <v>307</v>
      </c>
      <c r="G56" s="769"/>
      <c r="H56" s="132"/>
      <c r="I56" s="769"/>
      <c r="J56" s="132"/>
      <c r="K56" s="792"/>
    </row>
    <row r="57" spans="1:11" ht="6.75" customHeight="1" x14ac:dyDescent="0.35">
      <c r="A57" s="786"/>
      <c r="B57" s="36">
        <f>B51+10</f>
        <v>84</v>
      </c>
      <c r="C57" s="789"/>
      <c r="D57" s="80"/>
      <c r="E57" s="44"/>
      <c r="G57" s="769"/>
      <c r="H57" s="132"/>
      <c r="I57" s="769"/>
      <c r="J57" s="132"/>
      <c r="K57" s="792"/>
    </row>
    <row r="58" spans="1:11" ht="29.5" thickBot="1" x14ac:dyDescent="0.4">
      <c r="A58" s="787"/>
      <c r="B58" s="36">
        <f>B52+10</f>
        <v>85</v>
      </c>
      <c r="C58" s="790"/>
      <c r="D58" s="81" t="b">
        <v>0</v>
      </c>
      <c r="E58" s="58" t="s">
        <v>308</v>
      </c>
      <c r="F58" s="67"/>
      <c r="G58" s="771"/>
      <c r="H58" s="134"/>
      <c r="I58" s="771"/>
      <c r="J58" s="134"/>
      <c r="K58" s="793"/>
    </row>
    <row r="59" spans="1:11" ht="6" customHeight="1" thickBot="1" x14ac:dyDescent="0.4">
      <c r="A59" s="93"/>
      <c r="B59" s="93"/>
      <c r="C59" s="200"/>
      <c r="D59" s="31"/>
      <c r="E59" s="30"/>
      <c r="F59" s="30"/>
      <c r="G59" s="200"/>
      <c r="H59" s="139"/>
      <c r="I59" s="200"/>
      <c r="J59" s="139"/>
      <c r="K59" s="200"/>
    </row>
    <row r="60" spans="1:11" x14ac:dyDescent="0.35">
      <c r="A60" s="785">
        <f>A54+1</f>
        <v>9</v>
      </c>
      <c r="B60" s="36">
        <f>B54+10</f>
        <v>91</v>
      </c>
      <c r="C60" s="788"/>
      <c r="D60" s="82"/>
      <c r="E60" s="83"/>
      <c r="F60" s="62"/>
      <c r="G60" s="768"/>
      <c r="H60" s="129"/>
      <c r="I60" s="768"/>
      <c r="J60" s="129"/>
      <c r="K60" s="791"/>
    </row>
    <row r="61" spans="1:11" x14ac:dyDescent="0.35">
      <c r="A61" s="786"/>
      <c r="B61" s="36">
        <f>B55+10</f>
        <v>92</v>
      </c>
      <c r="C61" s="789"/>
      <c r="D61" s="84"/>
      <c r="E61" s="24" t="s">
        <v>108</v>
      </c>
      <c r="F61" s="24"/>
      <c r="G61" s="769"/>
      <c r="H61" s="132"/>
      <c r="I61" s="769"/>
      <c r="J61" s="132"/>
      <c r="K61" s="792"/>
    </row>
    <row r="62" spans="1:11" x14ac:dyDescent="0.35">
      <c r="A62" s="786"/>
      <c r="B62" s="36">
        <f>B56+10</f>
        <v>93</v>
      </c>
      <c r="C62" s="789"/>
      <c r="D62" s="79" t="b">
        <v>0</v>
      </c>
      <c r="E62" s="44" t="s">
        <v>307</v>
      </c>
      <c r="G62" s="769"/>
      <c r="H62" s="132"/>
      <c r="I62" s="769"/>
      <c r="J62" s="132"/>
      <c r="K62" s="792"/>
    </row>
    <row r="63" spans="1:11" ht="6.75" customHeight="1" x14ac:dyDescent="0.35">
      <c r="A63" s="786"/>
      <c r="B63" s="36">
        <f>B57+10</f>
        <v>94</v>
      </c>
      <c r="C63" s="789"/>
      <c r="D63" s="80"/>
      <c r="E63" s="44"/>
      <c r="G63" s="769"/>
      <c r="H63" s="132"/>
      <c r="I63" s="769"/>
      <c r="J63" s="132"/>
      <c r="K63" s="792"/>
    </row>
    <row r="64" spans="1:11" ht="29.5" thickBot="1" x14ac:dyDescent="0.4">
      <c r="A64" s="787"/>
      <c r="B64" s="36">
        <f>B58+10</f>
        <v>95</v>
      </c>
      <c r="C64" s="790"/>
      <c r="D64" s="81" t="b">
        <v>0</v>
      </c>
      <c r="E64" s="58" t="s">
        <v>308</v>
      </c>
      <c r="F64" s="67"/>
      <c r="G64" s="771"/>
      <c r="H64" s="134"/>
      <c r="I64" s="771"/>
      <c r="J64" s="134"/>
      <c r="K64" s="793"/>
    </row>
    <row r="65" spans="1:11" ht="6" customHeight="1" thickBot="1" x14ac:dyDescent="0.4">
      <c r="A65" s="93"/>
      <c r="B65" s="93"/>
      <c r="C65" s="200"/>
      <c r="D65" s="31"/>
      <c r="E65" s="30"/>
      <c r="F65" s="30"/>
      <c r="G65" s="200"/>
      <c r="H65" s="139"/>
      <c r="I65" s="200"/>
      <c r="J65" s="139"/>
      <c r="K65" s="200"/>
    </row>
    <row r="66" spans="1:11" x14ac:dyDescent="0.35">
      <c r="A66" s="785">
        <f>A60+1</f>
        <v>10</v>
      </c>
      <c r="B66" s="36">
        <f>B60+10</f>
        <v>101</v>
      </c>
      <c r="C66" s="788"/>
      <c r="D66" s="82"/>
      <c r="E66" s="83"/>
      <c r="F66" s="62"/>
      <c r="G66" s="768"/>
      <c r="H66" s="129"/>
      <c r="I66" s="768"/>
      <c r="J66" s="129"/>
      <c r="K66" s="791"/>
    </row>
    <row r="67" spans="1:11" x14ac:dyDescent="0.35">
      <c r="A67" s="786"/>
      <c r="B67" s="36">
        <f>B61+10</f>
        <v>102</v>
      </c>
      <c r="C67" s="789"/>
      <c r="D67" s="84"/>
      <c r="E67" s="24" t="s">
        <v>108</v>
      </c>
      <c r="F67" s="24"/>
      <c r="G67" s="769"/>
      <c r="H67" s="132"/>
      <c r="I67" s="769"/>
      <c r="J67" s="132"/>
      <c r="K67" s="792"/>
    </row>
    <row r="68" spans="1:11" x14ac:dyDescent="0.35">
      <c r="A68" s="786"/>
      <c r="B68" s="36">
        <f>B62+10</f>
        <v>103</v>
      </c>
      <c r="C68" s="789"/>
      <c r="D68" s="79" t="b">
        <v>0</v>
      </c>
      <c r="E68" s="44" t="s">
        <v>307</v>
      </c>
      <c r="G68" s="769"/>
      <c r="H68" s="132"/>
      <c r="I68" s="769"/>
      <c r="J68" s="132"/>
      <c r="K68" s="792"/>
    </row>
    <row r="69" spans="1:11" ht="6.75" customHeight="1" x14ac:dyDescent="0.35">
      <c r="A69" s="786"/>
      <c r="B69" s="36">
        <f>B63+10</f>
        <v>104</v>
      </c>
      <c r="C69" s="789"/>
      <c r="D69" s="80"/>
      <c r="E69" s="44"/>
      <c r="G69" s="769"/>
      <c r="H69" s="132"/>
      <c r="I69" s="769"/>
      <c r="J69" s="132"/>
      <c r="K69" s="792"/>
    </row>
    <row r="70" spans="1:11" ht="29.5" thickBot="1" x14ac:dyDescent="0.4">
      <c r="A70" s="787"/>
      <c r="B70" s="36">
        <f>B64+10</f>
        <v>105</v>
      </c>
      <c r="C70" s="790"/>
      <c r="D70" s="81" t="b">
        <v>0</v>
      </c>
      <c r="E70" s="58" t="s">
        <v>308</v>
      </c>
      <c r="F70" s="67"/>
      <c r="G70" s="771"/>
      <c r="H70" s="134"/>
      <c r="I70" s="771"/>
      <c r="J70" s="134"/>
      <c r="K70" s="793"/>
    </row>
    <row r="71" spans="1:11" ht="6" customHeight="1" thickBot="1" x14ac:dyDescent="0.4">
      <c r="A71" s="93"/>
      <c r="B71" s="93"/>
      <c r="C71" s="200"/>
      <c r="D71" s="31"/>
      <c r="E71" s="30"/>
      <c r="F71" s="30"/>
      <c r="G71" s="200"/>
      <c r="H71" s="139"/>
      <c r="I71" s="200"/>
      <c r="J71" s="139"/>
      <c r="K71" s="200"/>
    </row>
    <row r="72" spans="1:11" x14ac:dyDescent="0.35">
      <c r="A72" s="785">
        <f>A66+1</f>
        <v>11</v>
      </c>
      <c r="B72" s="36">
        <f>B66+10</f>
        <v>111</v>
      </c>
      <c r="C72" s="788"/>
      <c r="D72" s="82"/>
      <c r="E72" s="83"/>
      <c r="F72" s="62"/>
      <c r="G72" s="768"/>
      <c r="H72" s="129"/>
      <c r="I72" s="768"/>
      <c r="J72" s="129"/>
      <c r="K72" s="791"/>
    </row>
    <row r="73" spans="1:11" x14ac:dyDescent="0.35">
      <c r="A73" s="786"/>
      <c r="B73" s="36">
        <f>B67+10</f>
        <v>112</v>
      </c>
      <c r="C73" s="789"/>
      <c r="D73" s="84"/>
      <c r="E73" s="24" t="s">
        <v>108</v>
      </c>
      <c r="F73" s="24"/>
      <c r="G73" s="769"/>
      <c r="H73" s="132"/>
      <c r="I73" s="769"/>
      <c r="J73" s="132"/>
      <c r="K73" s="792"/>
    </row>
    <row r="74" spans="1:11" x14ac:dyDescent="0.35">
      <c r="A74" s="786"/>
      <c r="B74" s="36">
        <f>B68+10</f>
        <v>113</v>
      </c>
      <c r="C74" s="789"/>
      <c r="D74" s="79" t="b">
        <v>0</v>
      </c>
      <c r="E74" s="44" t="s">
        <v>307</v>
      </c>
      <c r="G74" s="769"/>
      <c r="H74" s="132"/>
      <c r="I74" s="769"/>
      <c r="J74" s="132"/>
      <c r="K74" s="792"/>
    </row>
    <row r="75" spans="1:11" ht="6.75" customHeight="1" x14ac:dyDescent="0.35">
      <c r="A75" s="786"/>
      <c r="B75" s="36">
        <f>B69+10</f>
        <v>114</v>
      </c>
      <c r="C75" s="789"/>
      <c r="D75" s="80"/>
      <c r="E75" s="44"/>
      <c r="G75" s="769"/>
      <c r="H75" s="132"/>
      <c r="I75" s="769"/>
      <c r="J75" s="132"/>
      <c r="K75" s="792"/>
    </row>
    <row r="76" spans="1:11" ht="29.5" thickBot="1" x14ac:dyDescent="0.4">
      <c r="A76" s="787"/>
      <c r="B76" s="36">
        <f>B70+10</f>
        <v>115</v>
      </c>
      <c r="C76" s="790"/>
      <c r="D76" s="81" t="b">
        <v>0</v>
      </c>
      <c r="E76" s="58" t="s">
        <v>308</v>
      </c>
      <c r="F76" s="67"/>
      <c r="G76" s="771"/>
      <c r="H76" s="134"/>
      <c r="I76" s="771"/>
      <c r="J76" s="134"/>
      <c r="K76" s="793"/>
    </row>
    <row r="77" spans="1:11" ht="6" customHeight="1" thickBot="1" x14ac:dyDescent="0.4">
      <c r="A77" s="93"/>
      <c r="B77" s="93"/>
      <c r="C77" s="200"/>
      <c r="D77" s="31"/>
      <c r="E77" s="30"/>
      <c r="F77" s="30"/>
      <c r="G77" s="200"/>
      <c r="H77" s="139"/>
      <c r="I77" s="200"/>
      <c r="J77" s="139"/>
      <c r="K77" s="200"/>
    </row>
    <row r="78" spans="1:11" x14ac:dyDescent="0.35">
      <c r="A78" s="785">
        <f>A72+1</f>
        <v>12</v>
      </c>
      <c r="B78" s="36">
        <f>B72+10</f>
        <v>121</v>
      </c>
      <c r="C78" s="788"/>
      <c r="D78" s="82"/>
      <c r="E78" s="83"/>
      <c r="F78" s="62"/>
      <c r="G78" s="768"/>
      <c r="H78" s="129"/>
      <c r="I78" s="768"/>
      <c r="J78" s="129"/>
      <c r="K78" s="791"/>
    </row>
    <row r="79" spans="1:11" x14ac:dyDescent="0.35">
      <c r="A79" s="786"/>
      <c r="B79" s="36">
        <f>B73+10</f>
        <v>122</v>
      </c>
      <c r="C79" s="789"/>
      <c r="D79" s="84"/>
      <c r="E79" s="24" t="s">
        <v>108</v>
      </c>
      <c r="F79" s="24"/>
      <c r="G79" s="769"/>
      <c r="H79" s="132"/>
      <c r="I79" s="769"/>
      <c r="J79" s="132"/>
      <c r="K79" s="792"/>
    </row>
    <row r="80" spans="1:11" x14ac:dyDescent="0.35">
      <c r="A80" s="786"/>
      <c r="B80" s="36">
        <f>B74+10</f>
        <v>123</v>
      </c>
      <c r="C80" s="789"/>
      <c r="D80" s="79" t="b">
        <v>0</v>
      </c>
      <c r="E80" s="44" t="s">
        <v>307</v>
      </c>
      <c r="G80" s="769"/>
      <c r="H80" s="132"/>
      <c r="I80" s="769"/>
      <c r="J80" s="132"/>
      <c r="K80" s="792"/>
    </row>
    <row r="81" spans="1:11" ht="6.75" customHeight="1" x14ac:dyDescent="0.35">
      <c r="A81" s="786"/>
      <c r="B81" s="36">
        <f>B75+10</f>
        <v>124</v>
      </c>
      <c r="C81" s="789"/>
      <c r="D81" s="80"/>
      <c r="E81" s="44"/>
      <c r="G81" s="769"/>
      <c r="H81" s="132"/>
      <c r="I81" s="769"/>
      <c r="J81" s="132"/>
      <c r="K81" s="792"/>
    </row>
    <row r="82" spans="1:11" ht="29.5" thickBot="1" x14ac:dyDescent="0.4">
      <c r="A82" s="787"/>
      <c r="B82" s="36">
        <f>B76+10</f>
        <v>125</v>
      </c>
      <c r="C82" s="790"/>
      <c r="D82" s="81" t="b">
        <v>0</v>
      </c>
      <c r="E82" s="58" t="s">
        <v>308</v>
      </c>
      <c r="F82" s="67"/>
      <c r="G82" s="771"/>
      <c r="H82" s="134"/>
      <c r="I82" s="771"/>
      <c r="J82" s="134"/>
      <c r="K82" s="793"/>
    </row>
    <row r="83" spans="1:11" ht="6" customHeight="1" thickBot="1" x14ac:dyDescent="0.4">
      <c r="A83" s="93"/>
      <c r="B83" s="93"/>
      <c r="C83" s="200"/>
      <c r="D83" s="31"/>
      <c r="E83" s="30"/>
      <c r="F83" s="30"/>
      <c r="G83" s="200"/>
      <c r="H83" s="139"/>
      <c r="I83" s="200"/>
      <c r="J83" s="139"/>
      <c r="K83" s="200"/>
    </row>
    <row r="84" spans="1:11" x14ac:dyDescent="0.35">
      <c r="A84" s="785">
        <f>A78+1</f>
        <v>13</v>
      </c>
      <c r="B84" s="36">
        <f>B78+10</f>
        <v>131</v>
      </c>
      <c r="C84" s="788"/>
      <c r="D84" s="82"/>
      <c r="E84" s="83"/>
      <c r="F84" s="62"/>
      <c r="G84" s="768"/>
      <c r="H84" s="129"/>
      <c r="I84" s="768"/>
      <c r="J84" s="129"/>
      <c r="K84" s="791"/>
    </row>
    <row r="85" spans="1:11" x14ac:dyDescent="0.35">
      <c r="A85" s="786"/>
      <c r="B85" s="36">
        <f>B79+10</f>
        <v>132</v>
      </c>
      <c r="C85" s="789"/>
      <c r="D85" s="84"/>
      <c r="E85" s="24" t="s">
        <v>108</v>
      </c>
      <c r="F85" s="24"/>
      <c r="G85" s="769"/>
      <c r="H85" s="132"/>
      <c r="I85" s="769"/>
      <c r="J85" s="132"/>
      <c r="K85" s="792"/>
    </row>
    <row r="86" spans="1:11" x14ac:dyDescent="0.35">
      <c r="A86" s="786"/>
      <c r="B86" s="36">
        <f>B80+10</f>
        <v>133</v>
      </c>
      <c r="C86" s="789"/>
      <c r="D86" s="79" t="b">
        <v>0</v>
      </c>
      <c r="E86" s="44" t="s">
        <v>307</v>
      </c>
      <c r="G86" s="769"/>
      <c r="H86" s="132"/>
      <c r="I86" s="769"/>
      <c r="J86" s="132"/>
      <c r="K86" s="792"/>
    </row>
    <row r="87" spans="1:11" ht="6.75" customHeight="1" x14ac:dyDescent="0.35">
      <c r="A87" s="786"/>
      <c r="B87" s="36">
        <f>B81+10</f>
        <v>134</v>
      </c>
      <c r="C87" s="789"/>
      <c r="D87" s="80"/>
      <c r="E87" s="44"/>
      <c r="G87" s="769"/>
      <c r="H87" s="132"/>
      <c r="I87" s="769"/>
      <c r="J87" s="132"/>
      <c r="K87" s="792"/>
    </row>
    <row r="88" spans="1:11" ht="29.5" thickBot="1" x14ac:dyDescent="0.4">
      <c r="A88" s="787"/>
      <c r="B88" s="36">
        <f>B82+10</f>
        <v>135</v>
      </c>
      <c r="C88" s="790"/>
      <c r="D88" s="81" t="b">
        <v>0</v>
      </c>
      <c r="E88" s="58" t="s">
        <v>308</v>
      </c>
      <c r="F88" s="67"/>
      <c r="G88" s="771"/>
      <c r="H88" s="134"/>
      <c r="I88" s="771"/>
      <c r="J88" s="134"/>
      <c r="K88" s="793"/>
    </row>
    <row r="89" spans="1:11" ht="6" customHeight="1" thickBot="1" x14ac:dyDescent="0.4">
      <c r="A89" s="93"/>
      <c r="B89" s="93"/>
      <c r="C89" s="200"/>
      <c r="D89" s="31"/>
      <c r="E89" s="30"/>
      <c r="F89" s="30"/>
      <c r="G89" s="200"/>
      <c r="H89" s="139"/>
      <c r="I89" s="200"/>
      <c r="J89" s="139"/>
      <c r="K89" s="200"/>
    </row>
    <row r="90" spans="1:11" x14ac:dyDescent="0.35">
      <c r="A90" s="785">
        <f>A84+1</f>
        <v>14</v>
      </c>
      <c r="B90" s="36">
        <f>B84+10</f>
        <v>141</v>
      </c>
      <c r="C90" s="788"/>
      <c r="D90" s="82"/>
      <c r="E90" s="83"/>
      <c r="F90" s="62"/>
      <c r="G90" s="768"/>
      <c r="H90" s="129"/>
      <c r="I90" s="768"/>
      <c r="J90" s="129"/>
      <c r="K90" s="791"/>
    </row>
    <row r="91" spans="1:11" x14ac:dyDescent="0.35">
      <c r="A91" s="786"/>
      <c r="B91" s="36">
        <f>B85+10</f>
        <v>142</v>
      </c>
      <c r="C91" s="789"/>
      <c r="D91" s="84"/>
      <c r="E91" s="24" t="s">
        <v>108</v>
      </c>
      <c r="F91" s="24"/>
      <c r="G91" s="769"/>
      <c r="H91" s="132"/>
      <c r="I91" s="769"/>
      <c r="J91" s="132"/>
      <c r="K91" s="792"/>
    </row>
    <row r="92" spans="1:11" x14ac:dyDescent="0.35">
      <c r="A92" s="786"/>
      <c r="B92" s="36">
        <f>B86+10</f>
        <v>143</v>
      </c>
      <c r="C92" s="789"/>
      <c r="D92" s="79" t="b">
        <v>0</v>
      </c>
      <c r="E92" s="44" t="s">
        <v>307</v>
      </c>
      <c r="G92" s="769"/>
      <c r="H92" s="132"/>
      <c r="I92" s="769"/>
      <c r="J92" s="132"/>
      <c r="K92" s="792"/>
    </row>
    <row r="93" spans="1:11" ht="6.75" customHeight="1" x14ac:dyDescent="0.35">
      <c r="A93" s="786"/>
      <c r="B93" s="36">
        <f>B87+10</f>
        <v>144</v>
      </c>
      <c r="C93" s="789"/>
      <c r="D93" s="80"/>
      <c r="E93" s="44"/>
      <c r="G93" s="769"/>
      <c r="H93" s="132"/>
      <c r="I93" s="769"/>
      <c r="J93" s="132"/>
      <c r="K93" s="792"/>
    </row>
    <row r="94" spans="1:11" ht="29.5" thickBot="1" x14ac:dyDescent="0.4">
      <c r="A94" s="787"/>
      <c r="B94" s="36">
        <f>B88+10</f>
        <v>145</v>
      </c>
      <c r="C94" s="790"/>
      <c r="D94" s="81" t="b">
        <v>0</v>
      </c>
      <c r="E94" s="58" t="s">
        <v>308</v>
      </c>
      <c r="F94" s="67"/>
      <c r="G94" s="771"/>
      <c r="H94" s="134"/>
      <c r="I94" s="771"/>
      <c r="J94" s="134"/>
      <c r="K94" s="793"/>
    </row>
    <row r="95" spans="1:11" ht="6" customHeight="1" thickBot="1" x14ac:dyDescent="0.4">
      <c r="A95" s="93"/>
      <c r="B95" s="93"/>
      <c r="C95" s="200"/>
      <c r="D95" s="31"/>
      <c r="E95" s="30"/>
      <c r="F95" s="30"/>
      <c r="G95" s="200"/>
      <c r="H95" s="139"/>
      <c r="I95" s="200"/>
      <c r="J95" s="139"/>
      <c r="K95" s="200"/>
    </row>
    <row r="96" spans="1:11" x14ac:dyDescent="0.35">
      <c r="A96" s="785">
        <f>A90+1</f>
        <v>15</v>
      </c>
      <c r="B96" s="36">
        <f>B90+10</f>
        <v>151</v>
      </c>
      <c r="C96" s="788"/>
      <c r="D96" s="82"/>
      <c r="E96" s="83"/>
      <c r="F96" s="62"/>
      <c r="G96" s="768"/>
      <c r="H96" s="129"/>
      <c r="I96" s="768"/>
      <c r="J96" s="129"/>
      <c r="K96" s="791"/>
    </row>
    <row r="97" spans="1:11" x14ac:dyDescent="0.35">
      <c r="A97" s="786"/>
      <c r="B97" s="36">
        <f>B91+10</f>
        <v>152</v>
      </c>
      <c r="C97" s="789"/>
      <c r="D97" s="84"/>
      <c r="E97" s="24" t="s">
        <v>108</v>
      </c>
      <c r="F97" s="24"/>
      <c r="G97" s="769"/>
      <c r="H97" s="132"/>
      <c r="I97" s="769"/>
      <c r="J97" s="132"/>
      <c r="K97" s="792"/>
    </row>
    <row r="98" spans="1:11" x14ac:dyDescent="0.35">
      <c r="A98" s="786"/>
      <c r="B98" s="36">
        <f>B92+10</f>
        <v>153</v>
      </c>
      <c r="C98" s="789"/>
      <c r="D98" s="79" t="b">
        <v>1</v>
      </c>
      <c r="E98" s="44" t="s">
        <v>307</v>
      </c>
      <c r="G98" s="769"/>
      <c r="H98" s="132"/>
      <c r="I98" s="769"/>
      <c r="J98" s="132"/>
      <c r="K98" s="792"/>
    </row>
    <row r="99" spans="1:11" ht="6.75" customHeight="1" x14ac:dyDescent="0.35">
      <c r="A99" s="786"/>
      <c r="B99" s="36">
        <f>B93+10</f>
        <v>154</v>
      </c>
      <c r="C99" s="789"/>
      <c r="D99" s="80"/>
      <c r="E99" s="44"/>
      <c r="G99" s="769"/>
      <c r="H99" s="132"/>
      <c r="I99" s="769"/>
      <c r="J99" s="132"/>
      <c r="K99" s="792"/>
    </row>
    <row r="100" spans="1:11" ht="29.5" thickBot="1" x14ac:dyDescent="0.4">
      <c r="A100" s="787"/>
      <c r="B100" s="36">
        <f>B94+10</f>
        <v>155</v>
      </c>
      <c r="C100" s="790"/>
      <c r="D100" s="81" t="b">
        <v>0</v>
      </c>
      <c r="E100" s="58" t="s">
        <v>308</v>
      </c>
      <c r="F100" s="67"/>
      <c r="G100" s="771"/>
      <c r="H100" s="134"/>
      <c r="I100" s="771"/>
      <c r="J100" s="134"/>
      <c r="K100" s="793"/>
    </row>
    <row r="101" spans="1:11" ht="6" customHeight="1" thickBot="1" x14ac:dyDescent="0.4">
      <c r="A101" s="93"/>
      <c r="B101" s="93"/>
      <c r="C101" s="200"/>
      <c r="D101" s="31"/>
      <c r="E101" s="30"/>
      <c r="F101" s="30"/>
      <c r="G101" s="200"/>
      <c r="H101" s="139"/>
      <c r="I101" s="200"/>
      <c r="J101" s="139"/>
      <c r="K101" s="200"/>
    </row>
    <row r="102" spans="1:11" x14ac:dyDescent="0.35">
      <c r="A102" s="785">
        <f>A96+1</f>
        <v>16</v>
      </c>
      <c r="B102" s="36">
        <f>B96+10</f>
        <v>161</v>
      </c>
      <c r="C102" s="788"/>
      <c r="D102" s="82"/>
      <c r="E102" s="83"/>
      <c r="F102" s="62"/>
      <c r="G102" s="768"/>
      <c r="H102" s="129"/>
      <c r="I102" s="768"/>
      <c r="J102" s="129"/>
      <c r="K102" s="791"/>
    </row>
    <row r="103" spans="1:11" x14ac:dyDescent="0.35">
      <c r="A103" s="786"/>
      <c r="B103" s="36">
        <f>B97+10</f>
        <v>162</v>
      </c>
      <c r="C103" s="789"/>
      <c r="D103" s="84"/>
      <c r="E103" s="24" t="s">
        <v>108</v>
      </c>
      <c r="F103" s="24"/>
      <c r="G103" s="769"/>
      <c r="H103" s="132"/>
      <c r="I103" s="769"/>
      <c r="J103" s="132"/>
      <c r="K103" s="792"/>
    </row>
    <row r="104" spans="1:11" x14ac:dyDescent="0.35">
      <c r="A104" s="786"/>
      <c r="B104" s="36">
        <f>B98+10</f>
        <v>163</v>
      </c>
      <c r="C104" s="789"/>
      <c r="D104" s="79" t="b">
        <v>0</v>
      </c>
      <c r="E104" s="44" t="s">
        <v>307</v>
      </c>
      <c r="G104" s="769"/>
      <c r="H104" s="132"/>
      <c r="I104" s="769"/>
      <c r="J104" s="132"/>
      <c r="K104" s="792"/>
    </row>
    <row r="105" spans="1:11" ht="6.75" customHeight="1" x14ac:dyDescent="0.35">
      <c r="A105" s="786"/>
      <c r="B105" s="36">
        <f>B99+10</f>
        <v>164</v>
      </c>
      <c r="C105" s="789"/>
      <c r="D105" s="80"/>
      <c r="E105" s="44"/>
      <c r="G105" s="769"/>
      <c r="H105" s="132"/>
      <c r="I105" s="769"/>
      <c r="J105" s="132"/>
      <c r="K105" s="792"/>
    </row>
    <row r="106" spans="1:11" ht="29.5" thickBot="1" x14ac:dyDescent="0.4">
      <c r="A106" s="787"/>
      <c r="B106" s="36">
        <f>B100+10</f>
        <v>165</v>
      </c>
      <c r="C106" s="790"/>
      <c r="D106" s="81" t="b">
        <v>0</v>
      </c>
      <c r="E106" s="58" t="s">
        <v>308</v>
      </c>
      <c r="F106" s="67"/>
      <c r="G106" s="771"/>
      <c r="H106" s="134"/>
      <c r="I106" s="771"/>
      <c r="J106" s="134"/>
      <c r="K106" s="793"/>
    </row>
    <row r="107" spans="1:11" ht="6" customHeight="1" thickBot="1" x14ac:dyDescent="0.4">
      <c r="A107" s="93"/>
      <c r="B107" s="93"/>
      <c r="C107" s="200"/>
      <c r="D107" s="31"/>
      <c r="E107" s="30"/>
      <c r="F107" s="30"/>
      <c r="G107" s="200"/>
      <c r="H107" s="139"/>
      <c r="I107" s="200"/>
      <c r="J107" s="139"/>
      <c r="K107" s="200"/>
    </row>
    <row r="108" spans="1:11" x14ac:dyDescent="0.35">
      <c r="A108" s="785">
        <f>A102+1</f>
        <v>17</v>
      </c>
      <c r="B108" s="36">
        <f>B102+10</f>
        <v>171</v>
      </c>
      <c r="C108" s="788"/>
      <c r="D108" s="82"/>
      <c r="E108" s="83"/>
      <c r="F108" s="62"/>
      <c r="G108" s="768"/>
      <c r="H108" s="129"/>
      <c r="I108" s="768"/>
      <c r="J108" s="129"/>
      <c r="K108" s="791"/>
    </row>
    <row r="109" spans="1:11" x14ac:dyDescent="0.35">
      <c r="A109" s="786"/>
      <c r="B109" s="36">
        <f>B103+10</f>
        <v>172</v>
      </c>
      <c r="C109" s="789"/>
      <c r="D109" s="84"/>
      <c r="E109" s="24" t="s">
        <v>108</v>
      </c>
      <c r="F109" s="24"/>
      <c r="G109" s="769"/>
      <c r="H109" s="132"/>
      <c r="I109" s="769"/>
      <c r="J109" s="132"/>
      <c r="K109" s="792"/>
    </row>
    <row r="110" spans="1:11" x14ac:dyDescent="0.35">
      <c r="A110" s="786"/>
      <c r="B110" s="36">
        <f>B104+10</f>
        <v>173</v>
      </c>
      <c r="C110" s="789"/>
      <c r="D110" s="79" t="b">
        <v>0</v>
      </c>
      <c r="E110" s="44" t="s">
        <v>307</v>
      </c>
      <c r="G110" s="769"/>
      <c r="H110" s="132"/>
      <c r="I110" s="769"/>
      <c r="J110" s="132"/>
      <c r="K110" s="792"/>
    </row>
    <row r="111" spans="1:11" ht="6.75" customHeight="1" x14ac:dyDescent="0.35">
      <c r="A111" s="786"/>
      <c r="B111" s="36">
        <f>B105+10</f>
        <v>174</v>
      </c>
      <c r="C111" s="789"/>
      <c r="D111" s="80"/>
      <c r="E111" s="44"/>
      <c r="G111" s="769"/>
      <c r="H111" s="132"/>
      <c r="I111" s="769"/>
      <c r="J111" s="132"/>
      <c r="K111" s="792"/>
    </row>
    <row r="112" spans="1:11" ht="29.5" thickBot="1" x14ac:dyDescent="0.4">
      <c r="A112" s="787"/>
      <c r="B112" s="36">
        <f>B106+10</f>
        <v>175</v>
      </c>
      <c r="C112" s="790"/>
      <c r="D112" s="81" t="b">
        <v>0</v>
      </c>
      <c r="E112" s="58" t="s">
        <v>308</v>
      </c>
      <c r="F112" s="67"/>
      <c r="G112" s="771"/>
      <c r="H112" s="134"/>
      <c r="I112" s="771"/>
      <c r="J112" s="134"/>
      <c r="K112" s="793"/>
    </row>
    <row r="113" spans="1:11" ht="6" customHeight="1" thickBot="1" x14ac:dyDescent="0.4">
      <c r="A113" s="93"/>
      <c r="B113" s="93"/>
      <c r="C113" s="200"/>
      <c r="D113" s="31"/>
      <c r="E113" s="30"/>
      <c r="F113" s="30"/>
      <c r="G113" s="200"/>
      <c r="H113" s="139"/>
      <c r="I113" s="200"/>
      <c r="J113" s="139"/>
      <c r="K113" s="200"/>
    </row>
    <row r="114" spans="1:11" x14ac:dyDescent="0.35">
      <c r="A114" s="785">
        <f>A108+1</f>
        <v>18</v>
      </c>
      <c r="B114" s="36">
        <f>B108+10</f>
        <v>181</v>
      </c>
      <c r="C114" s="788"/>
      <c r="D114" s="82"/>
      <c r="E114" s="83"/>
      <c r="F114" s="62"/>
      <c r="G114" s="768"/>
      <c r="H114" s="129"/>
      <c r="I114" s="768"/>
      <c r="J114" s="129"/>
      <c r="K114" s="791"/>
    </row>
    <row r="115" spans="1:11" x14ac:dyDescent="0.35">
      <c r="A115" s="786"/>
      <c r="B115" s="36">
        <f>B109+10</f>
        <v>182</v>
      </c>
      <c r="C115" s="789"/>
      <c r="D115" s="84"/>
      <c r="E115" s="24" t="s">
        <v>108</v>
      </c>
      <c r="F115" s="24"/>
      <c r="G115" s="769"/>
      <c r="H115" s="132"/>
      <c r="I115" s="769"/>
      <c r="J115" s="132"/>
      <c r="K115" s="792"/>
    </row>
    <row r="116" spans="1:11" x14ac:dyDescent="0.35">
      <c r="A116" s="786"/>
      <c r="B116" s="36">
        <f>B110+10</f>
        <v>183</v>
      </c>
      <c r="C116" s="789"/>
      <c r="D116" s="79" t="b">
        <v>0</v>
      </c>
      <c r="E116" s="44" t="s">
        <v>307</v>
      </c>
      <c r="G116" s="769"/>
      <c r="H116" s="132"/>
      <c r="I116" s="769"/>
      <c r="J116" s="132"/>
      <c r="K116" s="792"/>
    </row>
    <row r="117" spans="1:11" ht="6.75" customHeight="1" x14ac:dyDescent="0.35">
      <c r="A117" s="786"/>
      <c r="B117" s="36">
        <f>B111+10</f>
        <v>184</v>
      </c>
      <c r="C117" s="789"/>
      <c r="D117" s="80"/>
      <c r="E117" s="44"/>
      <c r="G117" s="769"/>
      <c r="H117" s="132"/>
      <c r="I117" s="769"/>
      <c r="J117" s="132"/>
      <c r="K117" s="792"/>
    </row>
    <row r="118" spans="1:11" ht="29.5" thickBot="1" x14ac:dyDescent="0.4">
      <c r="A118" s="787"/>
      <c r="B118" s="36">
        <f>B112+10</f>
        <v>185</v>
      </c>
      <c r="C118" s="790"/>
      <c r="D118" s="81" t="b">
        <v>0</v>
      </c>
      <c r="E118" s="58" t="s">
        <v>308</v>
      </c>
      <c r="F118" s="67"/>
      <c r="G118" s="771"/>
      <c r="H118" s="134"/>
      <c r="I118" s="771"/>
      <c r="J118" s="134"/>
      <c r="K118" s="793"/>
    </row>
    <row r="119" spans="1:11" ht="6" customHeight="1" thickBot="1" x14ac:dyDescent="0.4">
      <c r="A119" s="93"/>
      <c r="B119" s="93"/>
      <c r="C119" s="200"/>
      <c r="D119" s="31"/>
      <c r="E119" s="30"/>
      <c r="F119" s="30"/>
      <c r="G119" s="200"/>
      <c r="H119" s="139"/>
      <c r="I119" s="200"/>
      <c r="J119" s="139"/>
      <c r="K119" s="200"/>
    </row>
    <row r="120" spans="1:11" x14ac:dyDescent="0.35">
      <c r="A120" s="785">
        <f>A114+1</f>
        <v>19</v>
      </c>
      <c r="B120" s="36">
        <f>B114+10</f>
        <v>191</v>
      </c>
      <c r="C120" s="788"/>
      <c r="D120" s="82"/>
      <c r="E120" s="83"/>
      <c r="F120" s="62"/>
      <c r="G120" s="768"/>
      <c r="H120" s="129"/>
      <c r="I120" s="768"/>
      <c r="J120" s="129"/>
      <c r="K120" s="791"/>
    </row>
    <row r="121" spans="1:11" x14ac:dyDescent="0.35">
      <c r="A121" s="786"/>
      <c r="B121" s="36">
        <f>B115+10</f>
        <v>192</v>
      </c>
      <c r="C121" s="789"/>
      <c r="D121" s="84"/>
      <c r="E121" s="24" t="s">
        <v>108</v>
      </c>
      <c r="F121" s="24"/>
      <c r="G121" s="769"/>
      <c r="H121" s="132"/>
      <c r="I121" s="769"/>
      <c r="J121" s="132"/>
      <c r="K121" s="792"/>
    </row>
    <row r="122" spans="1:11" x14ac:dyDescent="0.35">
      <c r="A122" s="786"/>
      <c r="B122" s="36">
        <f>B116+10</f>
        <v>193</v>
      </c>
      <c r="C122" s="789"/>
      <c r="D122" s="79" t="b">
        <v>0</v>
      </c>
      <c r="E122" s="44" t="s">
        <v>307</v>
      </c>
      <c r="G122" s="769"/>
      <c r="H122" s="132"/>
      <c r="I122" s="769"/>
      <c r="J122" s="132"/>
      <c r="K122" s="792"/>
    </row>
    <row r="123" spans="1:11" ht="6.75" customHeight="1" x14ac:dyDescent="0.35">
      <c r="A123" s="786"/>
      <c r="B123" s="36">
        <f>B117+10</f>
        <v>194</v>
      </c>
      <c r="C123" s="789"/>
      <c r="D123" s="80"/>
      <c r="E123" s="44"/>
      <c r="G123" s="769"/>
      <c r="H123" s="132"/>
      <c r="I123" s="769"/>
      <c r="J123" s="132"/>
      <c r="K123" s="792"/>
    </row>
    <row r="124" spans="1:11" ht="29.5" thickBot="1" x14ac:dyDescent="0.4">
      <c r="A124" s="787"/>
      <c r="B124" s="36">
        <f>B118+10</f>
        <v>195</v>
      </c>
      <c r="C124" s="790"/>
      <c r="D124" s="81" t="b">
        <v>0</v>
      </c>
      <c r="E124" s="58" t="s">
        <v>308</v>
      </c>
      <c r="F124" s="67"/>
      <c r="G124" s="771"/>
      <c r="H124" s="134"/>
      <c r="I124" s="771"/>
      <c r="J124" s="134"/>
      <c r="K124" s="793"/>
    </row>
    <row r="125" spans="1:11" ht="6" customHeight="1" thickBot="1" x14ac:dyDescent="0.4">
      <c r="A125" s="93"/>
      <c r="B125" s="93"/>
      <c r="C125" s="200"/>
      <c r="D125" s="31"/>
      <c r="E125" s="30"/>
      <c r="F125" s="30"/>
      <c r="G125" s="200"/>
      <c r="H125" s="139"/>
      <c r="I125" s="200"/>
      <c r="J125" s="139"/>
      <c r="K125" s="200"/>
    </row>
    <row r="126" spans="1:11" x14ac:dyDescent="0.35">
      <c r="A126" s="785">
        <f>A120+1</f>
        <v>20</v>
      </c>
      <c r="B126" s="36">
        <f>B120+10</f>
        <v>201</v>
      </c>
      <c r="C126" s="788"/>
      <c r="D126" s="82"/>
      <c r="E126" s="83"/>
      <c r="F126" s="62"/>
      <c r="G126" s="768"/>
      <c r="H126" s="129"/>
      <c r="I126" s="768"/>
      <c r="J126" s="129"/>
      <c r="K126" s="791"/>
    </row>
    <row r="127" spans="1:11" x14ac:dyDescent="0.35">
      <c r="A127" s="786"/>
      <c r="B127" s="36">
        <f>B121+10</f>
        <v>202</v>
      </c>
      <c r="C127" s="789"/>
      <c r="D127" s="84"/>
      <c r="E127" s="24" t="s">
        <v>108</v>
      </c>
      <c r="F127" s="24"/>
      <c r="G127" s="769"/>
      <c r="H127" s="132"/>
      <c r="I127" s="769"/>
      <c r="J127" s="132"/>
      <c r="K127" s="792"/>
    </row>
    <row r="128" spans="1:11" x14ac:dyDescent="0.35">
      <c r="A128" s="786"/>
      <c r="B128" s="36">
        <f>B122+10</f>
        <v>203</v>
      </c>
      <c r="C128" s="789"/>
      <c r="D128" s="79" t="b">
        <v>0</v>
      </c>
      <c r="E128" s="44" t="s">
        <v>307</v>
      </c>
      <c r="G128" s="769"/>
      <c r="H128" s="132"/>
      <c r="I128" s="769"/>
      <c r="J128" s="132"/>
      <c r="K128" s="792"/>
    </row>
    <row r="129" spans="1:11" ht="6.75" customHeight="1" x14ac:dyDescent="0.35">
      <c r="A129" s="786"/>
      <c r="B129" s="36">
        <f>B123+10</f>
        <v>204</v>
      </c>
      <c r="C129" s="789"/>
      <c r="D129" s="80"/>
      <c r="E129" s="44"/>
      <c r="G129" s="769"/>
      <c r="H129" s="132"/>
      <c r="I129" s="769"/>
      <c r="J129" s="132"/>
      <c r="K129" s="792"/>
    </row>
    <row r="130" spans="1:11" ht="29.5" thickBot="1" x14ac:dyDescent="0.4">
      <c r="A130" s="787"/>
      <c r="B130" s="36">
        <f>B124+10</f>
        <v>205</v>
      </c>
      <c r="C130" s="790"/>
      <c r="D130" s="81" t="b">
        <v>0</v>
      </c>
      <c r="E130" s="58" t="s">
        <v>308</v>
      </c>
      <c r="F130" s="67"/>
      <c r="G130" s="771"/>
      <c r="H130" s="134"/>
      <c r="I130" s="771"/>
      <c r="J130" s="134"/>
      <c r="K130" s="793"/>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activeCell="B1" sqref="B1"/>
      <selection pane="topRight" activeCell="D1" sqref="D1"/>
      <selection pane="bottomLeft" activeCell="B7" sqref="B7"/>
      <selection pane="bottomRight" activeCell="H1" sqref="H1"/>
    </sheetView>
  </sheetViews>
  <sheetFormatPr defaultRowHeight="14.5" outlineLevelRow="1" x14ac:dyDescent="0.35"/>
  <cols>
    <col min="1" max="1" width="2.90625" style="241" hidden="1" customWidth="1"/>
    <col min="2" max="2" width="3.81640625" style="471" customWidth="1"/>
    <col min="3" max="3" width="0.36328125" style="34" customWidth="1"/>
    <col min="4" max="4" width="24.453125" bestFit="1" customWidth="1"/>
    <col min="5" max="5" width="4.81640625" customWidth="1"/>
    <col min="6" max="6" width="33.1796875" customWidth="1"/>
    <col min="7" max="7" width="5.08984375" customWidth="1"/>
    <col min="8" max="8" width="31.08984375" customWidth="1"/>
    <col min="9" max="9" width="4.26953125" customWidth="1"/>
    <col min="10" max="10" width="22.36328125" customWidth="1"/>
    <col min="11" max="11" width="5.08984375" customWidth="1"/>
    <col min="12" max="12" width="28.90625" customWidth="1"/>
    <col min="13" max="13" width="5.453125" customWidth="1"/>
    <col min="14" max="14" width="13.54296875" customWidth="1"/>
    <col min="15" max="15" width="5" customWidth="1"/>
    <col min="16" max="16" width="27.6328125" customWidth="1"/>
    <col min="17" max="17" width="11" customWidth="1"/>
    <col min="18" max="18" width="3.81640625" customWidth="1"/>
    <col min="19" max="20" width="13.1796875" customWidth="1"/>
    <col min="21" max="21" width="29.36328125" customWidth="1"/>
    <col min="22" max="22" width="8.7265625" customWidth="1"/>
    <col min="23" max="23" width="38" customWidth="1"/>
    <col min="24" max="24" width="4.54296875" customWidth="1"/>
    <col min="25" max="25" width="20.7265625" customWidth="1"/>
    <col min="26" max="26" width="34.7265625" customWidth="1"/>
    <col min="27" max="27" width="4.36328125" customWidth="1"/>
    <col min="28" max="28" width="4.1796875" customWidth="1"/>
    <col min="29" max="29" width="40.81640625" customWidth="1"/>
    <col min="30" max="30" width="2.089843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91"/>
      <c r="B1" s="485"/>
      <c r="C1" s="303"/>
      <c r="D1" s="302" t="s">
        <v>348</v>
      </c>
      <c r="E1" s="231"/>
      <c r="F1" s="863" t="s">
        <v>319</v>
      </c>
      <c r="G1" s="863"/>
      <c r="H1" s="300">
        <v>1</v>
      </c>
      <c r="I1" s="301"/>
      <c r="J1" s="300">
        <v>1</v>
      </c>
      <c r="K1" s="301"/>
      <c r="L1" s="300">
        <v>1</v>
      </c>
      <c r="M1" s="301"/>
      <c r="N1" s="865">
        <v>1</v>
      </c>
      <c r="O1" s="866"/>
      <c r="P1" s="297"/>
      <c r="Q1" s="232"/>
      <c r="R1" s="232"/>
      <c r="S1" s="231"/>
      <c r="T1" s="231"/>
      <c r="U1" s="231"/>
      <c r="V1" s="231"/>
      <c r="W1" s="231"/>
      <c r="X1" s="231"/>
      <c r="Y1" s="231"/>
      <c r="Z1" s="231"/>
      <c r="AA1" s="231"/>
      <c r="AB1" s="231"/>
      <c r="AC1" s="231"/>
      <c r="AD1" s="231"/>
      <c r="AE1" s="231"/>
      <c r="AF1" s="231"/>
      <c r="AG1" s="231"/>
      <c r="AH1" s="231"/>
      <c r="AI1" s="231"/>
      <c r="AJ1" s="231"/>
      <c r="AK1" s="231"/>
    </row>
    <row r="2" spans="1:37" s="13" customFormat="1" ht="35" customHeight="1" x14ac:dyDescent="0.35">
      <c r="A2" s="296"/>
      <c r="B2" s="472"/>
      <c r="C2" s="304"/>
      <c r="D2" s="296"/>
      <c r="E2" s="296"/>
      <c r="F2" s="863"/>
      <c r="G2" s="863"/>
      <c r="H2" s="298" t="str">
        <f>D7</f>
        <v>Sensitivity Labels</v>
      </c>
      <c r="I2" s="296"/>
      <c r="J2" s="298" t="str">
        <f>D43</f>
        <v>Publishing</v>
      </c>
      <c r="K2" s="298"/>
      <c r="L2" s="298" t="str">
        <f>D57</f>
        <v>Service-Side Auto-Labeling Policies</v>
      </c>
      <c r="M2" s="298"/>
      <c r="N2" s="862" t="str">
        <f>D64</f>
        <v>Data Loss Prevention (DLP)</v>
      </c>
      <c r="O2" s="862"/>
      <c r="P2" s="231"/>
      <c r="Q2" s="296"/>
      <c r="R2" s="296"/>
      <c r="S2" s="296"/>
      <c r="T2" s="296"/>
      <c r="U2" s="296"/>
      <c r="V2" s="296"/>
      <c r="W2" s="296"/>
      <c r="X2" s="296"/>
      <c r="Y2" s="296"/>
      <c r="Z2" s="296"/>
      <c r="AA2" s="296"/>
      <c r="AB2" s="296"/>
      <c r="AC2" s="296"/>
      <c r="AD2" s="296"/>
      <c r="AE2" s="296"/>
      <c r="AF2" s="296"/>
      <c r="AG2" s="296"/>
      <c r="AH2" s="296"/>
      <c r="AI2" s="296"/>
      <c r="AJ2" s="296"/>
      <c r="AK2" s="296"/>
    </row>
    <row r="3" spans="1:37" s="13" customFormat="1" ht="35" hidden="1" customHeight="1" outlineLevel="1" x14ac:dyDescent="0.35">
      <c r="A3" s="296"/>
      <c r="B3" s="494"/>
      <c r="C3" s="838" t="s">
        <v>322</v>
      </c>
      <c r="D3" s="560" t="s">
        <v>334</v>
      </c>
      <c r="E3" s="560"/>
      <c r="F3" s="560"/>
      <c r="G3" s="306"/>
      <c r="H3" s="843" t="s">
        <v>335</v>
      </c>
      <c r="I3" s="307"/>
      <c r="J3" s="843" t="s">
        <v>336</v>
      </c>
      <c r="K3" s="308"/>
      <c r="L3" s="843" t="s">
        <v>337</v>
      </c>
      <c r="M3" s="308"/>
      <c r="N3" s="845" t="s">
        <v>338</v>
      </c>
      <c r="O3" s="846"/>
      <c r="P3"/>
    </row>
    <row r="4" spans="1:37" s="13" customFormat="1" ht="48.5" hidden="1" customHeight="1" outlineLevel="1" x14ac:dyDescent="0.35">
      <c r="A4" s="296"/>
      <c r="B4" s="494"/>
      <c r="C4" s="839"/>
      <c r="D4" s="560"/>
      <c r="E4" s="560"/>
      <c r="F4" s="560"/>
      <c r="G4" s="306"/>
      <c r="H4" s="844"/>
      <c r="I4" s="307"/>
      <c r="J4" s="844"/>
      <c r="K4" s="308"/>
      <c r="L4" s="844"/>
      <c r="M4" s="308"/>
      <c r="N4" s="614"/>
      <c r="O4" s="615"/>
      <c r="P4"/>
    </row>
    <row r="5" spans="1:37" s="13" customFormat="1" ht="35" hidden="1" customHeight="1" outlineLevel="1" x14ac:dyDescent="0.35">
      <c r="A5" s="296"/>
      <c r="B5" s="494"/>
      <c r="C5" s="848" t="s">
        <v>99</v>
      </c>
      <c r="D5" s="565"/>
      <c r="E5" s="565"/>
      <c r="F5" s="565"/>
      <c r="G5" s="306"/>
      <c r="H5" s="309"/>
      <c r="I5" s="307"/>
      <c r="J5" s="309"/>
      <c r="K5" s="308"/>
      <c r="L5" s="309"/>
      <c r="M5" s="308"/>
      <c r="N5" s="852"/>
      <c r="O5" s="852"/>
      <c r="P5"/>
    </row>
    <row r="6" spans="1:37" s="13" customFormat="1" ht="35" hidden="1" customHeight="1" outlineLevel="1" x14ac:dyDescent="0.35">
      <c r="A6" s="296"/>
      <c r="B6" s="494"/>
      <c r="C6" s="848"/>
      <c r="D6" s="565"/>
      <c r="E6" s="565"/>
      <c r="F6" s="565"/>
      <c r="G6" s="306"/>
      <c r="H6" s="309"/>
      <c r="I6" s="307"/>
      <c r="J6" s="309"/>
      <c r="K6" s="308"/>
      <c r="L6" s="309"/>
      <c r="M6" s="308"/>
      <c r="N6" s="852"/>
      <c r="O6" s="852"/>
      <c r="P6"/>
    </row>
    <row r="7" spans="1:37" ht="18.5" collapsed="1" x14ac:dyDescent="0.45">
      <c r="C7" s="370"/>
      <c r="D7" s="243" t="str">
        <f>'Sensitivity Labels'!C1</f>
        <v>Sensitivity Labels</v>
      </c>
      <c r="E7" s="204"/>
    </row>
    <row r="8" spans="1:37" s="237" customFormat="1" ht="29.5" customHeight="1" x14ac:dyDescent="0.35">
      <c r="A8" s="292"/>
      <c r="B8" s="473"/>
      <c r="C8" s="304"/>
      <c r="D8" s="484" t="str">
        <f>'Sensitivity Labels'!C3</f>
        <v>Label/Parent Label/Label Group/Sub-Label:</v>
      </c>
      <c r="E8" s="864" t="str">
        <f>'Sensitivity Labels'!D3</f>
        <v>Name:</v>
      </c>
      <c r="F8" s="804"/>
      <c r="G8" s="804" t="str">
        <f>'Sensitivity Labels'!E3</f>
        <v>Display Name:</v>
      </c>
      <c r="H8" s="804"/>
      <c r="I8" s="804" t="str">
        <f>'Sensitivity Labels'!F3</f>
        <v>Scope:</v>
      </c>
      <c r="J8" s="804"/>
      <c r="K8" s="804"/>
      <c r="L8" s="804"/>
      <c r="M8" s="804"/>
      <c r="N8" s="804"/>
      <c r="O8" s="804"/>
      <c r="P8" s="804"/>
      <c r="Q8" s="804"/>
      <c r="R8" s="804" t="str">
        <f>'Sensitivity Labels'!I3</f>
        <v>Description for users:</v>
      </c>
      <c r="S8" s="804"/>
      <c r="T8" s="804"/>
      <c r="U8" s="804"/>
      <c r="V8" s="804" t="str">
        <f>'Sensitivity Labels'!J3</f>
        <v>Description for admins:</v>
      </c>
      <c r="W8" s="804"/>
      <c r="X8" s="804" t="str">
        <f>'Sensitivity Labels'!K3</f>
        <v>Label Color:</v>
      </c>
      <c r="Y8" s="804"/>
    </row>
    <row r="9" spans="1:37" x14ac:dyDescent="0.35">
      <c r="A9" s="241">
        <f>VLOOKUP(B9,'Sensitivity Labels'!$A$11:$K$170,2,FALSE)</f>
        <v>11</v>
      </c>
      <c r="B9" s="867">
        <f>H$1</f>
        <v>1</v>
      </c>
      <c r="C9" s="305"/>
      <c r="D9" s="538" t="str">
        <f>IF(VLOOKUP($A9,'Sensitivity Labels'!$B$11:$K$170,2,FALSE)="","",VLOOKUP($A9,'Sensitivity Labels'!$B$11:$K$170,2,FALSE))</f>
        <v/>
      </c>
      <c r="E9" s="805" t="str">
        <f>IF(VLOOKUP($A9,'Sensitivity Labels'!$B$11:$K$170,3,FALSE)="","",VLOOKUP($A9,'Sensitivity Labels'!$B$11:$K$170,3,FALSE))</f>
        <v/>
      </c>
      <c r="F9" s="622"/>
      <c r="G9" s="805" t="str">
        <f>IF(VLOOKUP($A9,'Sensitivity Labels'!$B$11:$K$170,4,FALSE)="","",VLOOKUP($A9,'Sensitivity Labels'!$B$11:$K$170,4,FALSE))</f>
        <v/>
      </c>
      <c r="H9" s="622"/>
      <c r="I9" s="412" t="b">
        <f>VLOOKUP($A9,'Sensitivity Labels'!$B$11:$K$170,5,FALSE)</f>
        <v>0</v>
      </c>
      <c r="J9" s="265" t="s">
        <v>110</v>
      </c>
      <c r="K9" s="855" t="s">
        <v>111</v>
      </c>
      <c r="L9" s="855"/>
      <c r="M9" s="855"/>
      <c r="N9" s="855"/>
      <c r="O9" s="855"/>
      <c r="P9" s="855"/>
      <c r="Q9" s="855"/>
      <c r="R9" s="805" t="str">
        <f>IF(VLOOKUP($A9,'Sensitivity Labels'!$B$11:$K$170,8,FALSE)="","",VLOOKUP($A9,'Sensitivity Labels'!$B$11:$K$170,8,FALSE))</f>
        <v/>
      </c>
      <c r="S9" s="806"/>
      <c r="T9" s="806"/>
      <c r="U9" s="622"/>
      <c r="V9" s="805" t="str">
        <f>IF(VLOOKUP($A9,'Sensitivity Labels'!$B$11:$K$170,9,FALSE)="","",VLOOKUP($A9,'Sensitivity Labels'!$B$11:$K$170,9,FALSE))</f>
        <v/>
      </c>
      <c r="W9" s="806"/>
      <c r="X9" s="811">
        <f>VLOOKUP($A9,'Sensitivity Labels'!$B$11:$K$170,10,FALSE)</f>
        <v>0</v>
      </c>
      <c r="Y9" s="812"/>
    </row>
    <row r="10" spans="1:37" x14ac:dyDescent="0.35">
      <c r="A10" s="241">
        <f t="shared" ref="A10:A15" si="0">A9+1</f>
        <v>12</v>
      </c>
      <c r="B10" s="868"/>
      <c r="C10" s="305"/>
      <c r="D10" s="538"/>
      <c r="E10" s="691"/>
      <c r="F10" s="620"/>
      <c r="G10" s="691"/>
      <c r="H10" s="620"/>
      <c r="I10" s="25"/>
      <c r="J10" s="25"/>
      <c r="L10" s="3"/>
      <c r="M10" s="3"/>
      <c r="N10" s="3"/>
      <c r="O10" s="3"/>
      <c r="P10" s="3"/>
      <c r="Q10" s="3"/>
      <c r="R10" s="691"/>
      <c r="S10" s="807"/>
      <c r="T10" s="807"/>
      <c r="U10" s="620"/>
      <c r="V10" s="691"/>
      <c r="W10" s="807"/>
      <c r="X10" s="813"/>
      <c r="Y10" s="814"/>
    </row>
    <row r="11" spans="1:37" x14ac:dyDescent="0.35">
      <c r="A11" s="241">
        <f t="shared" si="0"/>
        <v>13</v>
      </c>
      <c r="B11" s="868"/>
      <c r="C11" s="305"/>
      <c r="D11" s="538"/>
      <c r="E11" s="691"/>
      <c r="F11" s="620"/>
      <c r="G11" s="691"/>
      <c r="H11" s="620"/>
      <c r="I11" s="413" t="b">
        <f>VLOOKUP($A11,'Sensitivity Labels'!$B$11:$K$170,5,FALSE)</f>
        <v>0</v>
      </c>
      <c r="J11" s="25" t="s">
        <v>2</v>
      </c>
      <c r="K11" s="856" t="s">
        <v>112</v>
      </c>
      <c r="L11" s="856"/>
      <c r="M11" s="856"/>
      <c r="N11" s="856"/>
      <c r="O11" s="856"/>
      <c r="P11" s="856"/>
      <c r="Q11" s="856"/>
      <c r="R11" s="691"/>
      <c r="S11" s="807"/>
      <c r="T11" s="807"/>
      <c r="U11" s="620"/>
      <c r="V11" s="691"/>
      <c r="W11" s="807"/>
      <c r="X11" s="813"/>
      <c r="Y11" s="814"/>
    </row>
    <row r="12" spans="1:37" x14ac:dyDescent="0.35">
      <c r="A12" s="241">
        <f t="shared" si="0"/>
        <v>14</v>
      </c>
      <c r="B12" s="868"/>
      <c r="C12" s="305"/>
      <c r="D12" s="538"/>
      <c r="E12" s="691"/>
      <c r="F12" s="620"/>
      <c r="G12" s="691"/>
      <c r="H12" s="620"/>
      <c r="I12" s="25"/>
      <c r="J12" s="25"/>
      <c r="L12" s="3"/>
      <c r="M12" s="3"/>
      <c r="N12" s="3"/>
      <c r="O12" s="3"/>
      <c r="P12" s="3"/>
      <c r="Q12" s="3"/>
      <c r="R12" s="691"/>
      <c r="S12" s="807"/>
      <c r="T12" s="807"/>
      <c r="U12" s="620"/>
      <c r="V12" s="691"/>
      <c r="W12" s="807"/>
      <c r="X12" s="813"/>
      <c r="Y12" s="814"/>
    </row>
    <row r="13" spans="1:37" x14ac:dyDescent="0.35">
      <c r="A13" s="241">
        <f t="shared" si="0"/>
        <v>15</v>
      </c>
      <c r="B13" s="868"/>
      <c r="C13" s="305"/>
      <c r="D13" s="538"/>
      <c r="E13" s="691"/>
      <c r="F13" s="620"/>
      <c r="G13" s="691"/>
      <c r="H13" s="620"/>
      <c r="I13" s="414" t="b">
        <f>VLOOKUP($A13,'Sensitivity Labels'!$B$11:$K$170,5,FALSE)</f>
        <v>0</v>
      </c>
      <c r="J13" s="80" t="s">
        <v>113</v>
      </c>
      <c r="K13" s="624" t="s">
        <v>114</v>
      </c>
      <c r="L13" s="624"/>
      <c r="M13" s="624"/>
      <c r="N13" s="624"/>
      <c r="O13" s="624"/>
      <c r="P13" s="624"/>
      <c r="Q13" s="624"/>
      <c r="R13" s="691"/>
      <c r="S13" s="807"/>
      <c r="T13" s="807"/>
      <c r="U13" s="620"/>
      <c r="V13" s="691"/>
      <c r="W13" s="807"/>
      <c r="X13" s="813"/>
      <c r="Y13" s="814"/>
    </row>
    <row r="14" spans="1:37" x14ac:dyDescent="0.35">
      <c r="A14" s="241">
        <f t="shared" si="0"/>
        <v>16</v>
      </c>
      <c r="B14" s="868"/>
      <c r="C14" s="305"/>
      <c r="D14" s="538"/>
      <c r="E14" s="691"/>
      <c r="F14" s="620"/>
      <c r="G14" s="691"/>
      <c r="H14" s="620"/>
      <c r="I14" s="25"/>
      <c r="J14" s="25"/>
      <c r="L14" s="3"/>
      <c r="M14" s="3"/>
      <c r="N14" s="3"/>
      <c r="O14" s="3"/>
      <c r="P14" s="3"/>
      <c r="Q14" s="3"/>
      <c r="R14" s="691"/>
      <c r="S14" s="807"/>
      <c r="T14" s="807"/>
      <c r="U14" s="620"/>
      <c r="V14" s="691"/>
      <c r="W14" s="807"/>
      <c r="X14" s="813"/>
      <c r="Y14" s="814"/>
    </row>
    <row r="15" spans="1:37" ht="30" customHeight="1" x14ac:dyDescent="0.35">
      <c r="A15" s="241">
        <f t="shared" si="0"/>
        <v>17</v>
      </c>
      <c r="B15" s="869"/>
      <c r="C15" s="305"/>
      <c r="D15" s="783"/>
      <c r="E15" s="808"/>
      <c r="F15" s="810"/>
      <c r="G15" s="808"/>
      <c r="H15" s="810"/>
      <c r="I15" s="274" t="b">
        <f>VLOOKUP($A15,'Sensitivity Labels'!$B$11:$K$170,5,FALSE)</f>
        <v>0</v>
      </c>
      <c r="J15" s="415" t="s">
        <v>76</v>
      </c>
      <c r="K15" s="880" t="s">
        <v>115</v>
      </c>
      <c r="L15" s="880"/>
      <c r="M15" s="880"/>
      <c r="N15" s="880"/>
      <c r="O15" s="880"/>
      <c r="P15" s="880"/>
      <c r="Q15" s="880"/>
      <c r="R15" s="808"/>
      <c r="S15" s="809"/>
      <c r="T15" s="809"/>
      <c r="U15" s="810"/>
      <c r="V15" s="808"/>
      <c r="W15" s="809"/>
      <c r="X15" s="815"/>
      <c r="Y15" s="816"/>
    </row>
    <row r="16" spans="1:37" ht="4" customHeight="1" x14ac:dyDescent="0.35">
      <c r="B16" s="132"/>
      <c r="C16" s="305"/>
    </row>
    <row r="17" spans="1:34" ht="18.5" x14ac:dyDescent="0.45">
      <c r="C17" s="305"/>
      <c r="D17" s="243" t="str">
        <f>'Emails, Files, &amp; Other Data'!C1</f>
        <v>Emails, Files, &amp; Other Data Assets</v>
      </c>
      <c r="E17" s="204"/>
    </row>
    <row r="18" spans="1:34" s="236" customFormat="1" ht="32.5" customHeight="1" x14ac:dyDescent="0.35">
      <c r="A18" s="293"/>
      <c r="B18" s="474"/>
      <c r="C18" s="305"/>
      <c r="D18" s="299" t="str">
        <f>'Emails, Files, &amp; Other Data'!C3</f>
        <v>Label/Sub-Label Name:</v>
      </c>
      <c r="E18" s="879" t="str">
        <f>'Emails, Files, &amp; Other Data'!E3</f>
        <v>Choose protection settings for the types of items you selected:</v>
      </c>
      <c r="F18" s="879"/>
      <c r="G18" s="861" t="str">
        <f>'Emails, Files, &amp; Other Data'!H3</f>
        <v>Remove or Configure:</v>
      </c>
      <c r="H18" s="861"/>
      <c r="I18" s="861" t="str">
        <f>'Emails, Files, &amp; Other Data'!J3</f>
        <v>Assign:</v>
      </c>
      <c r="J18" s="861"/>
      <c r="K18" s="820" t="str">
        <f>'Emails, Files, &amp; Other Data'!L3</f>
        <v>User access to content expires:</v>
      </c>
      <c r="L18" s="821"/>
      <c r="M18" s="821"/>
      <c r="N18" s="822"/>
      <c r="O18" s="881" t="str">
        <f>'Emails, Files, &amp; Other Data'!O3</f>
        <v>Allow offline access:</v>
      </c>
      <c r="P18" s="881"/>
      <c r="Q18" s="881"/>
      <c r="R18" s="820" t="str">
        <f>'Emails, Files, &amp; Other Data'!R3</f>
        <v>Assign Permissions Now:</v>
      </c>
      <c r="S18" s="821"/>
      <c r="T18" s="821"/>
      <c r="U18" s="822"/>
      <c r="V18" s="830" t="str">
        <f>'Emails, Files, &amp; Other Data'!U3</f>
        <v>Let users assign permissions when they apply the label:</v>
      </c>
      <c r="W18" s="831"/>
      <c r="X18" s="817" t="str">
        <f>'Emails, Files, &amp; Other Data'!X3</f>
        <v>Content Marking:</v>
      </c>
      <c r="Y18" s="817"/>
      <c r="Z18" s="817"/>
      <c r="AA18" s="820" t="str">
        <f>'Emails, Files, &amp; Other Data'!AB3</f>
        <v>Auto-labeling for files and emails: "Client-side Auto-Labeling"</v>
      </c>
      <c r="AB18" s="821"/>
      <c r="AC18" s="821"/>
      <c r="AD18" s="821"/>
      <c r="AE18" s="821"/>
      <c r="AF18" s="821"/>
      <c r="AG18" s="822"/>
    </row>
    <row r="19" spans="1:34" ht="32.5" customHeight="1" x14ac:dyDescent="0.35">
      <c r="A19" s="241">
        <f>VLOOKUP(B19,'Emails, Files, &amp; Other Data'!A10:B246,2,FALSE)</f>
        <v>11</v>
      </c>
      <c r="B19" s="876">
        <f>H$1</f>
        <v>1</v>
      </c>
      <c r="C19" s="305"/>
      <c r="D19" s="875" t="str">
        <f>IF(VLOOKUP(A19,'Emails, Files, &amp; Other Data'!$B$10:$AE$248,2,FALSE)="","",VLOOKUP(A19,'Emails, Files, &amp; Other Data'!$B$10:$AE$248,2,FALSE))</f>
        <v>Please fill out Sensitivity Labels Tab</v>
      </c>
      <c r="E19" s="453"/>
      <c r="F19" s="454"/>
      <c r="G19" s="857"/>
      <c r="H19" s="858"/>
      <c r="I19" s="859"/>
      <c r="J19" s="860"/>
      <c r="K19" s="434"/>
      <c r="L19" s="410"/>
      <c r="M19" s="410"/>
      <c r="N19" s="410"/>
      <c r="O19" s="430"/>
      <c r="P19" s="506"/>
      <c r="Q19" s="507"/>
      <c r="R19" s="835" t="s">
        <v>147</v>
      </c>
      <c r="S19" s="835"/>
      <c r="T19" s="835"/>
      <c r="U19" s="829"/>
      <c r="V19" s="828" t="s">
        <v>148</v>
      </c>
      <c r="W19" s="829"/>
      <c r="X19" s="421"/>
      <c r="Y19" s="44"/>
      <c r="Z19" s="44"/>
      <c r="AA19" s="416"/>
      <c r="AB19" s="218"/>
      <c r="AC19" s="218"/>
      <c r="AD19" s="218"/>
      <c r="AE19" s="218"/>
      <c r="AF19" s="217"/>
      <c r="AG19" s="271"/>
      <c r="AH19" s="23"/>
    </row>
    <row r="20" spans="1:34" ht="15" customHeight="1" x14ac:dyDescent="0.35">
      <c r="A20" s="241">
        <f>A19+1</f>
        <v>12</v>
      </c>
      <c r="B20" s="877"/>
      <c r="C20" s="305"/>
      <c r="D20" s="875"/>
      <c r="E20" s="455"/>
      <c r="F20" s="456"/>
      <c r="G20" s="217"/>
      <c r="H20" s="409"/>
      <c r="I20" s="437"/>
      <c r="J20" s="438"/>
      <c r="K20" s="435"/>
      <c r="L20" s="410"/>
      <c r="M20" s="410"/>
      <c r="N20" s="410"/>
      <c r="O20" s="431"/>
      <c r="P20" s="24"/>
      <c r="Q20" s="508"/>
      <c r="R20" s="9"/>
      <c r="S20" s="550" t="str">
        <f>IF(VLOOKUP($A20,'Emails, Files, &amp; Other Data'!$B$10:$AE$248,17,FALSE)="","",VLOOKUP($A20,'Emails, Files, &amp; Other Data'!$B$10:$AE$248,17,FALSE))</f>
        <v/>
      </c>
      <c r="T20" s="550"/>
      <c r="U20" s="837"/>
      <c r="V20" s="424"/>
      <c r="W20" s="411" t="str">
        <f>IF(VLOOKUP($A21,'Emails, Files, &amp; Other Data'!$B$10:$AE$248,20,FALSE)="","",VLOOKUP($A21,'Emails, Files, &amp; Other Data'!$B$10:$AE$248,20,FALSE))</f>
        <v/>
      </c>
      <c r="X20" s="422"/>
      <c r="Y20" s="44"/>
      <c r="Z20" s="44"/>
      <c r="AA20" s="150"/>
      <c r="AB20" s="218"/>
      <c r="AC20" s="218"/>
      <c r="AD20" s="218"/>
      <c r="AE20" s="218"/>
      <c r="AF20" s="217"/>
      <c r="AG20" s="409"/>
      <c r="AH20" s="23"/>
    </row>
    <row r="21" spans="1:34" ht="15" customHeight="1" x14ac:dyDescent="0.35">
      <c r="A21" s="241">
        <f t="shared" ref="A21:A27" si="1">A20+1</f>
        <v>13</v>
      </c>
      <c r="B21" s="877"/>
      <c r="C21" s="305"/>
      <c r="D21" s="875"/>
      <c r="E21" s="433" t="b">
        <f>VLOOKUP($A21,'Emails, Files, &amp; Other Data'!$B$10:$AE$248,4,FALSE)</f>
        <v>0</v>
      </c>
      <c r="F21" s="445" t="s">
        <v>149</v>
      </c>
      <c r="G21" s="209" t="b">
        <f>VLOOKUP($A21,'Emails, Files, &amp; Other Data'!$B$10:$AE$248,7,FALSE)</f>
        <v>0</v>
      </c>
      <c r="H21" s="870" t="s">
        <v>150</v>
      </c>
      <c r="I21" s="210" t="b">
        <f>VLOOKUP($A21,'Emails, Files, &amp; Other Data'!$B$10:$AE$248,9,FALSE)</f>
        <v>0</v>
      </c>
      <c r="J21" s="439" t="s">
        <v>151</v>
      </c>
      <c r="K21" s="429" t="b">
        <f>VLOOKUP($A21,'Emails, Files, &amp; Other Data'!$B$10:$AE$248,11,FALSE)</f>
        <v>0</v>
      </c>
      <c r="L21" s="9" t="s">
        <v>152</v>
      </c>
      <c r="M21" s="3"/>
      <c r="N21" s="3"/>
      <c r="O21" s="429" t="b">
        <f>VLOOKUP($A21,'Emails, Files, &amp; Other Data'!$B$10:$AE$248,14,FALSE)</f>
        <v>0</v>
      </c>
      <c r="P21" s="9" t="s">
        <v>153</v>
      </c>
      <c r="Q21" s="445"/>
      <c r="R21" s="505"/>
      <c r="S21" s="550"/>
      <c r="T21" s="550"/>
      <c r="U21" s="837"/>
      <c r="V21" s="834" t="b">
        <f>VLOOKUP($A22,'Emails, Files, &amp; Other Data'!$B$10:$AE$248,20,FALSE)</f>
        <v>0</v>
      </c>
      <c r="W21" s="833" t="s">
        <v>164</v>
      </c>
      <c r="X21" s="423" t="b">
        <f>VLOOKUP($A21,'Emails, Files, &amp; Other Data'!$B$10:$AE$248,23,FALSE)</f>
        <v>0</v>
      </c>
      <c r="Y21" s="214" t="s">
        <v>154</v>
      </c>
      <c r="Z21" s="404" t="str">
        <f>IF(VLOOKUP($A21,'Emails, Files, &amp; Other Data'!$B$10:$AE$248,25,FALSE)="","",VLOOKUP($A21,'Emails, Files, &amp; Other Data'!$B$10:$AE$248,25,FALSE))</f>
        <v/>
      </c>
      <c r="AA21" s="417"/>
      <c r="AB21" s="215" t="b">
        <f>VLOOKUP($A21,'Emails, Files, &amp; Other Data'!$B$10:$AE$248,27,FALSE)</f>
        <v>0</v>
      </c>
      <c r="AC21" s="15" t="s">
        <v>155</v>
      </c>
      <c r="AD21" s="15"/>
      <c r="AE21" s="15"/>
      <c r="AF21" s="15" t="str">
        <f>IF(VLOOKUP($A21,'Emails, Files, &amp; Other Data'!$B$10:$AE$248,30,FALSE)="","",VLOOKUP($A21,'Emails, Files, &amp; Other Data'!$B$10:$AE$248,30,FALSE))</f>
        <v/>
      </c>
      <c r="AG21" s="272"/>
    </row>
    <row r="22" spans="1:34" ht="19.5" customHeight="1" x14ac:dyDescent="0.35">
      <c r="A22" s="241">
        <f t="shared" si="1"/>
        <v>14</v>
      </c>
      <c r="B22" s="877"/>
      <c r="C22" s="305"/>
      <c r="D22" s="875"/>
      <c r="E22" s="433" t="b">
        <f>VLOOKUP(A22,'Emails, Files, &amp; Other Data'!$B$10:$AE$248,4,FALSE)</f>
        <v>0</v>
      </c>
      <c r="F22" s="457" t="s">
        <v>156</v>
      </c>
      <c r="G22" s="15"/>
      <c r="H22" s="870"/>
      <c r="I22" s="210" t="b">
        <f>VLOOKUP($A22,'Emails, Files, &amp; Other Data'!$B$10:$AE$248,9,FALSE)</f>
        <v>0</v>
      </c>
      <c r="J22" s="873" t="s">
        <v>157</v>
      </c>
      <c r="K22" s="436" t="b">
        <f>VLOOKUP($A22,'Emails, Files, &amp; Other Data'!$B$10:$AE$248,11,FALSE)</f>
        <v>0</v>
      </c>
      <c r="L22" s="211" t="s">
        <v>158</v>
      </c>
      <c r="M22" s="849">
        <f>VLOOKUP($A22,'Emails, Files, &amp; Other Data'!$B$10:$AE$248,13,FALSE)</f>
        <v>44197</v>
      </c>
      <c r="N22" s="849"/>
      <c r="O22" s="429" t="b">
        <f>VLOOKUP($A22,'Emails, Files, &amp; Other Data'!$B$10:$AE$248,14,FALSE)</f>
        <v>0</v>
      </c>
      <c r="P22" s="9" t="s">
        <v>152</v>
      </c>
      <c r="Q22" s="445"/>
      <c r="R22" s="212" t="b">
        <f>VLOOKUP($A22,'Emails, Files, &amp; Other Data'!$B$10:$AE$248,17,FALSE)</f>
        <v>0</v>
      </c>
      <c r="S22" s="624" t="s">
        <v>366</v>
      </c>
      <c r="T22" s="624"/>
      <c r="U22" s="426"/>
      <c r="V22" s="834"/>
      <c r="W22" s="833"/>
      <c r="X22" s="423" t="b">
        <f>VLOOKUP($A22,'Emails, Files, &amp; Other Data'!$B$10:$AE$248,23,FALSE)</f>
        <v>0</v>
      </c>
      <c r="Y22" s="9" t="s">
        <v>159</v>
      </c>
      <c r="Z22" s="404" t="str">
        <f>IF(VLOOKUP($A22,'Emails, Files, &amp; Other Data'!$B$10:$AE$248,25,FALSE)="","",VLOOKUP($A22,'Emails, Files, &amp; Other Data'!$B$10:$AE$248,25,FALSE))</f>
        <v/>
      </c>
      <c r="AA22" s="417"/>
      <c r="AB22" s="217"/>
      <c r="AC22" s="218"/>
      <c r="AD22" s="218"/>
      <c r="AE22" s="218"/>
      <c r="AF22" s="23"/>
      <c r="AG22" s="273"/>
    </row>
    <row r="23" spans="1:34" ht="15" customHeight="1" x14ac:dyDescent="0.35">
      <c r="A23" s="241">
        <f t="shared" si="1"/>
        <v>15</v>
      </c>
      <c r="B23" s="877"/>
      <c r="C23" s="305"/>
      <c r="D23" s="875"/>
      <c r="E23" s="433" t="b">
        <f>VLOOKUP(A23,'Emails, Files, &amp; Other Data'!$B$10:$AE$248,4,FALSE)</f>
        <v>0</v>
      </c>
      <c r="F23" s="871" t="s">
        <v>160</v>
      </c>
      <c r="G23" s="209" t="b">
        <f>VLOOKUP($A23,'Emails, Files, &amp; Other Data'!$B$10:$AE$248,7,FALSE)</f>
        <v>0</v>
      </c>
      <c r="H23" s="452" t="s">
        <v>161</v>
      </c>
      <c r="I23" s="420"/>
      <c r="J23" s="873"/>
      <c r="K23" s="429" t="b">
        <f>VLOOKUP($A23,'Emails, Files, &amp; Other Data'!$B$10:$AE$248,11,FALSE)</f>
        <v>0</v>
      </c>
      <c r="L23" s="44" t="s">
        <v>162</v>
      </c>
      <c r="M23" s="850">
        <f>VLOOKUP($A23,'Emails, Files, &amp; Other Data'!$B$10:$AE$248,13,FALSE)</f>
        <v>78</v>
      </c>
      <c r="N23" s="850"/>
      <c r="O23" s="429" t="b">
        <f>VLOOKUP($A23,'Emails, Files, &amp; Other Data'!$B$10:$AE$248,14,FALSE)</f>
        <v>0</v>
      </c>
      <c r="P23" s="9" t="s">
        <v>162</v>
      </c>
      <c r="Q23" s="509">
        <f>VLOOKUP($A23,'Emails, Files, &amp; Other Data'!$B$10:$AE$248,16,FALSE)</f>
        <v>76</v>
      </c>
      <c r="R23" s="44"/>
      <c r="S23" s="550" t="str">
        <f>IF(VLOOKUP($A23,'Emails, Files, &amp; Other Data'!$B$10:$AE$248,17,FALSE)="","",VLOOKUP($A23,'Emails, Files, &amp; Other Data'!$B$10:$AE$248,17,FALSE))</f>
        <v/>
      </c>
      <c r="T23" s="550"/>
      <c r="U23" s="837"/>
      <c r="V23" s="425" t="b">
        <f>VLOOKUP($A24,'Emails, Files, &amp; Other Data'!$B$10:$AE$248,20,FALSE)</f>
        <v>0</v>
      </c>
      <c r="W23" s="261" t="s">
        <v>165</v>
      </c>
      <c r="X23" s="423" t="b">
        <f>VLOOKUP($A23,'Emails, Files, &amp; Other Data'!$B$10:$AE$248,23,FALSE)</f>
        <v>0</v>
      </c>
      <c r="Y23" s="9" t="s">
        <v>163</v>
      </c>
      <c r="Z23" s="624" t="str">
        <f>IF(VLOOKUP($A23,'Emails, Files, &amp; Other Data'!$B$10:$AE$248,25,FALSE)="","",VLOOKUP($A23,'Emails, Files, &amp; Other Data'!$B$10:$AE$248,25,FALSE))</f>
        <v/>
      </c>
      <c r="AA23" s="418"/>
      <c r="AB23" s="818" t="str">
        <f>IF(VLOOKUP($A23,'Emails, Files, &amp; Other Data'!$B$10:$AE$248,28,FALSE)="","",VLOOKUP($A23,'Emails, Files, &amp; Other Data'!$B$10:$AE$248,28,FALSE))</f>
        <v/>
      </c>
      <c r="AC23" s="819"/>
      <c r="AD23" s="20"/>
      <c r="AE23" s="20"/>
      <c r="AF23" s="15" t="str">
        <f>IF(VLOOKUP($A23,'Emails, Files, &amp; Other Data'!$B$10:$AE$248,30,FALSE)="","",VLOOKUP($A23,'Emails, Files, &amp; Other Data'!$B$10:$AE$248,30,FALSE))</f>
        <v/>
      </c>
      <c r="AG23" s="272"/>
    </row>
    <row r="24" spans="1:34" ht="15" customHeight="1" x14ac:dyDescent="0.35">
      <c r="A24" s="241">
        <f t="shared" si="1"/>
        <v>16</v>
      </c>
      <c r="B24" s="877"/>
      <c r="C24" s="305"/>
      <c r="D24" s="875"/>
      <c r="E24" s="432"/>
      <c r="F24" s="871"/>
      <c r="G24" s="15"/>
      <c r="H24" s="272"/>
      <c r="I24" s="420"/>
      <c r="J24" s="873"/>
      <c r="K24" s="432"/>
      <c r="L24" s="3"/>
      <c r="M24" s="3"/>
      <c r="N24" s="3"/>
      <c r="O24" s="432"/>
      <c r="P24" s="3"/>
      <c r="Q24" s="445"/>
      <c r="R24" s="44"/>
      <c r="S24" s="550"/>
      <c r="T24" s="550"/>
      <c r="U24" s="837"/>
      <c r="V24" s="420"/>
      <c r="W24" s="411" t="str">
        <f>IF(VLOOKUP($A25,'Emails, Files, &amp; Other Data'!$B$10:$AE$248,20,FALSE)="","",VLOOKUP($A25,'Emails, Files, &amp; Other Data'!$B$10:$AE$248,20,FALSE))</f>
        <v/>
      </c>
      <c r="X24" s="422"/>
      <c r="Y24" s="9"/>
      <c r="Z24" s="624"/>
      <c r="AA24" s="419"/>
      <c r="AB24" s="15"/>
      <c r="AC24" s="15"/>
      <c r="AD24" s="15"/>
      <c r="AE24" s="15"/>
      <c r="AF24" s="15"/>
      <c r="AG24" s="272"/>
    </row>
    <row r="25" spans="1:34" ht="15" customHeight="1" x14ac:dyDescent="0.35">
      <c r="A25" s="241">
        <f t="shared" si="1"/>
        <v>17</v>
      </c>
      <c r="B25" s="877"/>
      <c r="C25" s="305"/>
      <c r="D25" s="875"/>
      <c r="E25" s="150"/>
      <c r="F25" s="445"/>
      <c r="G25" s="15"/>
      <c r="H25" s="272"/>
      <c r="I25" s="440"/>
      <c r="J25" s="441"/>
      <c r="K25" s="432"/>
      <c r="L25" s="3"/>
      <c r="M25" s="3"/>
      <c r="N25" s="3"/>
      <c r="O25" s="432"/>
      <c r="P25" s="3"/>
      <c r="Q25" s="445"/>
      <c r="R25" s="212" t="b">
        <f>VLOOKUP($A25,'Emails, Files, &amp; Other Data'!$B$10:$AE$248,17,FALSE)</f>
        <v>0</v>
      </c>
      <c r="S25" s="624" t="s">
        <v>367</v>
      </c>
      <c r="T25" s="624"/>
      <c r="U25" s="426"/>
      <c r="V25" s="425" t="b">
        <f>VLOOKUP($A26,'Emails, Files, &amp; Other Data'!$B$10:$AE$248,20,FALSE)</f>
        <v>0</v>
      </c>
      <c r="W25" s="426" t="s">
        <v>166</v>
      </c>
      <c r="X25" s="420"/>
      <c r="Y25" s="9"/>
      <c r="Z25" s="9"/>
      <c r="AA25" s="419"/>
      <c r="AB25" s="15"/>
      <c r="AC25" s="15"/>
      <c r="AD25" s="15"/>
      <c r="AE25" s="15"/>
      <c r="AF25" s="15"/>
      <c r="AG25" s="272"/>
    </row>
    <row r="26" spans="1:34" ht="15" customHeight="1" x14ac:dyDescent="0.35">
      <c r="A26" s="241">
        <f t="shared" si="1"/>
        <v>18</v>
      </c>
      <c r="B26" s="877"/>
      <c r="C26" s="305"/>
      <c r="D26" s="875"/>
      <c r="E26" s="150"/>
      <c r="F26" s="445"/>
      <c r="G26" s="221"/>
      <c r="H26" s="272"/>
      <c r="I26" s="440"/>
      <c r="J26" s="441"/>
      <c r="K26" s="432"/>
      <c r="L26" s="3"/>
      <c r="M26" s="3"/>
      <c r="N26" s="3"/>
      <c r="O26" s="432"/>
      <c r="P26" s="3"/>
      <c r="Q26" s="445"/>
      <c r="R26" s="44"/>
      <c r="S26" s="550" t="str">
        <f>IF(VLOOKUP($A26,'Emails, Files, &amp; Other Data'!$B$10:$AE$248,17,FALSE)="","",VLOOKUP($A26,'Emails, Files, &amp; Other Data'!$B$10:$AE$248,17,FALSE))</f>
        <v/>
      </c>
      <c r="T26" s="550"/>
      <c r="U26" s="837"/>
      <c r="V26" s="424"/>
      <c r="W26" s="836" t="str">
        <f>IF(VLOOKUP($A27,'Emails, Files, &amp; Other Data'!$B$10:$AE$248,20,FALSE)="","",VLOOKUP($A27,'Emails, Files, &amp; Other Data'!$B$10:$AE$248,20,FALSE))</f>
        <v/>
      </c>
      <c r="X26" s="420"/>
      <c r="Y26" s="9"/>
      <c r="Z26" s="9"/>
      <c r="AA26" s="419"/>
      <c r="AB26" s="15"/>
      <c r="AC26" s="15"/>
      <c r="AD26" s="15"/>
      <c r="AE26" s="15"/>
      <c r="AF26" s="15"/>
      <c r="AG26" s="272"/>
    </row>
    <row r="27" spans="1:34" ht="15" customHeight="1" x14ac:dyDescent="0.35">
      <c r="A27" s="241">
        <f t="shared" si="1"/>
        <v>19</v>
      </c>
      <c r="B27" s="877"/>
      <c r="C27" s="305"/>
      <c r="D27" s="875"/>
      <c r="E27" s="432"/>
      <c r="F27" s="445"/>
      <c r="G27" s="15"/>
      <c r="H27" s="272"/>
      <c r="I27" s="440"/>
      <c r="J27" s="441"/>
      <c r="K27" s="432"/>
      <c r="L27" s="3"/>
      <c r="M27" s="3"/>
      <c r="N27" s="3"/>
      <c r="O27" s="432"/>
      <c r="P27" s="3"/>
      <c r="Q27" s="445"/>
      <c r="R27" s="44"/>
      <c r="S27" s="550"/>
      <c r="T27" s="550"/>
      <c r="U27" s="837"/>
      <c r="V27" s="420"/>
      <c r="W27" s="836"/>
      <c r="X27" s="420"/>
      <c r="Y27" s="9"/>
      <c r="Z27" s="9"/>
      <c r="AA27" s="420"/>
      <c r="AB27" s="15"/>
      <c r="AC27" s="15"/>
      <c r="AD27" s="15"/>
      <c r="AE27" s="15"/>
      <c r="AF27" s="15"/>
      <c r="AG27" s="272"/>
    </row>
    <row r="28" spans="1:34" ht="16.5" customHeight="1" x14ac:dyDescent="0.35">
      <c r="B28" s="878"/>
      <c r="C28" s="305"/>
      <c r="D28" s="875"/>
      <c r="E28" s="252"/>
      <c r="F28" s="264"/>
      <c r="G28" s="262"/>
      <c r="H28" s="264"/>
      <c r="I28" s="252"/>
      <c r="J28" s="264"/>
      <c r="K28" s="252"/>
      <c r="L28" s="262"/>
      <c r="M28" s="262"/>
      <c r="N28" s="262"/>
      <c r="O28" s="252"/>
      <c r="P28" s="262"/>
      <c r="Q28" s="264"/>
      <c r="R28" s="267"/>
      <c r="S28" s="267"/>
      <c r="T28" s="267"/>
      <c r="U28" s="428"/>
      <c r="V28" s="427"/>
      <c r="W28" s="428"/>
      <c r="X28" s="252"/>
      <c r="Y28" s="262"/>
      <c r="Z28" s="262"/>
      <c r="AA28" s="252"/>
      <c r="AB28" s="262"/>
      <c r="AC28" s="262"/>
      <c r="AD28" s="262"/>
      <c r="AE28" s="262"/>
      <c r="AF28" s="262"/>
      <c r="AG28" s="264"/>
    </row>
    <row r="29" spans="1:34" ht="18.5" x14ac:dyDescent="0.45">
      <c r="C29" s="305"/>
      <c r="D29" s="243" t="str">
        <f>'Teams meetings and chats'!B1</f>
        <v>Teams meetings and chats</v>
      </c>
      <c r="E29" s="35"/>
      <c r="F29" s="35"/>
      <c r="G29" s="35"/>
      <c r="H29" s="35"/>
    </row>
    <row r="30" spans="1:34" s="233" customFormat="1" ht="31" customHeight="1" x14ac:dyDescent="0.4">
      <c r="A30" s="294"/>
      <c r="B30" s="475"/>
      <c r="C30" s="304"/>
      <c r="D30" s="491" t="str">
        <f>'Teams meetings and chats'!B2</f>
        <v>Label/Sub-Label Name:</v>
      </c>
      <c r="E30" s="827" t="str">
        <f>'Teams meetings and chats'!D2</f>
        <v>Control who can Bypass the Lobby:</v>
      </c>
      <c r="F30" s="851"/>
      <c r="G30" s="851"/>
      <c r="H30" s="851"/>
      <c r="I30" s="851" t="str">
        <f>'Teams meetings and chats'!I2</f>
        <v>Control Who Can Present:</v>
      </c>
      <c r="J30" s="851"/>
      <c r="K30" s="801" t="str">
        <f>'Teams meetings and chats'!K2</f>
        <v>Control who can Record and Transcribe:</v>
      </c>
      <c r="L30" s="802"/>
      <c r="M30" s="803"/>
      <c r="N30" s="851" t="str">
        <f>'Teams meetings and chats'!M2</f>
        <v>Control Whether Meetings are Recorded Automatically:</v>
      </c>
      <c r="O30" s="851"/>
      <c r="P30" s="851"/>
      <c r="Q30" s="847" t="str">
        <f>'Teams meetings and chats'!O2</f>
        <v>Control End-to-end Encryption for Meeting Video and Audio:</v>
      </c>
      <c r="R30" s="847"/>
      <c r="S30" s="847"/>
      <c r="T30" s="847"/>
      <c r="U30" s="847"/>
      <c r="V30" s="832" t="str">
        <f>'Teams meetings and chats'!Q2</f>
        <v>Control Watermarks:</v>
      </c>
      <c r="W30" s="832"/>
      <c r="X30" s="832"/>
      <c r="Y30" s="832"/>
      <c r="Z30" s="823" t="str">
        <f>'Teams meetings and chats'!U2</f>
        <v>Detect sensitive content during screen sharing:</v>
      </c>
      <c r="AA30" s="824"/>
      <c r="AB30" s="801" t="str">
        <f>'Teams meetings and chats'!W2</f>
        <v>Control Meeting Chat:</v>
      </c>
      <c r="AC30" s="802"/>
      <c r="AD30" s="803"/>
      <c r="AE30" s="825" t="str">
        <f>'Teams meetings and chats'!Y2</f>
        <v>Prevent Copying and Forwarding of Meeting Content:</v>
      </c>
      <c r="AF30" s="826"/>
      <c r="AG30" s="827"/>
    </row>
    <row r="31" spans="1:34" s="3" customFormat="1" ht="29" x14ac:dyDescent="0.35">
      <c r="A31" s="295"/>
      <c r="B31" s="476">
        <f>H$1</f>
        <v>1</v>
      </c>
      <c r="C31" s="312"/>
      <c r="D31" s="483" t="str">
        <f>IF(VLOOKUP($B31,'Teams meetings and chats'!$A11:$Y50,2,FALSE)="","",VLOOKUP($B31,'Teams meetings and chats'!$A11:$Y50,2,FALSE))</f>
        <v>Please fill out Sensitivity Labels Tab</v>
      </c>
      <c r="E31" s="853" t="str">
        <f>IF(VLOOKUP($B31,'Teams meetings and chats'!$A11:$Y50,4,FALSE)="","",VLOOKUP($B31,'Teams meetings and chats'!$A11:$Y50,4,FALSE))</f>
        <v/>
      </c>
      <c r="F31" s="854"/>
      <c r="G31" s="470" t="b">
        <f>VLOOKUP($B31,'Teams meetings and chats'!$A11:$Y50,6,FALSE)</f>
        <v>0</v>
      </c>
      <c r="H31" s="95" t="s">
        <v>187</v>
      </c>
      <c r="I31" s="853" t="str">
        <f>IF(VLOOKUP($B31,'Teams meetings and chats'!$A11:$Y50,9,FALSE)="","",VLOOKUP($B31,'Teams meetings and chats'!$A11:$Y50,9,FALSE))</f>
        <v/>
      </c>
      <c r="J31" s="854"/>
      <c r="K31" s="853" t="str">
        <f>IF(VLOOKUP($B31,'Teams meetings and chats'!$A11:$Y50,11,FALSE)="","",VLOOKUP($B31,'Teams meetings and chats'!$A11:$Y50,11,FALSE))</f>
        <v/>
      </c>
      <c r="L31" s="930"/>
      <c r="M31" s="854"/>
      <c r="N31" s="853" t="str">
        <f>IF(VLOOKUP($B31,'Teams meetings and chats'!$A11:$Y50,13,FALSE)="","",VLOOKUP($B31,'Teams meetings and chats'!$A11:$Y50,13,FALSE))</f>
        <v/>
      </c>
      <c r="O31" s="930"/>
      <c r="P31" s="854"/>
      <c r="Q31" s="875" t="str">
        <f>IF(VLOOKUP($B31,'Teams meetings and chats'!$A11:$Y50,15,FALSE)="","",VLOOKUP($B31,'Teams meetings and chats'!$A11:$Y50,15,FALSE))</f>
        <v/>
      </c>
      <c r="R31" s="937"/>
      <c r="S31" s="937"/>
      <c r="T31" s="937"/>
      <c r="U31" s="789"/>
      <c r="V31" s="769" t="str">
        <f>IF(VLOOKUP($B31,'Teams meetings and chats'!$A11:$Y50,17,FALSE)="","",VLOOKUP($B31,'Teams meetings and chats'!$A11:$Y50,17,FALSE))</f>
        <v/>
      </c>
      <c r="W31" s="875"/>
      <c r="X31" s="875" t="str">
        <f>IF(VLOOKUP($B31,'Teams meetings and chats'!$A11:$Y50,19,FALSE)="","",VLOOKUP($B31,'Teams meetings and chats'!$A11:$Y50,19,FALSE))</f>
        <v/>
      </c>
      <c r="Y31" s="789"/>
      <c r="Z31" s="789" t="str">
        <f>IF(VLOOKUP($B31,'Teams meetings and chats'!$A11:$Y50,21,FALSE)="","",VLOOKUP($B31,'Teams meetings and chats'!$A11:$Y50,21,FALSE))</f>
        <v/>
      </c>
      <c r="AA31" s="769"/>
      <c r="AB31" s="875" t="str">
        <f>IF(VLOOKUP($B31,'Teams meetings and chats'!$A11:$Y50,23,FALSE)="","",VLOOKUP($B31,'Teams meetings and chats'!$A11:$Y50,23,FALSE))</f>
        <v/>
      </c>
      <c r="AC31" s="937"/>
      <c r="AD31" s="789"/>
      <c r="AE31" s="875" t="str">
        <f>IF(VLOOKUP($B31,'Teams meetings and chats'!$A11:$Y50,25,FALSE)="","",VLOOKUP($B31,'Teams meetings and chats'!$A11:$Y50,25,FALSE))</f>
        <v/>
      </c>
      <c r="AF31" s="937"/>
      <c r="AG31" s="789"/>
    </row>
    <row r="32" spans="1:34" ht="3" customHeight="1" x14ac:dyDescent="0.35">
      <c r="B32" s="132"/>
      <c r="C32" s="305"/>
      <c r="D32" s="13"/>
      <c r="E32" s="2"/>
      <c r="F32" s="2"/>
      <c r="G32" s="241"/>
      <c r="I32" s="239"/>
      <c r="J32" s="239"/>
      <c r="K32" s="2"/>
      <c r="L32" s="2"/>
      <c r="M32" s="2"/>
      <c r="N32" s="2"/>
      <c r="O32" s="2"/>
      <c r="P32" s="2"/>
      <c r="Q32" s="2"/>
      <c r="R32" s="2"/>
      <c r="S32" s="2"/>
      <c r="T32" s="2"/>
      <c r="U32" s="2"/>
      <c r="V32" s="2"/>
      <c r="W32" s="2"/>
      <c r="X32" s="13"/>
      <c r="Y32" s="13"/>
      <c r="Z32" s="13"/>
      <c r="AA32" s="13"/>
      <c r="AB32" s="13"/>
      <c r="AC32" s="13"/>
      <c r="AD32" s="13"/>
      <c r="AE32" s="13"/>
      <c r="AF32" s="13"/>
      <c r="AG32" s="13"/>
    </row>
    <row r="33" spans="1:34" ht="5" customHeight="1" x14ac:dyDescent="0.35">
      <c r="B33" s="132"/>
      <c r="C33" s="305"/>
      <c r="D33" s="13"/>
      <c r="E33" s="2"/>
      <c r="F33" s="2"/>
      <c r="G33" s="241"/>
      <c r="I33" s="239"/>
      <c r="J33" s="239"/>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77"/>
      <c r="C34" s="305"/>
      <c r="D34" s="243" t="str">
        <f>'Groups &amp; Sites'!C1</f>
        <v>Groups &amp; Sites</v>
      </c>
    </row>
    <row r="35" spans="1:34" s="3" customFormat="1" ht="31" customHeight="1" x14ac:dyDescent="0.35">
      <c r="A35" s="295"/>
      <c r="B35" s="478"/>
      <c r="C35" s="305"/>
      <c r="D35" s="490" t="str">
        <f>'Groups &amp; Sites'!C3</f>
        <v>Label/Sub-Label Name:</v>
      </c>
      <c r="E35" s="847" t="str">
        <f>'Groups &amp; Sites'!E3</f>
        <v>Define protection settings for groups and sites:</v>
      </c>
      <c r="F35" s="847"/>
      <c r="G35" s="847" t="str">
        <f>'Groups &amp; Sites'!H3</f>
        <v>Define privacy and external user access settings:</v>
      </c>
      <c r="H35" s="847"/>
      <c r="I35" s="938" t="str">
        <f>'Groups &amp; Sites'!K3</f>
        <v>External sharing and Conditional Access:</v>
      </c>
      <c r="J35" s="939"/>
      <c r="K35" s="939"/>
      <c r="L35" s="490" t="str">
        <f>'Groups &amp; Sites'!N3</f>
        <v>External sharing:</v>
      </c>
      <c r="M35" s="823" t="str">
        <f>'Groups &amp; Sites'!P3</f>
        <v>Conditional Access:</v>
      </c>
      <c r="N35" s="935"/>
      <c r="O35" s="935"/>
      <c r="P35" s="935"/>
      <c r="Q35" s="824"/>
      <c r="R35" s="823" t="str">
        <f>'Groups &amp; Sites'!S3</f>
        <v>Private teams discoverability and shared channel controls:</v>
      </c>
      <c r="S35" s="935"/>
      <c r="T35" s="935"/>
      <c r="U35" s="824"/>
    </row>
    <row r="36" spans="1:34" ht="35" customHeight="1" x14ac:dyDescent="0.35">
      <c r="A36" s="241">
        <f>VLOOKUP(B36,'Groups &amp; Sites'!$A$13:$T$191,2,FALSE)</f>
        <v>11</v>
      </c>
      <c r="B36" s="867">
        <f>H$1</f>
        <v>1</v>
      </c>
      <c r="C36" s="305"/>
      <c r="D36" s="926" t="str">
        <f>IF(VLOOKUP($A36,'Groups &amp; Sites'!$B$13:$T$191,2,FALSE)="","",VLOOKUP($A36,'Groups &amp; Sites'!$B$13:$T$191,2,FALSE))</f>
        <v>Please fill out Sensitivity Labels Tab</v>
      </c>
      <c r="E36" s="283" t="b">
        <f>VLOOKUP($A36,'Groups &amp; Sites'!$B$13:$T$191,4,FALSE)</f>
        <v>0</v>
      </c>
      <c r="F36" s="268" t="s">
        <v>201</v>
      </c>
      <c r="G36" s="840" t="str">
        <f>IF(VLOOKUP($A36,'Groups &amp; Sites'!$B$13:$T$191,7,FALSE)="","",VLOOKUP($A36,'Groups &amp; Sites'!$B$13:$T$191,7,FALSE))</f>
        <v/>
      </c>
      <c r="H36" s="841"/>
      <c r="I36" s="286" t="b">
        <f>VLOOKUP($A36,'Groups &amp; Sites'!$B$13:$T$191,10,FALSE)</f>
        <v>0</v>
      </c>
      <c r="J36" s="269" t="s">
        <v>202</v>
      </c>
      <c r="K36" s="257"/>
      <c r="L36" s="482" t="s">
        <v>203</v>
      </c>
      <c r="M36" s="828" t="s">
        <v>204</v>
      </c>
      <c r="N36" s="835"/>
      <c r="O36" s="835"/>
      <c r="P36" s="835"/>
      <c r="Q36" s="829"/>
      <c r="R36" s="931" t="s">
        <v>205</v>
      </c>
      <c r="S36" s="931"/>
      <c r="T36" s="931"/>
      <c r="U36" s="932"/>
    </row>
    <row r="37" spans="1:34" ht="29" customHeight="1" x14ac:dyDescent="0.35">
      <c r="A37" s="241">
        <f>A36+1</f>
        <v>12</v>
      </c>
      <c r="B37" s="868"/>
      <c r="C37" s="305"/>
      <c r="D37" s="927"/>
      <c r="E37" s="284" t="b">
        <f>VLOOKUP($A37,'Groups &amp; Sites'!$B$13:$T$191,4,FALSE)</f>
        <v>0</v>
      </c>
      <c r="F37" s="240" t="s">
        <v>206</v>
      </c>
      <c r="G37" s="424"/>
      <c r="H37" s="24"/>
      <c r="I37" s="842" t="b">
        <f>VLOOKUP($A37,'Groups &amp; Sites'!$B$13:$T$191,10,FALSE)</f>
        <v>0</v>
      </c>
      <c r="J37" s="624" t="s">
        <v>204</v>
      </c>
      <c r="L37" s="424" t="str">
        <f>IF(VLOOKUP($A38,'Groups &amp; Sites'!$B$13:$T$191,13,FALSE)="","",VLOOKUP($A38,'Groups &amp; Sites'!$B$13:$T$191,13,FALSE))</f>
        <v/>
      </c>
      <c r="M37" s="442" t="b">
        <f>VLOOKUP($A37,'Groups &amp; Sites'!$B$13:$T$191,15,FALSE)</f>
        <v>0</v>
      </c>
      <c r="N37" s="624" t="s">
        <v>207</v>
      </c>
      <c r="O37" s="624"/>
      <c r="P37" s="624"/>
      <c r="Q37" s="936"/>
      <c r="R37" s="79" t="b">
        <f>VLOOKUP($A37,'Groups &amp; Sites'!$B$13:$T$191,18,FALSE)</f>
        <v>0</v>
      </c>
      <c r="S37" s="933" t="s">
        <v>208</v>
      </c>
      <c r="T37" s="874"/>
      <c r="U37" s="934"/>
    </row>
    <row r="38" spans="1:34" ht="29.5" customHeight="1" x14ac:dyDescent="0.35">
      <c r="A38" s="241">
        <f>A37+1</f>
        <v>13</v>
      </c>
      <c r="B38" s="868"/>
      <c r="C38" s="305"/>
      <c r="D38" s="927"/>
      <c r="E38" s="284" t="b">
        <f>VLOOKUP($A38,'Groups &amp; Sites'!$B$13:$T$191,4,FALSE)</f>
        <v>0</v>
      </c>
      <c r="F38" s="479" t="s">
        <v>209</v>
      </c>
      <c r="G38" s="287" t="b">
        <f>VLOOKUP($A38,'Groups &amp; Sites'!$B$13:$T$191,7,FALSE)</f>
        <v>0</v>
      </c>
      <c r="H38" s="874" t="s">
        <v>210</v>
      </c>
      <c r="I38" s="842"/>
      <c r="J38" s="624"/>
      <c r="L38" s="150"/>
      <c r="M38" s="424"/>
      <c r="N38" s="929" t="str">
        <f>IF(VLOOKUP($A38,'Groups &amp; Sites'!$B$13:$T$191,16,FALSE)="","",VLOOKUP($A38,'Groups &amp; Sites'!$B$13:$T$191,16,FALSE))</f>
        <v/>
      </c>
      <c r="O38" s="929"/>
      <c r="P38" s="929"/>
      <c r="Q38" s="443"/>
      <c r="R38" s="145" t="s">
        <v>211</v>
      </c>
      <c r="S38" s="145"/>
      <c r="T38" s="145"/>
      <c r="U38" s="266"/>
    </row>
    <row r="39" spans="1:34" x14ac:dyDescent="0.35">
      <c r="A39" s="241">
        <f>A38+1</f>
        <v>14</v>
      </c>
      <c r="B39" s="868"/>
      <c r="C39" s="305"/>
      <c r="D39" s="927"/>
      <c r="G39" s="424"/>
      <c r="H39" s="874"/>
      <c r="I39" s="150"/>
      <c r="L39" s="150"/>
      <c r="M39" s="287" t="b">
        <f>VLOOKUP($A39,'Groups &amp; Sites'!$B$13:$T$191,15,FALSE)</f>
        <v>0</v>
      </c>
      <c r="N39" s="44" t="s">
        <v>212</v>
      </c>
      <c r="Q39" s="266"/>
      <c r="R39" s="45" t="b">
        <f>VLOOKUP($A39,'Groups &amp; Sites'!$B$13:$T$191,18,FALSE)</f>
        <v>0</v>
      </c>
      <c r="S39" s="44" t="s">
        <v>213</v>
      </c>
      <c r="T39" s="44"/>
      <c r="U39" s="266"/>
    </row>
    <row r="40" spans="1:34" ht="29" customHeight="1" x14ac:dyDescent="0.35">
      <c r="A40" s="241">
        <f>A39+1</f>
        <v>15</v>
      </c>
      <c r="B40" s="868"/>
      <c r="C40" s="305"/>
      <c r="D40" s="927"/>
      <c r="G40" s="424"/>
      <c r="H40" s="874"/>
      <c r="I40" s="150"/>
      <c r="L40" s="481"/>
      <c r="M40" s="150"/>
      <c r="N40" s="929" t="str">
        <f>IF(VLOOKUP($A41,'Groups &amp; Sites'!$B$13:$T$191,16,FALSE)="","",VLOOKUP($A41,'Groups &amp; Sites'!$B$13:$T$191,16,FALSE))</f>
        <v/>
      </c>
      <c r="O40" s="929"/>
      <c r="P40" s="929"/>
      <c r="Q40" s="443"/>
      <c r="R40" s="79" t="b">
        <f>VLOOKUP($A40,'Groups &amp; Sites'!$B$13:$T$191,18,FALSE)</f>
        <v>0</v>
      </c>
      <c r="S40" s="80" t="s">
        <v>214</v>
      </c>
      <c r="T40" s="44"/>
      <c r="U40" s="266"/>
    </row>
    <row r="41" spans="1:34" ht="21.5" customHeight="1" x14ac:dyDescent="0.35">
      <c r="A41" s="241">
        <f>A40+1</f>
        <v>16</v>
      </c>
      <c r="B41" s="869"/>
      <c r="C41" s="305"/>
      <c r="D41" s="928"/>
      <c r="E41" s="262"/>
      <c r="F41" s="262"/>
      <c r="G41" s="427"/>
      <c r="H41" s="267"/>
      <c r="I41" s="252"/>
      <c r="J41" s="262"/>
      <c r="K41" s="262"/>
      <c r="L41" s="252"/>
      <c r="M41" s="252"/>
      <c r="N41" s="262"/>
      <c r="O41" s="262"/>
      <c r="P41" s="262"/>
      <c r="Q41" s="264"/>
      <c r="R41" s="270" t="b">
        <f>VLOOKUP($A41,'Groups &amp; Sites'!$B$13:$T$191,18,FALSE)</f>
        <v>0</v>
      </c>
      <c r="S41" s="267" t="s">
        <v>215</v>
      </c>
      <c r="T41" s="267"/>
      <c r="U41" s="264"/>
    </row>
    <row r="42" spans="1:34" ht="7" customHeight="1" x14ac:dyDescent="0.35">
      <c r="B42" s="132"/>
      <c r="C42" s="305"/>
    </row>
    <row r="43" spans="1:34" ht="18.5" x14ac:dyDescent="0.45">
      <c r="B43" s="132"/>
      <c r="C43" s="305"/>
      <c r="D43" s="243" t="str">
        <f>Publishing!C1</f>
        <v>Publishing</v>
      </c>
    </row>
    <row r="44" spans="1:34" ht="36" customHeight="1" x14ac:dyDescent="0.45">
      <c r="B44" s="458"/>
      <c r="C44" s="304"/>
      <c r="D44" s="487" t="str">
        <f>Publishing!C3</f>
        <v>Name:</v>
      </c>
      <c r="E44" s="924" t="str">
        <f>Publishing!E3</f>
        <v>Description:</v>
      </c>
      <c r="F44" s="925"/>
      <c r="G44" s="872" t="str">
        <f>Publishing!G3</f>
        <v>Choose sensitivity labels to publish:</v>
      </c>
      <c r="H44" s="872"/>
      <c r="I44" s="925" t="str">
        <f>Publishing!I3</f>
        <v>Assign admin units:</v>
      </c>
      <c r="J44" s="925"/>
      <c r="K44" s="925" t="str">
        <f>Publishing!K3</f>
        <v>Publish to users and groups:</v>
      </c>
      <c r="L44" s="925"/>
      <c r="M44" s="941" t="str">
        <f>Publishing!M3</f>
        <v>Policy settings:</v>
      </c>
      <c r="N44" s="942"/>
      <c r="O44" s="942"/>
      <c r="P44" s="942"/>
      <c r="Q44" s="942"/>
      <c r="R44" s="921" t="str">
        <f>Publishing!P3</f>
        <v>Default settings for documents​:</v>
      </c>
      <c r="S44" s="922"/>
      <c r="T44" s="922"/>
      <c r="U44" s="923"/>
      <c r="V44" s="924" t="str">
        <f>Publishing!S3</f>
        <v>Default settings for emails:</v>
      </c>
      <c r="W44" s="925"/>
      <c r="X44" s="921" t="str">
        <f>Publishing!V3</f>
        <v>Default settings for meetings and calendar events:</v>
      </c>
      <c r="Y44" s="922"/>
      <c r="Z44" s="922"/>
      <c r="AA44" s="923"/>
      <c r="AB44" s="954" t="str">
        <f>Publishing!Y3</f>
        <v>Default settings for sites and groups</v>
      </c>
      <c r="AC44" s="955"/>
      <c r="AD44" s="924"/>
      <c r="AE44" s="921" t="str">
        <f>Publishing!AB3</f>
        <v>Default settings for Fabric and Power BI content:</v>
      </c>
      <c r="AF44" s="922"/>
      <c r="AG44" s="922"/>
      <c r="AH44" s="923"/>
    </row>
    <row r="45" spans="1:34" x14ac:dyDescent="0.35">
      <c r="A45" s="241">
        <f>VLOOKUP(B45,Publishing!A$13:AD$253,2,FALSE)</f>
        <v>11</v>
      </c>
      <c r="B45" s="876">
        <f>J1</f>
        <v>1</v>
      </c>
      <c r="C45" s="304"/>
      <c r="D45" s="538" t="str">
        <f>IF(VLOOKUP($A45,Publishing!$B$13:$AC$251,2,FALSE)="","",VLOOKUP($A45,Publishing!$B$13:$AC$251,2,FALSE))</f>
        <v/>
      </c>
      <c r="E45" s="806" t="str">
        <f>IF(VLOOKUP($A45,Publishing!$B$13:$AC$251,4,FALSE)="","",VLOOKUP($A45,Publishing!$B$13:$AC$251,4,FALSE))</f>
        <v/>
      </c>
      <c r="F45" s="622"/>
      <c r="G45" s="811" t="str">
        <f>IF(VLOOKUP($A45,Publishing!$B$13:$AC$251,6,FALSE)="","",VLOOKUP($A45,Publishing!$B$13:$AC$251,6,FALSE))</f>
        <v/>
      </c>
      <c r="H45" s="812"/>
      <c r="I45" s="811" t="str">
        <f>IF(VLOOKUP($A45,Publishing!$B$13:$AC$251,8,FALSE)="","",VLOOKUP($A45,Publishing!$B$13:$AC$251,8,FALSE))</f>
        <v/>
      </c>
      <c r="J45" s="943"/>
      <c r="K45" s="811" t="str">
        <f>IF(VLOOKUP($A45,Publishing!$B$13:$AC$251,10,FALSE)="","",VLOOKUP($A45,Publishing!$B$13:$AC$251,10,FALSE))</f>
        <v/>
      </c>
      <c r="L45" s="812"/>
      <c r="M45" s="256" t="b">
        <f>VLOOKUP($A45,Publishing!$B$13:$AC$251,12,FALSE)</f>
        <v>0</v>
      </c>
      <c r="N45" s="855" t="s">
        <v>247</v>
      </c>
      <c r="O45" s="855"/>
      <c r="P45" s="855"/>
      <c r="Q45" s="855"/>
      <c r="R45" s="416"/>
      <c r="S45" s="890" t="s">
        <v>248</v>
      </c>
      <c r="T45" s="890"/>
      <c r="U45" s="891"/>
      <c r="V45" s="945"/>
      <c r="W45" s="257" t="s">
        <v>249</v>
      </c>
      <c r="X45" s="946"/>
      <c r="Y45" s="257" t="s">
        <v>250</v>
      </c>
      <c r="Z45" s="257"/>
      <c r="AA45" s="500"/>
      <c r="AB45" s="510"/>
      <c r="AC45" s="257" t="s">
        <v>251</v>
      </c>
      <c r="AD45" s="260"/>
      <c r="AE45" s="943"/>
      <c r="AF45" s="940" t="s">
        <v>252</v>
      </c>
      <c r="AG45" s="257"/>
      <c r="AH45" s="260"/>
    </row>
    <row r="46" spans="1:34" x14ac:dyDescent="0.35">
      <c r="A46" s="241">
        <f t="shared" ref="A46:A54" si="2">A45+1</f>
        <v>12</v>
      </c>
      <c r="B46" s="877"/>
      <c r="C46" s="304"/>
      <c r="D46" s="538"/>
      <c r="E46" s="807"/>
      <c r="F46" s="620"/>
      <c r="G46" s="813"/>
      <c r="H46" s="814"/>
      <c r="I46" s="813"/>
      <c r="J46" s="694"/>
      <c r="K46" s="813"/>
      <c r="L46" s="814"/>
      <c r="M46" s="64" t="b">
        <f>VLOOKUP($A46,Publishing!$B$13:$AC$251,12,FALSE)</f>
        <v>0</v>
      </c>
      <c r="N46" s="856" t="s">
        <v>253</v>
      </c>
      <c r="O46" s="856"/>
      <c r="P46" s="856"/>
      <c r="Q46" s="856"/>
      <c r="R46" s="446"/>
      <c r="S46" s="950" t="str">
        <f>IF(VLOOKUP($A47,Publishing!$B$13:$AC$251,16,FALSE)="","",VLOOKUP($A47,Publishing!$B$13:$AC$251,16,FALSE))</f>
        <v/>
      </c>
      <c r="T46" s="855"/>
      <c r="U46" s="951"/>
      <c r="V46" s="711"/>
      <c r="W46" s="497" t="str">
        <f>IF(VLOOKUP($A47,Publishing!$B$13:$AC$251,19,FALSE)="","",VLOOKUP($A47,Publishing!$B$13:$AC$251,19,FALSE))</f>
        <v/>
      </c>
      <c r="X46" s="947"/>
      <c r="Y46" s="895" t="str">
        <f>IF(VLOOKUP($A47,Publishing!$B$13:$AC$251,22,FALSE)="","",VLOOKUP($A47,Publishing!$B$13:$AC$251,22,FALSE))</f>
        <v/>
      </c>
      <c r="Z46" s="896"/>
      <c r="AA46" s="501"/>
      <c r="AB46" s="511"/>
      <c r="AC46" s="10" t="str">
        <f>IF(VLOOKUP($A47,Publishing!$B$13:$AC$251,25,FALSE)="","",VLOOKUP($A47,Publishing!$B$13:$AC$251,25,FALSE))</f>
        <v/>
      </c>
      <c r="AD46" s="513"/>
      <c r="AE46" s="694"/>
      <c r="AF46" s="517"/>
      <c r="AH46" s="266"/>
    </row>
    <row r="47" spans="1:34" ht="14.5" customHeight="1" x14ac:dyDescent="0.35">
      <c r="A47" s="241">
        <f t="shared" si="2"/>
        <v>13</v>
      </c>
      <c r="B47" s="877"/>
      <c r="C47" s="304"/>
      <c r="D47" s="538"/>
      <c r="E47" s="807"/>
      <c r="F47" s="620"/>
      <c r="G47" s="813"/>
      <c r="H47" s="814"/>
      <c r="I47" s="813"/>
      <c r="J47" s="694"/>
      <c r="K47" s="813"/>
      <c r="L47" s="814"/>
      <c r="M47" s="64" t="b">
        <f>VLOOKUP($A47,Publishing!$B$13:$AC$251,12,FALSE)</f>
        <v>0</v>
      </c>
      <c r="N47" s="856" t="s">
        <v>254</v>
      </c>
      <c r="O47" s="856"/>
      <c r="P47" s="856"/>
      <c r="Q47" s="856"/>
      <c r="R47" s="446"/>
      <c r="S47" s="952"/>
      <c r="T47" s="880"/>
      <c r="U47" s="953"/>
      <c r="X47" s="502"/>
      <c r="AA47" s="445"/>
      <c r="AB47" s="150"/>
      <c r="AD47" s="266"/>
      <c r="AF47" s="10" t="str">
        <f>IF(VLOOKUP($A47,Publishing!$B$13:$AC$251,28,FALSE)="","",VLOOKUP($A47,Publishing!$B$13:$AC$251,28,FALSE))</f>
        <v/>
      </c>
      <c r="AH47" s="266"/>
    </row>
    <row r="48" spans="1:34" ht="4" customHeight="1" x14ac:dyDescent="0.35">
      <c r="A48" s="241">
        <f t="shared" si="2"/>
        <v>14</v>
      </c>
      <c r="B48" s="877"/>
      <c r="C48" s="304"/>
      <c r="D48" s="538"/>
      <c r="E48" s="807"/>
      <c r="F48" s="620"/>
      <c r="G48" s="813"/>
      <c r="H48" s="814"/>
      <c r="I48" s="813"/>
      <c r="J48" s="694"/>
      <c r="K48" s="813"/>
      <c r="L48" s="814"/>
      <c r="N48" s="192"/>
      <c r="O48" s="192"/>
      <c r="P48" s="192"/>
      <c r="Q48" s="192"/>
      <c r="R48" s="446"/>
      <c r="U48" s="266"/>
      <c r="X48" s="502"/>
      <c r="Y48" s="3"/>
      <c r="Z48" s="3"/>
      <c r="AA48" s="445"/>
      <c r="AB48" s="150"/>
      <c r="AD48" s="266"/>
      <c r="AH48" s="266"/>
    </row>
    <row r="49" spans="1:37" x14ac:dyDescent="0.35">
      <c r="A49" s="241">
        <f t="shared" si="2"/>
        <v>15</v>
      </c>
      <c r="B49" s="877"/>
      <c r="C49" s="304"/>
      <c r="D49" s="538"/>
      <c r="E49" s="807"/>
      <c r="F49" s="620"/>
      <c r="G49" s="813"/>
      <c r="H49" s="814"/>
      <c r="I49" s="813"/>
      <c r="J49" s="694"/>
      <c r="K49" s="813"/>
      <c r="L49" s="814"/>
      <c r="M49" s="64" t="b">
        <f>VLOOKUP($A49,Publishing!$B$13:$AC$251,12,FALSE)</f>
        <v>0</v>
      </c>
      <c r="N49" s="911" t="s">
        <v>256</v>
      </c>
      <c r="O49" s="911"/>
      <c r="P49" s="911"/>
      <c r="Q49" s="911"/>
      <c r="R49" s="447"/>
      <c r="U49" s="426"/>
      <c r="V49" s="45" t="b">
        <f>VLOOKUP($A49,Publishing!$B$13:$AC$251,18,FALSE)</f>
        <v>0</v>
      </c>
      <c r="W49" s="44" t="s">
        <v>257</v>
      </c>
      <c r="X49" s="245" t="b">
        <f>VLOOKUP($A49,Publishing!$B$13:$AC$251,21,FALSE)</f>
        <v>0</v>
      </c>
      <c r="Y49" s="856" t="s">
        <v>255</v>
      </c>
      <c r="Z49" s="856"/>
      <c r="AA49" s="445"/>
      <c r="AB49" s="245" t="b">
        <f>VLOOKUP($A49,Publishing!$B$13:$AC$251,24,FALSE)</f>
        <v>0</v>
      </c>
      <c r="AC49" t="s">
        <v>257</v>
      </c>
      <c r="AD49" s="266"/>
      <c r="AH49" s="266"/>
    </row>
    <row r="50" spans="1:37" ht="4" customHeight="1" x14ac:dyDescent="0.35">
      <c r="A50" s="241">
        <f t="shared" si="2"/>
        <v>16</v>
      </c>
      <c r="B50" s="877"/>
      <c r="C50" s="304"/>
      <c r="D50" s="538"/>
      <c r="E50" s="807"/>
      <c r="F50" s="620"/>
      <c r="G50" s="813"/>
      <c r="H50" s="814"/>
      <c r="I50" s="813"/>
      <c r="J50" s="694"/>
      <c r="K50" s="813"/>
      <c r="L50" s="814"/>
      <c r="N50" s="239"/>
      <c r="O50" s="239"/>
      <c r="P50" s="239"/>
      <c r="Q50" s="239"/>
      <c r="R50" s="447"/>
      <c r="U50" s="426"/>
      <c r="V50" s="44"/>
      <c r="W50" s="44"/>
      <c r="X50" s="502"/>
      <c r="Y50" s="192"/>
      <c r="Z50" s="192"/>
      <c r="AA50" s="493"/>
      <c r="AB50" s="511"/>
      <c r="AD50" s="266"/>
      <c r="AH50" s="266"/>
    </row>
    <row r="51" spans="1:37" x14ac:dyDescent="0.35">
      <c r="A51" s="241">
        <f t="shared" si="2"/>
        <v>17</v>
      </c>
      <c r="B51" s="877"/>
      <c r="C51" s="304"/>
      <c r="D51" s="538"/>
      <c r="E51" s="807"/>
      <c r="F51" s="620"/>
      <c r="G51" s="813"/>
      <c r="H51" s="814"/>
      <c r="I51" s="813"/>
      <c r="J51" s="694"/>
      <c r="K51" s="813"/>
      <c r="L51" s="814"/>
      <c r="N51" s="649">
        <f>VLOOKUP($A52,Publishing!$B$13:$AC$251,13,FALSE)</f>
        <v>0</v>
      </c>
      <c r="O51" s="649"/>
      <c r="P51" s="649"/>
      <c r="R51" s="150"/>
      <c r="U51" s="266"/>
      <c r="V51" s="777" t="s">
        <v>258</v>
      </c>
      <c r="W51" s="777"/>
      <c r="X51" s="450" t="s">
        <v>259</v>
      </c>
      <c r="Y51" s="16"/>
      <c r="Z51" s="16"/>
      <c r="AA51" s="451"/>
      <c r="AB51" s="511"/>
      <c r="AD51" s="266"/>
      <c r="AH51" s="266"/>
    </row>
    <row r="52" spans="1:37" ht="14.5" customHeight="1" x14ac:dyDescent="0.35">
      <c r="A52" s="241">
        <f t="shared" si="2"/>
        <v>18</v>
      </c>
      <c r="B52" s="877"/>
      <c r="C52" s="304"/>
      <c r="D52" s="538"/>
      <c r="E52" s="807"/>
      <c r="F52" s="620"/>
      <c r="G52" s="813"/>
      <c r="H52" s="814"/>
      <c r="I52" s="813"/>
      <c r="J52" s="694"/>
      <c r="K52" s="813"/>
      <c r="L52" s="814"/>
      <c r="R52" s="150"/>
      <c r="U52" s="266"/>
      <c r="V52" s="45" t="b">
        <f>VLOOKUP($A52,Publishing!$B$13:$AC$251,18,FALSE)</f>
        <v>0</v>
      </c>
      <c r="W52" s="3" t="s">
        <v>260</v>
      </c>
      <c r="X52" s="150"/>
      <c r="Y52" t="s">
        <v>261</v>
      </c>
      <c r="AA52" s="266"/>
      <c r="AB52" s="150"/>
      <c r="AD52" s="266"/>
      <c r="AH52" s="266"/>
    </row>
    <row r="53" spans="1:37" x14ac:dyDescent="0.35">
      <c r="A53" s="241">
        <f t="shared" si="2"/>
        <v>19</v>
      </c>
      <c r="B53" s="877"/>
      <c r="C53" s="304"/>
      <c r="D53" s="538"/>
      <c r="E53" s="807"/>
      <c r="F53" s="620"/>
      <c r="G53" s="813"/>
      <c r="H53" s="814"/>
      <c r="I53" s="813"/>
      <c r="J53" s="694"/>
      <c r="K53" s="813"/>
      <c r="L53" s="814"/>
      <c r="N53" s="44"/>
      <c r="R53" s="150"/>
      <c r="U53" s="266"/>
      <c r="V53" s="948" t="str">
        <f>IF(VLOOKUP($A54,Publishing!$B$13:$AC$251,19,FALSE)="","",VLOOKUP($A54,Publishing!$B$13:$AC$251,19,FALSE))</f>
        <v/>
      </c>
      <c r="W53" s="948"/>
      <c r="X53" s="502"/>
      <c r="Y53" s="949" t="str">
        <f>IF(VLOOKUP($A54,Publishing!$B$13:$AC$251,22,FALSE)="","",VLOOKUP($A54,Publishing!$B$13:$AC$251,22,FALSE))</f>
        <v/>
      </c>
      <c r="Z53" s="949"/>
      <c r="AA53" s="444"/>
      <c r="AB53" s="514"/>
      <c r="AC53" s="73"/>
      <c r="AD53" s="444"/>
      <c r="AH53" s="266"/>
    </row>
    <row r="54" spans="1:37" x14ac:dyDescent="0.35">
      <c r="A54" s="241">
        <f t="shared" si="2"/>
        <v>20</v>
      </c>
      <c r="B54" s="877"/>
      <c r="C54" s="304"/>
      <c r="D54" s="538"/>
      <c r="E54" s="807"/>
      <c r="F54" s="620"/>
      <c r="G54" s="813"/>
      <c r="H54" s="814"/>
      <c r="I54" s="813"/>
      <c r="J54" s="694"/>
      <c r="K54" s="813"/>
      <c r="L54" s="814"/>
      <c r="N54" s="44"/>
      <c r="R54" s="150"/>
      <c r="U54" s="266"/>
      <c r="V54" s="948"/>
      <c r="W54" s="948"/>
      <c r="X54" s="502"/>
      <c r="Y54" s="949"/>
      <c r="Z54" s="949"/>
      <c r="AA54" s="444"/>
      <c r="AB54" s="514"/>
      <c r="AC54" s="73"/>
      <c r="AD54" s="444"/>
      <c r="AH54" s="266"/>
    </row>
    <row r="55" spans="1:37" x14ac:dyDescent="0.35">
      <c r="B55" s="878"/>
      <c r="C55" s="304"/>
      <c r="D55" s="783"/>
      <c r="E55" s="809"/>
      <c r="F55" s="810"/>
      <c r="G55" s="815"/>
      <c r="H55" s="816"/>
      <c r="I55" s="815"/>
      <c r="J55" s="944"/>
      <c r="K55" s="815"/>
      <c r="L55" s="816"/>
      <c r="M55" s="262"/>
      <c r="N55" s="262"/>
      <c r="O55" s="262"/>
      <c r="P55" s="262"/>
      <c r="Q55" s="262"/>
      <c r="R55" s="252"/>
      <c r="S55" s="262"/>
      <c r="T55" s="262"/>
      <c r="U55" s="264"/>
      <c r="V55" s="262"/>
      <c r="W55" s="499"/>
      <c r="X55" s="503"/>
      <c r="Y55" s="504"/>
      <c r="Z55" s="504"/>
      <c r="AA55" s="428"/>
      <c r="AB55" s="427"/>
      <c r="AC55" s="267"/>
      <c r="AD55" s="428"/>
      <c r="AE55" s="262"/>
      <c r="AF55" s="262"/>
      <c r="AG55" s="262"/>
      <c r="AH55" s="264"/>
    </row>
    <row r="56" spans="1:37" ht="7.5" customHeight="1" x14ac:dyDescent="0.35">
      <c r="C56" s="305"/>
    </row>
    <row r="57" spans="1:37" ht="18.5" x14ac:dyDescent="0.45">
      <c r="C57" s="305"/>
      <c r="D57" s="243" t="str">
        <f>'Service-side Auto-Labeling'!C1</f>
        <v>Service-Side Auto-Labeling Policies</v>
      </c>
    </row>
    <row r="58" spans="1:37" s="2" customFormat="1" ht="55" customHeight="1" x14ac:dyDescent="0.45">
      <c r="A58" s="241">
        <f>VLOOKUP(B60,'Service-side Auto-Labeling'!$A$11:$AE$109,2,FALSE)</f>
        <v>10</v>
      </c>
      <c r="B58" s="471"/>
      <c r="C58" s="304"/>
      <c r="D58" s="254" t="str">
        <f>'Service-side Auto-Labeling'!C2</f>
        <v>Name</v>
      </c>
      <c r="E58" s="888" t="str">
        <f>'Service-side Auto-Labeling'!E2</f>
        <v>Policy Mode</v>
      </c>
      <c r="F58" s="882"/>
      <c r="G58" s="882" t="str">
        <f>'Service-side Auto-Labeling'!G2</f>
        <v>Description</v>
      </c>
      <c r="H58" s="882"/>
      <c r="I58" s="882" t="str">
        <f>'Service-side Auto-Labeling'!I2</f>
        <v>Label to auto-apply:</v>
      </c>
      <c r="J58" s="882"/>
      <c r="K58" s="882" t="str">
        <f>'Service-side Auto-Labeling'!K2</f>
        <v>Assign admin units:</v>
      </c>
      <c r="L58" s="882"/>
      <c r="M58" s="885" t="str">
        <f>'Service-side Auto-Labeling'!M2</f>
        <v>Locations where you want to apply the label:</v>
      </c>
      <c r="N58" s="885"/>
      <c r="O58" s="885"/>
      <c r="P58" s="255" t="str">
        <f>'Service-side Auto-Labeling'!P2</f>
        <v>Scope:</v>
      </c>
      <c r="Q58" s="908" t="str">
        <f>'Service-side Auto-Labeling'!R2</f>
        <v>Common or Advanced Rules:</v>
      </c>
      <c r="R58" s="909"/>
      <c r="S58" s="909"/>
      <c r="T58" s="910"/>
      <c r="U58" s="889" t="str">
        <f>'Service-side Auto-Labeling'!T2</f>
        <v>Common Rules:</v>
      </c>
      <c r="V58" s="889"/>
      <c r="W58" s="882" t="str">
        <f>'Service-side Auto-Labeling'!V2</f>
        <v>Rules for Exchange email:</v>
      </c>
      <c r="X58" s="882"/>
      <c r="Y58" s="885" t="str">
        <f>'Service-side Auto-Labeling'!X2</f>
        <v>Rules for SharePoint files:</v>
      </c>
      <c r="Z58" s="885"/>
      <c r="AA58" s="885"/>
      <c r="AB58" s="892" t="str">
        <f>'Service-side Auto-Labeling'!Z2</f>
        <v>Rules for OneDrive files:</v>
      </c>
      <c r="AC58" s="893"/>
      <c r="AD58" s="894"/>
      <c r="AE58" s="892" t="str">
        <f>'Service-side Auto-Labeling'!AB2</f>
        <v>Additional settings for email:</v>
      </c>
      <c r="AF58" s="893"/>
      <c r="AG58" s="893"/>
      <c r="AH58" s="893"/>
      <c r="AI58" s="893"/>
      <c r="AJ58" s="893"/>
      <c r="AK58" s="894"/>
    </row>
    <row r="59" spans="1:37" s="2" customFormat="1" ht="29" hidden="1" customHeight="1" x14ac:dyDescent="0.45">
      <c r="A59" s="241"/>
      <c r="B59" s="471"/>
      <c r="C59" s="305"/>
      <c r="D59" s="488"/>
      <c r="E59" s="255"/>
      <c r="F59" s="255"/>
      <c r="G59" s="255"/>
      <c r="H59" s="255"/>
      <c r="I59" s="255"/>
      <c r="J59" s="255"/>
      <c r="K59" s="255"/>
      <c r="L59" s="255"/>
      <c r="M59" s="288"/>
      <c r="N59" s="288"/>
      <c r="O59" s="288"/>
      <c r="P59" s="282"/>
      <c r="Q59" s="279"/>
      <c r="R59" s="288"/>
      <c r="S59" s="288"/>
      <c r="T59" s="288"/>
      <c r="U59" s="285"/>
      <c r="V59" s="278"/>
      <c r="W59" s="282"/>
      <c r="X59" s="282"/>
      <c r="Y59" s="289"/>
      <c r="Z59" s="289"/>
      <c r="AA59" s="289"/>
      <c r="AB59" s="285"/>
      <c r="AC59" s="278"/>
      <c r="AD59" s="278"/>
      <c r="AE59" s="254"/>
      <c r="AF59" s="282"/>
      <c r="AG59" s="282"/>
      <c r="AH59" s="282"/>
      <c r="AI59" s="282"/>
      <c r="AJ59" s="282"/>
      <c r="AK59" s="290"/>
    </row>
    <row r="60" spans="1:37" ht="39" customHeight="1" x14ac:dyDescent="0.35">
      <c r="A60" s="241">
        <f>A58+1</f>
        <v>11</v>
      </c>
      <c r="B60" s="867">
        <f>L1</f>
        <v>1</v>
      </c>
      <c r="C60" s="304"/>
      <c r="D60" s="769" t="str">
        <f>IF(VLOOKUP(A60,'Service-side Auto-Labeling'!$B$12:$AE$110,2,FALSE)="","",VLOOKUP(A60,'Service-side Auto-Labeling'!$B$12:$AE$110,2,FALSE))</f>
        <v/>
      </c>
      <c r="E60" s="789" t="str">
        <f>IF(VLOOKUP(A60,'Service-side Auto-Labeling'!$B$12:$AE$110,4,FALSE)="","",VLOOKUP(A60,'Service-side Auto-Labeling'!$B$12:$AE$110,4,FALSE))</f>
        <v/>
      </c>
      <c r="F60" s="769"/>
      <c r="G60" s="769" t="str">
        <f>IF(VLOOKUP($A60,'Service-side Auto-Labeling'!$B$12:$AE$110,6,FALSE)="","",VLOOKUP($A60,'Service-side Auto-Labeling'!$B$12:$AE$110,6,FALSE))</f>
        <v/>
      </c>
      <c r="H60" s="769"/>
      <c r="I60" s="769" t="str">
        <f>IF(VLOOKUP($A60,'Service-side Auto-Labeling'!$B$12:$AE$110,8,FALSE)="","",VLOOKUP($A60,'Service-side Auto-Labeling'!$B$12:$AE$110,8,FALSE))</f>
        <v/>
      </c>
      <c r="J60" s="769"/>
      <c r="K60" s="769" t="str">
        <f>IF(VLOOKUP($A60,'Service-side Auto-Labeling'!$B$12:$AE$110,10,FALSE)="","",VLOOKUP($A60,'Service-side Auto-Labeling'!$B$12:$AE$110,10,FALSE))</f>
        <v/>
      </c>
      <c r="L60" s="769"/>
      <c r="M60" s="284" t="b">
        <f>VLOOKUP($A60,'Service-side Auto-Labeling'!$B$12:$AE$110,12,FALSE)</f>
        <v>0</v>
      </c>
      <c r="N60" s="883" t="s">
        <v>288</v>
      </c>
      <c r="O60" s="883"/>
      <c r="P60" s="448" t="s">
        <v>295</v>
      </c>
      <c r="Q60" s="805" t="str">
        <f>IF(VLOOKUP($A60,'Service-side Auto-Labeling'!$B$12:$AE$110,17,FALSE)="","",VLOOKUP($A60,'Service-side Auto-Labeling'!$B$12:$AE$110,17,FALSE))</f>
        <v/>
      </c>
      <c r="R60" s="806"/>
      <c r="S60" s="806"/>
      <c r="T60" s="622"/>
      <c r="U60" s="897" t="str">
        <f>IF(VLOOKUP($A60,'Service-side Auto-Labeling'!$B$12:$AE$110,19,FALSE)="","",VLOOKUP($A60,'Service-side Auto-Labeling'!$B$12:$AE$110,19,FALSE))</f>
        <v/>
      </c>
      <c r="V60" s="898"/>
      <c r="W60" s="897" t="str">
        <f>IF(VLOOKUP($A60,'Service-side Auto-Labeling'!$B$12:$AE$110,21,FALSE)="","",VLOOKUP($A60,'Service-side Auto-Labeling'!$B$12:$AE$110,21,FALSE))</f>
        <v/>
      </c>
      <c r="X60" s="898"/>
      <c r="Y60" s="903" t="str">
        <f>IF(VLOOKUP($A60,'Service-side Auto-Labeling'!$B$12:$AE$110,23,FALSE)="","",VLOOKUP($A60,'Service-side Auto-Labeling'!$B$12:$AE$110,23,FALSE))</f>
        <v/>
      </c>
      <c r="Z60" s="904"/>
      <c r="AA60" s="904"/>
      <c r="AB60" s="912" t="str">
        <f>IF(VLOOKUP($A60,'Service-side Auto-Labeling'!$B$12:$AE$110,25,FALSE)="","",VLOOKUP($A60,'Service-side Auto-Labeling'!$B$12:$AE$110,25,FALSE))</f>
        <v/>
      </c>
      <c r="AC60" s="913"/>
      <c r="AD60" s="914"/>
      <c r="AE60" s="286" t="b">
        <f>VLOOKUP($A60,'Service-side Auto-Labeling'!$B$12:$AE$110,27,FALSE)</f>
        <v>0</v>
      </c>
      <c r="AF60" s="258" t="s">
        <v>290</v>
      </c>
      <c r="AG60" s="259"/>
      <c r="AH60" s="257"/>
      <c r="AI60" s="257"/>
      <c r="AJ60" s="257"/>
      <c r="AK60" s="260"/>
    </row>
    <row r="61" spans="1:37" ht="32" customHeight="1" x14ac:dyDescent="0.35">
      <c r="A61" s="241">
        <f>A60+1</f>
        <v>12</v>
      </c>
      <c r="B61" s="868"/>
      <c r="C61" s="304"/>
      <c r="D61" s="769"/>
      <c r="E61" s="789"/>
      <c r="F61" s="769"/>
      <c r="G61" s="769"/>
      <c r="H61" s="769"/>
      <c r="I61" s="769"/>
      <c r="J61" s="769"/>
      <c r="K61" s="769"/>
      <c r="L61" s="769"/>
      <c r="M61" s="121" t="b">
        <f>VLOOKUP($A61,'Service-side Auto-Labeling'!$B$12:$AE$110,12,FALSE)</f>
        <v>0</v>
      </c>
      <c r="N61" s="884" t="s">
        <v>291</v>
      </c>
      <c r="O61" s="884"/>
      <c r="P61" s="120" t="s">
        <v>368</v>
      </c>
      <c r="Q61" s="691"/>
      <c r="R61" s="807"/>
      <c r="S61" s="807"/>
      <c r="T61" s="620"/>
      <c r="U61" s="899"/>
      <c r="V61" s="900"/>
      <c r="W61" s="899"/>
      <c r="X61" s="900"/>
      <c r="Y61" s="905"/>
      <c r="Z61" s="576"/>
      <c r="AA61" s="576"/>
      <c r="AB61" s="915"/>
      <c r="AC61" s="916"/>
      <c r="AD61" s="917"/>
      <c r="AE61" s="287" t="b">
        <f>VLOOKUP($A61,'Service-side Auto-Labeling'!$B$12:$AE$110,27,FALSE)</f>
        <v>0</v>
      </c>
      <c r="AF61" s="9" t="s">
        <v>293</v>
      </c>
      <c r="AG61" s="874" t="str">
        <f>IF(VLOOKUP($A61,'Service-side Auto-Labeling'!$B$12:$AE$110,29,FALSE)="","",VLOOKUP($A61,'Service-side Auto-Labeling'!$B$12:$AE$110,29,FALSE))</f>
        <v/>
      </c>
      <c r="AH61" s="874"/>
      <c r="AI61" s="874"/>
      <c r="AJ61" s="874"/>
      <c r="AK61" s="261"/>
    </row>
    <row r="62" spans="1:37" x14ac:dyDescent="0.35">
      <c r="A62" s="241">
        <f>A61+1</f>
        <v>13</v>
      </c>
      <c r="B62" s="869"/>
      <c r="C62" s="304"/>
      <c r="D62" s="769"/>
      <c r="E62" s="789"/>
      <c r="F62" s="769"/>
      <c r="G62" s="769"/>
      <c r="H62" s="769"/>
      <c r="I62" s="769"/>
      <c r="J62" s="769"/>
      <c r="K62" s="769"/>
      <c r="L62" s="769"/>
      <c r="M62" s="449" t="b">
        <f>VLOOKUP($A60,'Service-side Auto-Labeling'!$B$12:$AE$110,12,FALSE)</f>
        <v>0</v>
      </c>
      <c r="N62" s="415" t="s">
        <v>294</v>
      </c>
      <c r="O62" s="415"/>
      <c r="P62" s="415" t="s">
        <v>295</v>
      </c>
      <c r="Q62" s="808"/>
      <c r="R62" s="809"/>
      <c r="S62" s="809"/>
      <c r="T62" s="810"/>
      <c r="U62" s="901"/>
      <c r="V62" s="902"/>
      <c r="W62" s="901"/>
      <c r="X62" s="902"/>
      <c r="Y62" s="906"/>
      <c r="Z62" s="907"/>
      <c r="AA62" s="907"/>
      <c r="AB62" s="918"/>
      <c r="AC62" s="919"/>
      <c r="AD62" s="920"/>
      <c r="AE62" s="252"/>
      <c r="AF62" s="262"/>
      <c r="AG62" s="263"/>
      <c r="AH62" s="262"/>
      <c r="AI62" s="262"/>
      <c r="AJ62" s="262"/>
      <c r="AK62" s="264"/>
    </row>
    <row r="63" spans="1:37" x14ac:dyDescent="0.35">
      <c r="C63" s="305"/>
    </row>
    <row r="64" spans="1:37" ht="18.5" x14ac:dyDescent="0.45">
      <c r="C64" s="305"/>
      <c r="D64" s="243" t="str">
        <f>'Data Loss Prevention (DLP)'!A1</f>
        <v>Data Loss Prevention (DLP)</v>
      </c>
    </row>
    <row r="65" spans="1:12" x14ac:dyDescent="0.35">
      <c r="C65" s="304"/>
      <c r="D65" s="489" t="str">
        <f>'Data Loss Prevention (DLP)'!C3</f>
        <v>Name:</v>
      </c>
      <c r="E65" s="886" t="str">
        <f>'Data Loss Prevention (DLP)'!E3</f>
        <v>Policy mode:</v>
      </c>
      <c r="F65" s="887"/>
      <c r="G65" s="887" t="str">
        <f>'Data Loss Prevention (DLP)'!G3</f>
        <v>Assign admin units:</v>
      </c>
      <c r="H65" s="887"/>
      <c r="I65" s="887" t="str">
        <f>'Data Loss Prevention (DLP)'!I3</f>
        <v>Locations:</v>
      </c>
      <c r="J65" s="887"/>
      <c r="K65" s="887" t="str">
        <f>'Data Loss Prevention (DLP)'!K3</f>
        <v>Data Loss Prevention (DLP) rules:</v>
      </c>
      <c r="L65" s="887"/>
    </row>
    <row r="66" spans="1:12" x14ac:dyDescent="0.35">
      <c r="A66" s="241">
        <f>VLOOKUP(B66,'Data Loss Prevention (DLP)'!$A$12:$K$130,2,FALSE)</f>
        <v>11</v>
      </c>
      <c r="B66" s="867">
        <f>N1</f>
        <v>1</v>
      </c>
      <c r="C66" s="304"/>
      <c r="D66" s="783" t="str">
        <f>IF(VLOOKUP(A66,'Data Loss Prevention (DLP)'!$B$12:$K$130,2,FALSE)="","",VLOOKUP(A66,'Data Loss Prevention (DLP)'!$B$12:$K$130,2,FALSE))</f>
        <v/>
      </c>
      <c r="E66" s="806" t="str">
        <f>IF(VLOOKUP(A66,'Data Loss Prevention (DLP)'!$B$12:$K$130,4,FALSE)="","",VLOOKUP(A66,'Data Loss Prevention (DLP)'!$B$12:$K$130,4,FALSE))</f>
        <v/>
      </c>
      <c r="F66" s="622"/>
      <c r="G66" s="769" t="str">
        <f>IF(VLOOKUP(A66,'Data Loss Prevention (DLP)'!$B$12:$K$130,6,FALSE)="","",VLOOKUP(A66,'Data Loss Prevention (DLP)'!$B$12:$K$130,6,FALSE))</f>
        <v/>
      </c>
      <c r="H66" s="769"/>
      <c r="I66" s="769" t="str">
        <f>IF(VLOOKUP(A66,'Data Loss Prevention (DLP)'!$B$12:$K$130,8,FALSE)="","",VLOOKUP(A66,'Data Loss Prevention (DLP)'!$B$12:$K$130,8,FALSE))</f>
        <v/>
      </c>
      <c r="J66" s="769"/>
      <c r="K66" s="769" t="str">
        <f>IF(VLOOKUP(A66,'Data Loss Prevention (DLP)'!$B$12:$K$130,10,FALSE)="","",VLOOKUP(A66,'Data Loss Prevention (DLP)'!$B$12:$K$130,10,FALSE))</f>
        <v/>
      </c>
      <c r="L66" s="769"/>
    </row>
    <row r="67" spans="1:12" x14ac:dyDescent="0.35">
      <c r="A67" s="241">
        <f>A66+1</f>
        <v>12</v>
      </c>
      <c r="B67" s="868"/>
      <c r="C67" s="304"/>
      <c r="D67" s="769"/>
      <c r="E67" s="807"/>
      <c r="F67" s="620"/>
      <c r="G67" s="769"/>
      <c r="H67" s="769"/>
      <c r="I67" s="769"/>
      <c r="J67" s="769"/>
      <c r="K67" s="769"/>
      <c r="L67" s="769"/>
    </row>
    <row r="68" spans="1:12" x14ac:dyDescent="0.35">
      <c r="A68" s="241">
        <f>A67+1</f>
        <v>13</v>
      </c>
      <c r="B68" s="868"/>
      <c r="C68" s="304"/>
      <c r="D68" s="769"/>
      <c r="E68" s="807"/>
      <c r="F68" s="620"/>
      <c r="G68" s="769"/>
      <c r="H68" s="769"/>
      <c r="I68" s="769"/>
      <c r="J68" s="769"/>
      <c r="K68" s="769"/>
      <c r="L68" s="769"/>
    </row>
    <row r="69" spans="1:12" x14ac:dyDescent="0.35">
      <c r="A69" s="241">
        <f>A68+1</f>
        <v>14</v>
      </c>
      <c r="B69" s="868"/>
      <c r="C69" s="304"/>
      <c r="D69" s="770"/>
      <c r="E69" s="807"/>
      <c r="F69" s="620"/>
      <c r="G69" s="769"/>
      <c r="H69" s="769"/>
      <c r="I69" s="769"/>
      <c r="J69" s="769"/>
      <c r="K69" s="769"/>
      <c r="L69" s="769"/>
    </row>
    <row r="70" spans="1:12" ht="32.5" customHeight="1" x14ac:dyDescent="0.35">
      <c r="A70" s="241">
        <f>A69+1</f>
        <v>15</v>
      </c>
      <c r="B70" s="869"/>
      <c r="C70" s="486"/>
      <c r="D70" s="769"/>
      <c r="E70" s="809"/>
      <c r="F70" s="810"/>
      <c r="G70" s="769"/>
      <c r="H70" s="769"/>
      <c r="I70" s="769"/>
      <c r="J70" s="769"/>
      <c r="K70" s="769"/>
      <c r="L70" s="769"/>
    </row>
    <row r="71" spans="1:12" x14ac:dyDescent="0.35">
      <c r="B71" s="132"/>
      <c r="C71"/>
    </row>
    <row r="72" spans="1:12" x14ac:dyDescent="0.35">
      <c r="B72" s="132"/>
      <c r="C72"/>
    </row>
    <row r="73" spans="1:12" x14ac:dyDescent="0.35">
      <c r="B73" s="132"/>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Q30:U30"/>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S23:U24"/>
    <mergeCell ref="S25:T25"/>
    <mergeCell ref="G35:H35"/>
    <mergeCell ref="E18:F18"/>
    <mergeCell ref="K15:Q15"/>
    <mergeCell ref="O18:Q18"/>
    <mergeCell ref="G19:H19"/>
    <mergeCell ref="I19:J19"/>
    <mergeCell ref="I18:J18"/>
    <mergeCell ref="G9:H15"/>
    <mergeCell ref="G18:H18"/>
    <mergeCell ref="N2:O2"/>
    <mergeCell ref="F1:G2"/>
    <mergeCell ref="I8:Q8"/>
    <mergeCell ref="E8:F8"/>
    <mergeCell ref="D6:F6"/>
    <mergeCell ref="N1:O1"/>
    <mergeCell ref="C3:C4"/>
    <mergeCell ref="D5:F5"/>
    <mergeCell ref="G36:H36"/>
    <mergeCell ref="I37:I38"/>
    <mergeCell ref="J37:J38"/>
    <mergeCell ref="H3:H4"/>
    <mergeCell ref="J3:J4"/>
    <mergeCell ref="L3:L4"/>
    <mergeCell ref="N3:O4"/>
    <mergeCell ref="E35:F35"/>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250" priority="342" operator="equal">
      <formula>"Please fill out Sensitivity Labels Tab"</formula>
    </cfRule>
  </conditionalFormatting>
  <conditionalFormatting sqref="D31:D33">
    <cfRule type="cellIs" dxfId="249" priority="317" operator="equal">
      <formula>"Please fill out Sensitivity Labels Tab"</formula>
    </cfRule>
  </conditionalFormatting>
  <conditionalFormatting sqref="D36">
    <cfRule type="cellIs" dxfId="248" priority="280" operator="equal">
      <formula>"Please fill out Sensitivity Labels Tab"</formula>
    </cfRule>
  </conditionalFormatting>
  <conditionalFormatting sqref="D51:N51 Q51:W51 AB51:AH51 D52:U52 AA53:AH55 D55:V55 X55">
    <cfRule type="cellIs" dxfId="247" priority="231" operator="equal">
      <formula>0</formula>
    </cfRule>
  </conditionalFormatting>
  <conditionalFormatting sqref="D9:Y15">
    <cfRule type="cellIs" dxfId="246" priority="265" operator="equal">
      <formula>0</formula>
    </cfRule>
  </conditionalFormatting>
  <conditionalFormatting sqref="E36:U41">
    <cfRule type="expression" dxfId="245" priority="36">
      <formula>$I$15=FALSE</formula>
    </cfRule>
  </conditionalFormatting>
  <conditionalFormatting sqref="E31:AB31 AE31:AG31">
    <cfRule type="expression" dxfId="243" priority="45" stopIfTrue="1">
      <formula>$I$13=FALSE</formula>
    </cfRule>
  </conditionalFormatting>
  <conditionalFormatting sqref="E19:AG28">
    <cfRule type="expression" dxfId="241" priority="1">
      <formula>AND($I$9=FALSE,$I$11=FALSE)</formula>
    </cfRule>
  </conditionalFormatting>
  <conditionalFormatting sqref="G21">
    <cfRule type="expression" dxfId="240" priority="184">
      <formula>$G$23=TRUE</formula>
    </cfRule>
    <cfRule type="expression" dxfId="239" priority="53">
      <formula>$E$21=FALSE</formula>
    </cfRule>
  </conditionalFormatting>
  <conditionalFormatting sqref="G23">
    <cfRule type="expression" dxfId="238" priority="49">
      <formula>$G$21=TRUE</formula>
    </cfRule>
    <cfRule type="expression" dxfId="237" priority="52">
      <formula>$E$21=FALSE</formula>
    </cfRule>
  </conditionalFormatting>
  <conditionalFormatting sqref="G38">
    <cfRule type="expression" dxfId="235" priority="295">
      <formula>E36=TRUE</formula>
    </cfRule>
  </conditionalFormatting>
  <conditionalFormatting sqref="G21:H21 G23:H23 H22">
    <cfRule type="expression" dxfId="234" priority="171">
      <formula>$E$21=FALSE</formula>
    </cfRule>
  </conditionalFormatting>
  <conditionalFormatting sqref="G23:H23">
    <cfRule type="expression" dxfId="233" priority="183">
      <formula>$G$21=TRUE</formula>
    </cfRule>
  </conditionalFormatting>
  <conditionalFormatting sqref="G36:H36">
    <cfRule type="cellIs" dxfId="231" priority="34" operator="equal">
      <formula>0</formula>
    </cfRule>
    <cfRule type="expression" dxfId="230" priority="298">
      <formula>E36=TRUE</formula>
    </cfRule>
  </conditionalFormatting>
  <conditionalFormatting sqref="H21:H22">
    <cfRule type="expression" dxfId="229" priority="80">
      <formula>$G$23=TRUE</formula>
    </cfRule>
  </conditionalFormatting>
  <conditionalFormatting sqref="H23">
    <cfRule type="expression" dxfId="228" priority="50">
      <formula>$G$21=TRUE</formula>
    </cfRule>
  </conditionalFormatting>
  <conditionalFormatting sqref="H38">
    <cfRule type="expression" dxfId="226" priority="296">
      <formula>E36=TRUE</formula>
    </cfRule>
  </conditionalFormatting>
  <conditionalFormatting sqref="I13">
    <cfRule type="expression" dxfId="225" priority="427">
      <formula>AND($I11=TRUE,I9=TRUE)</formula>
    </cfRule>
  </conditionalFormatting>
  <conditionalFormatting sqref="I20:I23">
    <cfRule type="expression" dxfId="224" priority="51">
      <formula>$E$21=FALSE</formula>
    </cfRule>
  </conditionalFormatting>
  <conditionalFormatting sqref="I21">
    <cfRule type="expression" dxfId="223" priority="348">
      <formula>G23=TRUE</formula>
    </cfRule>
    <cfRule type="expression" dxfId="222" priority="181">
      <formula>$I$22=TRUE</formula>
    </cfRule>
  </conditionalFormatting>
  <conditionalFormatting sqref="I22">
    <cfRule type="expression" dxfId="221" priority="349">
      <formula>G23=TRUE</formula>
    </cfRule>
    <cfRule type="expression" dxfId="220" priority="82">
      <formula>$I$21=TRUE</formula>
    </cfRule>
  </conditionalFormatting>
  <conditionalFormatting sqref="I36">
    <cfRule type="expression" dxfId="219" priority="294">
      <formula>E37=TRUE</formula>
    </cfRule>
  </conditionalFormatting>
  <conditionalFormatting sqref="I37:I38">
    <cfRule type="expression" dxfId="218" priority="291">
      <formula>E37=TRUE</formula>
    </cfRule>
  </conditionalFormatting>
  <conditionalFormatting sqref="I60">
    <cfRule type="cellIs" dxfId="217" priority="219" operator="equal">
      <formula>"Please fill out Sensitivity Labels Tab"</formula>
    </cfRule>
  </conditionalFormatting>
  <conditionalFormatting sqref="I19:J20">
    <cfRule type="expression" dxfId="216" priority="346">
      <formula>G23=TRUE</formula>
    </cfRule>
  </conditionalFormatting>
  <conditionalFormatting sqref="J13">
    <cfRule type="expression" dxfId="210" priority="426">
      <formula>AND($I11=TRUE,I9=TRUE)</formula>
    </cfRule>
  </conditionalFormatting>
  <conditionalFormatting sqref="J21">
    <cfRule type="expression" dxfId="209" priority="60">
      <formula>$I$22=TRUE</formula>
    </cfRule>
    <cfRule type="expression" dxfId="208" priority="351">
      <formula>G23=TRUE</formula>
    </cfRule>
  </conditionalFormatting>
  <conditionalFormatting sqref="J22">
    <cfRule type="expression" dxfId="207" priority="350">
      <formula>G23=TRUE</formula>
    </cfRule>
  </conditionalFormatting>
  <conditionalFormatting sqref="J22:J24">
    <cfRule type="expression" dxfId="206" priority="83">
      <formula>$I$21=TRUE</formula>
    </cfRule>
  </conditionalFormatting>
  <conditionalFormatting sqref="J36">
    <cfRule type="expression" dxfId="205" priority="293">
      <formula>E37=TRUE</formula>
    </cfRule>
  </conditionalFormatting>
  <conditionalFormatting sqref="J37:J38">
    <cfRule type="expression" dxfId="204" priority="292">
      <formula>E37=TRUE</formula>
    </cfRule>
  </conditionalFormatting>
  <conditionalFormatting sqref="K13">
    <cfRule type="expression" dxfId="203" priority="415">
      <formula>AND($I11=TRUE,I9=TRUE)</formula>
    </cfRule>
  </conditionalFormatting>
  <conditionalFormatting sqref="K21">
    <cfRule type="expression" dxfId="202" priority="77">
      <formula>$K$22=TRUE</formula>
    </cfRule>
  </conditionalFormatting>
  <conditionalFormatting sqref="K21:K22">
    <cfRule type="expression" dxfId="201" priority="64">
      <formula>$K$23=TRUE</formula>
    </cfRule>
  </conditionalFormatting>
  <conditionalFormatting sqref="K21:K23">
    <cfRule type="expression" dxfId="200" priority="78">
      <formula>AND($I$21=TRUE,$G$23=TRUE)</formula>
    </cfRule>
  </conditionalFormatting>
  <conditionalFormatting sqref="K22:K23">
    <cfRule type="expression" dxfId="199" priority="58">
      <formula>$K$21=TRUE</formula>
    </cfRule>
  </conditionalFormatting>
  <conditionalFormatting sqref="K23">
    <cfRule type="expression" dxfId="198" priority="72">
      <formula>$K$22=TRUE</formula>
    </cfRule>
  </conditionalFormatting>
  <conditionalFormatting sqref="L21">
    <cfRule type="expression" dxfId="196" priority="66">
      <formula>$K$22=TRUE</formula>
    </cfRule>
  </conditionalFormatting>
  <conditionalFormatting sqref="L21:L22">
    <cfRule type="expression" dxfId="195" priority="59">
      <formula>$K$23=TRUE</formula>
    </cfRule>
  </conditionalFormatting>
  <conditionalFormatting sqref="L21:L23">
    <cfRule type="expression" dxfId="194" priority="79">
      <formula>AND($I$21=TRUE,$G$23=TRUE)</formula>
    </cfRule>
  </conditionalFormatting>
  <conditionalFormatting sqref="L22:L23">
    <cfRule type="expression" dxfId="193" priority="74">
      <formula>$K$21=TRUE</formula>
    </cfRule>
  </conditionalFormatting>
  <conditionalFormatting sqref="L23">
    <cfRule type="expression" dxfId="192" priority="76">
      <formula>$K$22=TRUE</formula>
    </cfRule>
  </conditionalFormatting>
  <conditionalFormatting sqref="L36">
    <cfRule type="expression" dxfId="191" priority="307">
      <formula>AND(I36=TRUE,$E$37=TRUE)</formula>
    </cfRule>
  </conditionalFormatting>
  <conditionalFormatting sqref="L37">
    <cfRule type="expression" dxfId="190" priority="305">
      <formula>AND(I36=TRUE,$E$37=TRUE)</formula>
    </cfRule>
  </conditionalFormatting>
  <conditionalFormatting sqref="M36">
    <cfRule type="expression" dxfId="189" priority="304">
      <formula>AND(I37=TRUE,$E$37=TRUE)</formula>
    </cfRule>
  </conditionalFormatting>
  <conditionalFormatting sqref="M37">
    <cfRule type="expression" dxfId="188" priority="300">
      <formula>AND(I37=TRUE,$E$37=TRUE)</formula>
    </cfRule>
  </conditionalFormatting>
  <conditionalFormatting sqref="M39">
    <cfRule type="expression" dxfId="187" priority="301">
      <formula>AND(I37=TRUE,$E$37=TRUE)</formula>
    </cfRule>
  </conditionalFormatting>
  <conditionalFormatting sqref="M22:N22">
    <cfRule type="expression" dxfId="186" priority="114">
      <formula>AND($K$22=TRUE,$I$21=TRUE)</formula>
    </cfRule>
    <cfRule type="expression" dxfId="185" priority="57">
      <formula>AND($I$21=FALSE,$I$22=FALSE)</formula>
    </cfRule>
  </conditionalFormatting>
  <conditionalFormatting sqref="M22:N23">
    <cfRule type="expression" dxfId="184" priority="121">
      <formula>$K$21=TRUE</formula>
    </cfRule>
  </conditionalFormatting>
  <conditionalFormatting sqref="M23:N23">
    <cfRule type="expression" dxfId="183" priority="120">
      <formula>AND(K22=TRUE,$I$21=TRUE)</formula>
    </cfRule>
    <cfRule type="expression" dxfId="182" priority="117">
      <formula>AND(K23=TRUE,$I$21=TRUE)</formula>
    </cfRule>
  </conditionalFormatting>
  <conditionalFormatting sqref="N37">
    <cfRule type="expression" dxfId="178" priority="299">
      <formula>AND(I37=TRUE,$E$37=TRUE)</formula>
    </cfRule>
  </conditionalFormatting>
  <conditionalFormatting sqref="N39">
    <cfRule type="expression" dxfId="177" priority="4421">
      <formula>M36=TRUE</formula>
    </cfRule>
    <cfRule type="expression" dxfId="176" priority="4420">
      <formula>AND(I37=TRUE,$E$37=TRUE)</formula>
    </cfRule>
  </conditionalFormatting>
  <conditionalFormatting sqref="N53:N54 Y55:Z55">
    <cfRule type="expression" dxfId="175" priority="260">
      <formula>M51=TRUE</formula>
    </cfRule>
  </conditionalFormatting>
  <conditionalFormatting sqref="N38:P38">
    <cfRule type="expression" dxfId="172" priority="4419">
      <formula>AND($M$37=TRUE,$E$37=TRUE)</formula>
    </cfRule>
  </conditionalFormatting>
  <conditionalFormatting sqref="N40:P40">
    <cfRule type="expression" dxfId="171" priority="240">
      <formula>AND(I39,M39,$E$37)=TRUE</formula>
    </cfRule>
  </conditionalFormatting>
  <conditionalFormatting sqref="N51:P51">
    <cfRule type="expression" dxfId="170" priority="234">
      <formula>M49=TRUE</formula>
    </cfRule>
  </conditionalFormatting>
  <conditionalFormatting sqref="N31:AB31 AE31:AG31">
    <cfRule type="cellIs" dxfId="169" priority="320" operator="equal">
      <formula>0</formula>
    </cfRule>
  </conditionalFormatting>
  <conditionalFormatting sqref="O21">
    <cfRule type="expression" dxfId="168" priority="2">
      <formula>$O$23=TRUE</formula>
    </cfRule>
    <cfRule type="expression" dxfId="167" priority="6">
      <formula>$O$22=TRUE</formula>
    </cfRule>
  </conditionalFormatting>
  <conditionalFormatting sqref="O21:O23">
    <cfRule type="expression" dxfId="166" priority="15">
      <formula>AND($I$21,$G$23,$E$21)=TRUE</formula>
    </cfRule>
  </conditionalFormatting>
  <conditionalFormatting sqref="O22">
    <cfRule type="expression" dxfId="165" priority="4">
      <formula>$O$23=TRUE</formula>
    </cfRule>
  </conditionalFormatting>
  <conditionalFormatting sqref="O22:O23">
    <cfRule type="expression" dxfId="164" priority="11">
      <formula>$O$21=TRUE</formula>
    </cfRule>
  </conditionalFormatting>
  <conditionalFormatting sqref="O23">
    <cfRule type="expression" dxfId="163" priority="9">
      <formula>$O$22=TRUE</formula>
    </cfRule>
  </conditionalFormatting>
  <conditionalFormatting sqref="P21">
    <cfRule type="expression" dxfId="162" priority="8">
      <formula>$O$22=TRUE</formula>
    </cfRule>
  </conditionalFormatting>
  <conditionalFormatting sqref="P21:P22">
    <cfRule type="expression" dxfId="161" priority="5">
      <formula>$O$23=TRUE</formula>
    </cfRule>
  </conditionalFormatting>
  <conditionalFormatting sqref="P21:P23">
    <cfRule type="expression" dxfId="160" priority="17">
      <formula>AND($I$21,$G$23,$E$21)=TRUE</formula>
    </cfRule>
  </conditionalFormatting>
  <conditionalFormatting sqref="P22:P23">
    <cfRule type="expression" dxfId="159" priority="12">
      <formula>$O$21=TRUE</formula>
    </cfRule>
  </conditionalFormatting>
  <conditionalFormatting sqref="P23">
    <cfRule type="expression" dxfId="158" priority="10">
      <formula>$O$22=TRUE</formula>
    </cfRule>
  </conditionalFormatting>
  <conditionalFormatting sqref="Q23">
    <cfRule type="expression" dxfId="157" priority="91">
      <formula>AND($O$23=TRUE,$I$21=TRUE,$G$23=TRUE)</formula>
    </cfRule>
  </conditionalFormatting>
  <conditionalFormatting sqref="R36">
    <cfRule type="expression" dxfId="150" priority="290">
      <formula>E38=TRUE</formula>
    </cfRule>
  </conditionalFormatting>
  <conditionalFormatting sqref="R37">
    <cfRule type="expression" dxfId="149" priority="288">
      <formula>E38=TRUE</formula>
    </cfRule>
  </conditionalFormatting>
  <conditionalFormatting sqref="R39">
    <cfRule type="expression" dxfId="148" priority="281">
      <formula>E38=TRUE</formula>
    </cfRule>
  </conditionalFormatting>
  <conditionalFormatting sqref="R40">
    <cfRule type="expression" dxfId="147" priority="282">
      <formula>E38=TRUE</formula>
    </cfRule>
  </conditionalFormatting>
  <conditionalFormatting sqref="R22:T22">
    <cfRule type="expression" dxfId="145" priority="94">
      <formula>AND($I$21=TRUE,$G$23=TRUE)</formula>
    </cfRule>
  </conditionalFormatting>
  <conditionalFormatting sqref="R25:T25">
    <cfRule type="expression" dxfId="144" priority="95">
      <formula>AND($I$21=TRUE,$G$23=TRUE)</formula>
    </cfRule>
  </conditionalFormatting>
  <conditionalFormatting sqref="R38:T38">
    <cfRule type="expression" dxfId="143" priority="287">
      <formula>E38=TRUE</formula>
    </cfRule>
  </conditionalFormatting>
  <conditionalFormatting sqref="R19:U19">
    <cfRule type="expression" dxfId="142" priority="98">
      <formula>AND($I$21=TRUE,$G$23=TRUE)</formula>
    </cfRule>
  </conditionalFormatting>
  <conditionalFormatting sqref="S46">
    <cfRule type="expression" dxfId="140" priority="6670">
      <formula>R45=TRUE</formula>
    </cfRule>
  </conditionalFormatting>
  <conditionalFormatting sqref="S37:T37">
    <cfRule type="expression" dxfId="139" priority="289">
      <formula>E38=TRUE</formula>
    </cfRule>
  </conditionalFormatting>
  <conditionalFormatting sqref="S39:T39">
    <cfRule type="expression" dxfId="138" priority="286">
      <formula>E38=TRUE</formula>
    </cfRule>
  </conditionalFormatting>
  <conditionalFormatting sqref="S40:T40">
    <cfRule type="expression" dxfId="137" priority="285">
      <formula>E38=TRUE</formula>
    </cfRule>
  </conditionalFormatting>
  <conditionalFormatting sqref="S20:U21">
    <cfRule type="expression" dxfId="136" priority="99">
      <formula>AND($I$21=TRUE,$G$23=TRUE)</formula>
    </cfRule>
  </conditionalFormatting>
  <conditionalFormatting sqref="S23:U24">
    <cfRule type="expression" dxfId="135" priority="101">
      <formula>AND($R$22=TRUE,$I$21=TRUE,$G$23=TRUE)</formula>
    </cfRule>
  </conditionalFormatting>
  <conditionalFormatting sqref="S26:U27">
    <cfRule type="expression" dxfId="134" priority="100">
      <formula>AND($R$25=TRUE,$I$21=TRUE,$G$23=TRUE)</formula>
    </cfRule>
  </conditionalFormatting>
  <conditionalFormatting sqref="V49:V50">
    <cfRule type="expression" dxfId="132" priority="251">
      <formula>M46=TRUE</formula>
    </cfRule>
  </conditionalFormatting>
  <conditionalFormatting sqref="V52">
    <cfRule type="expression" dxfId="131" priority="31">
      <formula>M49=TRUE</formula>
    </cfRule>
  </conditionalFormatting>
  <conditionalFormatting sqref="V19:W23 V24 V25:W25 V26:V27">
    <cfRule type="expression" dxfId="130" priority="130">
      <formula>AND($G$23=TRUE,$I$22=TRUE)</formula>
    </cfRule>
  </conditionalFormatting>
  <conditionalFormatting sqref="V53:W54">
    <cfRule type="expression" dxfId="129" priority="30">
      <formula>$V$52=TRUE</formula>
    </cfRule>
  </conditionalFormatting>
  <conditionalFormatting sqref="W20">
    <cfRule type="expression" dxfId="128" priority="129">
      <formula>AND($I$22=TRUE,$G$23=TRUE)</formula>
    </cfRule>
  </conditionalFormatting>
  <conditionalFormatting sqref="W24">
    <cfRule type="expression" dxfId="127" priority="89">
      <formula>AND($V$23=TRUE,$I$22=TRUE)</formula>
    </cfRule>
  </conditionalFormatting>
  <conditionalFormatting sqref="W26:W27">
    <cfRule type="expression" dxfId="126" priority="90">
      <formula>AND($V$25=TRUE,$I$22=TRUE)</formula>
    </cfRule>
  </conditionalFormatting>
  <conditionalFormatting sqref="W46">
    <cfRule type="expression" dxfId="125" priority="87">
      <formula>$V$45=TRUE</formula>
    </cfRule>
  </conditionalFormatting>
  <conditionalFormatting sqref="W49:W50">
    <cfRule type="expression" dxfId="124" priority="252">
      <formula>M46=TRUE</formula>
    </cfRule>
  </conditionalFormatting>
  <conditionalFormatting sqref="X9">
    <cfRule type="cellIs" dxfId="122" priority="413" operator="equal">
      <formula>"Gray"</formula>
    </cfRule>
    <cfRule type="cellIs" dxfId="121" priority="410" operator="equal">
      <formula>"Purple"</formula>
    </cfRule>
    <cfRule type="cellIs" dxfId="120" priority="411" operator="equal">
      <formula>"Dark Gray"</formula>
    </cfRule>
    <cfRule type="cellIs" dxfId="119" priority="408" operator="equal">
      <formula>"Green"</formula>
    </cfRule>
    <cfRule type="cellIs" dxfId="118" priority="409" operator="equal">
      <formula>"Blue"</formula>
    </cfRule>
    <cfRule type="cellIs" dxfId="117" priority="412" operator="equal">
      <formula>"Magenta"</formula>
    </cfRule>
    <cfRule type="cellIs" dxfId="116" priority="407" operator="equal">
      <formula>"orange"</formula>
    </cfRule>
    <cfRule type="cellIs" dxfId="115" priority="406" operator="equal">
      <formula>"Amber"</formula>
    </cfRule>
    <cfRule type="cellIs" dxfId="114" priority="414" operator="equal">
      <formula>"Black"</formula>
    </cfRule>
    <cfRule type="cellIs" dxfId="113" priority="405" operator="equal">
      <formula>"Brown"</formula>
    </cfRule>
  </conditionalFormatting>
  <conditionalFormatting sqref="X21">
    <cfRule type="expression" dxfId="112" priority="126">
      <formula>E22=TRUE</formula>
    </cfRule>
  </conditionalFormatting>
  <conditionalFormatting sqref="X22">
    <cfRule type="expression" dxfId="111" priority="128">
      <formula>E22=TRUE</formula>
    </cfRule>
  </conditionalFormatting>
  <conditionalFormatting sqref="X23">
    <cfRule type="expression" dxfId="110" priority="127">
      <formula>E22=TRUE</formula>
    </cfRule>
  </conditionalFormatting>
  <conditionalFormatting sqref="Y21">
    <cfRule type="expression" dxfId="109" priority="330">
      <formula>E22=TRUE</formula>
    </cfRule>
  </conditionalFormatting>
  <conditionalFormatting sqref="Y22">
    <cfRule type="expression" dxfId="108" priority="335">
      <formula>E22=TRUE</formula>
    </cfRule>
  </conditionalFormatting>
  <conditionalFormatting sqref="Y23">
    <cfRule type="expression" dxfId="107" priority="334">
      <formula>E22=TRUE</formula>
    </cfRule>
  </conditionalFormatting>
  <conditionalFormatting sqref="Y53">
    <cfRule type="expression" dxfId="106" priority="6975">
      <formula>X49=TRUE</formula>
    </cfRule>
  </conditionalFormatting>
  <conditionalFormatting sqref="Y27:AA27">
    <cfRule type="expression" dxfId="104" priority="4378">
      <formula>AND(H23=TRUE,J22=TRUE)</formula>
    </cfRule>
  </conditionalFormatting>
  <conditionalFormatting sqref="Z23:Z24">
    <cfRule type="expression" dxfId="103" priority="125">
      <formula>AND($X23=TRUE,$E22=TRUE)</formula>
    </cfRule>
  </conditionalFormatting>
  <conditionalFormatting sqref="Z21:AA21">
    <cfRule type="expression" dxfId="102" priority="6677">
      <formula>AND(E22=TRUE,X21=TRUE)</formula>
    </cfRule>
  </conditionalFormatting>
  <conditionalFormatting sqref="Z22:AA22">
    <cfRule type="expression" dxfId="101" priority="6678">
      <formula>AND(X22=TRUE,E22=TRUE)</formula>
    </cfRule>
  </conditionalFormatting>
  <conditionalFormatting sqref="AA23">
    <cfRule type="expression" dxfId="99" priority="6679">
      <formula>AND(F22=TRUE,Y23=TRUE)</formula>
    </cfRule>
  </conditionalFormatting>
  <conditionalFormatting sqref="AA53:AB54">
    <cfRule type="expression" dxfId="98" priority="262">
      <formula>Y52=TRUE</formula>
    </cfRule>
  </conditionalFormatting>
  <conditionalFormatting sqref="AA55:AB55">
    <cfRule type="expression" dxfId="97" priority="263">
      <formula>Y52=TRUE</formula>
    </cfRule>
  </conditionalFormatting>
  <conditionalFormatting sqref="AB22:AD22">
    <cfRule type="expression" dxfId="92" priority="4358">
      <formula>AND(#REF!=TRUE,Q22=TRUE)</formula>
    </cfRule>
  </conditionalFormatting>
  <conditionalFormatting sqref="AC46:AD46">
    <cfRule type="expression" dxfId="90" priority="245">
      <formula>AB45=TRUE</formula>
    </cfRule>
  </conditionalFormatting>
  <conditionalFormatting sqref="AC53:AD54 H37">
    <cfRule type="expression" dxfId="89" priority="297">
      <formula>E36=TRUE</formula>
    </cfRule>
  </conditionalFormatting>
  <conditionalFormatting sqref="AC55:AD55">
    <cfRule type="expression" dxfId="88" priority="4397">
      <formula>Z52=TRUE</formula>
    </cfRule>
  </conditionalFormatting>
  <conditionalFormatting sqref="AE22">
    <cfRule type="expression" dxfId="86" priority="4460">
      <formula>AND(#REF!=TRUE,S22=TRUE)</formula>
    </cfRule>
  </conditionalFormatting>
  <conditionalFormatting sqref="AE60">
    <cfRule type="expression" dxfId="85" priority="225">
      <formula>M60=TRUE</formula>
    </cfRule>
  </conditionalFormatting>
  <conditionalFormatting sqref="AE61">
    <cfRule type="expression" dxfId="84" priority="224">
      <formula>M60=TRUE</formula>
    </cfRule>
  </conditionalFormatting>
  <conditionalFormatting sqref="AE61:AG61 AE60:AK60 U60 W60 AB60 D60:Q60 Y60 AK61 D61:P62 AE62:AK62">
    <cfRule type="cellIs" dxfId="83" priority="4428" operator="equal">
      <formula>0</formula>
    </cfRule>
  </conditionalFormatting>
  <conditionalFormatting sqref="AF47">
    <cfRule type="expression" dxfId="82" priority="29">
      <formula>AE46=TRUE</formula>
    </cfRule>
  </conditionalFormatting>
  <conditionalFormatting sqref="AF60">
    <cfRule type="expression" dxfId="81" priority="226">
      <formula>M60=TRUE</formula>
    </cfRule>
  </conditionalFormatting>
  <conditionalFormatting sqref="AF61">
    <cfRule type="expression" dxfId="80" priority="227">
      <formula>M60=TRUE</formula>
    </cfRule>
  </conditionalFormatting>
  <conditionalFormatting sqref="AF21:AG21">
    <cfRule type="expression" dxfId="79" priority="366">
      <formula>AB21=TRUE</formula>
    </cfRule>
  </conditionalFormatting>
  <conditionalFormatting sqref="AG60">
    <cfRule type="expression" dxfId="75" priority="4451">
      <formula>AE61=TRUE</formula>
    </cfRule>
    <cfRule type="expression" dxfId="74" priority="4450">
      <formula>M60=FALSE</formula>
    </cfRule>
  </conditionalFormatting>
  <conditionalFormatting sqref="AG61:AJ61">
    <cfRule type="expression" dxfId="73" priority="4452">
      <formula>$AE$61=TRUE</formula>
    </cfRule>
  </conditionalFormatting>
  <conditionalFormatting sqref="AH19:AH20">
    <cfRule type="expression" dxfId="72"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2025-11-06T14:53:14Z</dcterms:modified>
  <cp:category/>
  <cp:contentStatus/>
</cp:coreProperties>
</file>